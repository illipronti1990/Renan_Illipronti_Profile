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dastro Dizimistas" sheetId="2" state="visible" r:id="rId2"/>
    <sheet name="Pesquisa Dizimista" sheetId="3" state="visible" r:id="rId3"/>
    <sheet name="Dízimos Mensais" sheetId="4" state="visible" r:id="rId4"/>
    <sheet name="Doações" sheetId="5" state="visible" r:id="rId5"/>
    <sheet name="Arrecadação das Missas" sheetId="6" state="visible" r:id="rId6"/>
    <sheet name="Gastos" sheetId="7" state="visible" r:id="rId7"/>
    <sheet name="Contas Caixa e Banco" sheetId="8" state="visible" r:id="rId8"/>
    <sheet name="Resumo Financeiro" sheetId="9" state="visible" r:id="rId9"/>
    <sheet name="Conciliação Bancária" sheetId="10" state="visible" r:id="rId10"/>
    <sheet name="Relatório Anual" sheetId="11" state="visible" r:id="rId11"/>
    <sheet name="Relatório Despesas" sheetId="12" state="visible" r:id="rId12"/>
    <sheet name="Comparativo Anual" sheetId="13" state="visible" r:id="rId13"/>
    <sheet name="Plano de Contas" sheetId="14" state="visible" r:id="rId14"/>
    <sheet name="Fluxo de Caixa" sheetId="15" state="visible" r:id="rId15"/>
    <sheet name="Impressão A4" sheetId="16" state="visible" r:id="rId16"/>
    <sheet name="Configurações" sheetId="17" state="visible" r:id="rId17"/>
    <sheet name="Novo Exercício" sheetId="18" state="visible" r:id="rId18"/>
    <sheet name="_Consolidado" sheetId="19" state="hidden" r:id="rId19"/>
  </sheets>
  <definedNames>
    <definedName name="_xlnm._FilterDatabase" localSheetId="1" hidden="1">'Cadastro Dizimistas'!$A$2:$F$2</definedName>
    <definedName name="_xlnm._FilterDatabase" localSheetId="3" hidden="1">'Dízimos Mensais'!$A$2:$H$2</definedName>
    <definedName name="_xlnm._FilterDatabase" localSheetId="4" hidden="1">'Doações'!$A$2:$G$2</definedName>
    <definedName name="_xlnm._FilterDatabase" localSheetId="5" hidden="1">'Arrecadação das Missas'!$A$2:$G$2</definedName>
    <definedName name="_xlnm._FilterDatabase" localSheetId="6" hidden="1">'Gastos'!$A$2:$I$2</definedName>
    <definedName name="_xlnm._FilterDatabase" localSheetId="8" hidden="1">'Resumo Financeiro'!$A$2:$I$2</definedName>
    <definedName name="_xlnm._FilterDatabase" localSheetId="9" hidden="1">'Conciliação Bancária'!$A$2:$F$2</definedName>
    <definedName name="_xlnm._FilterDatabase" localSheetId="14" hidden="1">'Fluxo de Caixa'!$A$2:$E$2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B2A4A"/>
      <sz val="11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i val="1"/>
      <color rgb="00666666"/>
      <sz val="11"/>
    </font>
    <font>
      <name val="Calibri"/>
      <b val="1"/>
      <color rgb="00FFFFFF"/>
      <sz val="14"/>
    </font>
    <font>
      <name val="Calibri"/>
      <color rgb="001B2A4A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3"/>
    </font>
    <font>
      <name val="Calibri"/>
      <b val="1"/>
      <color rgb="001B2A4A"/>
      <sz val="16"/>
    </font>
    <font>
      <name val="Calibri"/>
      <b val="1"/>
      <color rgb="001B2A4A"/>
      <sz val="13"/>
    </font>
    <font>
      <name val="Calibri"/>
      <b val="1"/>
      <color rgb="00FFFFFF"/>
      <sz val="16"/>
    </font>
    <font>
      <name val="Calibri"/>
      <b val="1"/>
      <color rgb="00C9A227"/>
      <sz val="26"/>
    </font>
    <font>
      <name val="Calibri"/>
      <b val="1"/>
      <color rgb="001B2A4A"/>
      <sz val="14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ACD"/>
      </patternFill>
    </fill>
    <fill>
      <patternFill patternType="solid">
        <fgColor rgb="00C9A227"/>
      </patternFill>
    </fill>
    <fill>
      <patternFill patternType="solid">
        <fgColor rgb="00E8EEF4"/>
      </patternFill>
    </fill>
    <fill>
      <patternFill patternType="solid">
        <fgColor rgb="002E7D32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Protection="1" pivotButton="0" quotePrefix="0" xfId="0">
      <protection locked="0" hidden="0"/>
    </xf>
    <xf numFmtId="0" fontId="0" fillId="5" borderId="1" pivotButton="0" quotePrefix="0" xfId="0"/>
    <xf numFmtId="0" fontId="13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horizontal="center" vertical="center" wrapText="1"/>
    </xf>
    <xf numFmtId="167" fontId="16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9" fillId="0" borderId="0" pivotButton="0" quotePrefix="0" xfId="0"/>
    <xf numFmtId="0" fontId="3" fillId="5" borderId="0" pivotButton="0" quotePrefix="0" xfId="0"/>
    <xf numFmtId="164" fontId="0" fillId="5" borderId="1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1" applyProtection="1" pivotButton="0" quotePrefix="0" xfId="0">
      <protection locked="0" hidden="0"/>
    </xf>
    <xf numFmtId="0" fontId="6" fillId="0" borderId="0" pivotButton="0" quotePrefix="0" xfId="0"/>
    <xf numFmtId="164" fontId="0" fillId="3" borderId="1" applyProtection="1" pivotButton="0" quotePrefix="0" xfId="0">
      <protection locked="0" hidden="0"/>
    </xf>
    <xf numFmtId="0" fontId="4" fillId="2" borderId="0" pivotButton="0" quotePrefix="0" xfId="0"/>
    <xf numFmtId="164" fontId="4" fillId="2" borderId="0" pivotButton="0" quotePrefix="0" xfId="0"/>
    <xf numFmtId="0" fontId="2" fillId="0" borderId="1" pivotButton="0" quotePrefix="0" xfId="0"/>
    <xf numFmtId="164" fontId="0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0" fontId="7" fillId="6" borderId="0" pivotButton="0" quotePrefix="0" xfId="0"/>
    <xf numFmtId="0" fontId="8" fillId="0" borderId="0" pivotButton="0" quotePrefix="0" xfId="0"/>
    <xf numFmtId="0" fontId="7" fillId="7" borderId="0" pivotButton="0" quotePrefix="0" xfId="0"/>
    <xf numFmtId="0" fontId="7" fillId="2" borderId="0" pivotButton="0" quotePrefix="0" xfId="0"/>
    <xf numFmtId="0" fontId="10" fillId="0" borderId="0" pivotButton="0" quotePrefix="0" xfId="0"/>
    <xf numFmtId="167" fontId="0" fillId="5" borderId="1" pivotButton="0" quotePrefix="0" xfId="0"/>
    <xf numFmtId="0" fontId="11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165" fontId="0" fillId="5" borderId="1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pivotButton="0" quotePrefix="0" xfId="0"/>
    <xf numFmtId="164" fontId="3" fillId="5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📊 Entradas x Gastos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'Dashboard'!M2</f>
            </strRef>
          </tx>
          <spPr>
            <a:ln>
              <a:prstDash val="solid"/>
            </a:ln>
          </spPr>
          <cat>
            <numRef>
              <f>'Dashboard'!$L$3:$L$14</f>
            </numRef>
          </cat>
          <val>
            <numRef>
              <f>'Dashboard'!$M$3:$M$14</f>
            </numRef>
          </val>
        </ser>
        <ser>
          <idx val="1"/>
          <order val="1"/>
          <tx>
            <strRef>
              <f>'Dashboard'!N2</f>
            </strRef>
          </tx>
          <spPr>
            <a:ln>
              <a:prstDash val="solid"/>
            </a:ln>
          </spPr>
          <cat>
            <numRef>
              <f>'Dashboard'!$L$3:$L$14</f>
            </numRef>
          </cat>
          <val>
            <numRef>
              <f>'Dashboard'!$N$3:$N$14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📈 Evolução do Saldo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'Dashboard'!O2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'Dashboard'!$L$3:$L$14</f>
            </numRef>
          </cat>
          <val>
            <numRef>
              <f>'Dashboard'!$O$3:$O$14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🍕 Origem das Receitas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'Dashboard'!$L$16:$L$18</f>
            </numRef>
          </cat>
          <val>
            <numRef>
              <f>'Dashboard'!$M$16:$M$18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🍕 Gastos por Categoria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'Dashboard'!$S$3:$S$17</f>
            </numRef>
          </cat>
          <val>
            <numRef>
              <f>'Dashboard'!$T$3:$T$17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41</row>
      <rowOff>0</rowOff>
    </from>
    <ext cx="50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40" customHeight="1">
      <c r="A1" s="1" t="inlineStr">
        <is>
          <t>📑  Tesouraria — Dashboard Financeiro</t>
        </is>
      </c>
    </row>
    <row r="2">
      <c r="A2" s="2" t="inlineStr">
        <is>
          <t>Filtrar Mês:</t>
        </is>
      </c>
      <c r="B2" s="3" t="inlineStr">
        <is>
          <t>Ano Inteiro</t>
        </is>
      </c>
      <c r="D2" t="inlineStr">
        <is>
          <t>Mês Atual:</t>
        </is>
      </c>
      <c r="E2" s="4">
        <f>ÍNDICE(Configurações!$B$35:$B$46;MÊS(HOJE()))</f>
        <v/>
      </c>
    </row>
    <row r="3">
      <c r="L3" t="inlineStr">
        <is>
          <t>Jan</t>
        </is>
      </c>
      <c r="M3">
        <f>'Resumo Financeiro'!E3</f>
        <v/>
      </c>
      <c r="N3">
        <f>'Resumo Financeiro'!F3</f>
        <v/>
      </c>
      <c r="O3">
        <f>Configurações!$B$10+SOMA($M$3:M3)-SOMA($N$3:N3)</f>
        <v/>
      </c>
      <c r="S3" t="inlineStr">
        <is>
          <t>Água</t>
        </is>
      </c>
      <c r="T3">
        <f>SOMASE(Gastos!$B$3:$B$502;S3;Gastos!$F$3:$F$502)</f>
        <v/>
      </c>
    </row>
    <row r="4">
      <c r="A4" s="5" t="inlineStr">
        <is>
          <t>💰 Total Entradas</t>
        </is>
      </c>
      <c r="D4" s="6" t="inlineStr">
        <is>
          <t>🟢 SALDO ATUAL</t>
        </is>
      </c>
      <c r="I4" s="5" t="inlineStr">
        <is>
          <t>💸 Total Gastos</t>
        </is>
      </c>
      <c r="L4" t="inlineStr">
        <is>
          <t>Fev</t>
        </is>
      </c>
      <c r="M4">
        <f>'Resumo Financeiro'!E4</f>
        <v/>
      </c>
      <c r="N4">
        <f>'Resumo Financeiro'!F4</f>
        <v/>
      </c>
      <c r="O4">
        <f>Configurações!$B$10+SOMA($M$3:M4)-SOMA($N$3:N4)</f>
        <v/>
      </c>
      <c r="S4" t="inlineStr">
        <is>
          <t>Energia</t>
        </is>
      </c>
      <c r="T4">
        <f>SOMASE(Gastos!$B$3:$B$502;S4;Gastos!$F$3:$F$502)</f>
        <v/>
      </c>
    </row>
    <row r="5">
      <c r="A5" s="7">
        <f>'Resumo Financeiro'!E15</f>
        <v/>
      </c>
      <c r="I5" s="7">
        <f>'Resumo Financeiro'!F15</f>
        <v/>
      </c>
      <c r="L5" t="inlineStr">
        <is>
          <t>Mar</t>
        </is>
      </c>
      <c r="M5">
        <f>'Resumo Financeiro'!E5</f>
        <v/>
      </c>
      <c r="N5">
        <f>'Resumo Financeiro'!F5</f>
        <v/>
      </c>
      <c r="O5">
        <f>Configurações!$B$10+SOMA($M$3:M5)-SOMA($N$3:N5)</f>
        <v/>
      </c>
      <c r="S5" t="inlineStr">
        <is>
          <t>Limpeza</t>
        </is>
      </c>
      <c r="T5">
        <f>SOMASE(Gastos!$B$3:$B$502;S5;Gastos!$F$3:$F$502)</f>
        <v/>
      </c>
    </row>
    <row r="6">
      <c r="D6" s="8">
        <f>Configurações!$B$10+SOMA('Resumo Financeiro'!E3:E14)-SOMA('Resumo Financeiro'!F3:F14)</f>
        <v/>
      </c>
      <c r="L6" t="inlineStr">
        <is>
          <t>Abr</t>
        </is>
      </c>
      <c r="M6">
        <f>'Resumo Financeiro'!E6</f>
        <v/>
      </c>
      <c r="N6">
        <f>'Resumo Financeiro'!F6</f>
        <v/>
      </c>
      <c r="O6">
        <f>Configurações!$B$10+SOMA($M$3:M6)-SOMA($N$3:N6)</f>
        <v/>
      </c>
      <c r="S6" t="inlineStr">
        <is>
          <t>Material Litúrgico</t>
        </is>
      </c>
      <c r="T6">
        <f>SOMASE(Gastos!$B$3:$B$502;S6;Gastos!$F$3:$F$502)</f>
        <v/>
      </c>
    </row>
    <row r="7">
      <c r="L7" t="inlineStr">
        <is>
          <t>Mai</t>
        </is>
      </c>
      <c r="M7">
        <f>'Resumo Financeiro'!E7</f>
        <v/>
      </c>
      <c r="N7">
        <f>'Resumo Financeiro'!F7</f>
        <v/>
      </c>
      <c r="O7">
        <f>Configurações!$B$10+SOMA($M$3:M7)-SOMA($N$3:N7)</f>
        <v/>
      </c>
      <c r="S7" t="inlineStr">
        <is>
          <t>Hóstias</t>
        </is>
      </c>
      <c r="T7">
        <f>SOMASE(Gastos!$B$3:$B$502;S7;Gastos!$F$3:$F$502)</f>
        <v/>
      </c>
    </row>
    <row r="8">
      <c r="L8" t="inlineStr">
        <is>
          <t>Jun</t>
        </is>
      </c>
      <c r="M8">
        <f>'Resumo Financeiro'!E8</f>
        <v/>
      </c>
      <c r="N8">
        <f>'Resumo Financeiro'!F8</f>
        <v/>
      </c>
      <c r="O8">
        <f>Configurações!$B$10+SOMA($M$3:M8)-SOMA($N$3:N8)</f>
        <v/>
      </c>
      <c r="S8" t="inlineStr">
        <is>
          <t>Vinho</t>
        </is>
      </c>
      <c r="T8">
        <f>SOMASE(Gastos!$B$3:$B$502;S8;Gastos!$F$3:$F$502)</f>
        <v/>
      </c>
    </row>
    <row r="9">
      <c r="A9" s="5" t="inlineStr">
        <is>
          <t>📈 Resultado Ano</t>
        </is>
      </c>
      <c r="I9" s="5" t="inlineStr">
        <is>
          <t>📅 Entradas Mês</t>
        </is>
      </c>
      <c r="L9" t="inlineStr">
        <is>
          <t>Jul</t>
        </is>
      </c>
      <c r="M9">
        <f>'Resumo Financeiro'!E9</f>
        <v/>
      </c>
      <c r="N9">
        <f>'Resumo Financeiro'!F9</f>
        <v/>
      </c>
      <c r="O9">
        <f>Configurações!$B$10+SOMA($M$3:M9)-SOMA($N$3:N9)</f>
        <v/>
      </c>
      <c r="S9" t="inlineStr">
        <is>
          <t>Flores</t>
        </is>
      </c>
      <c r="T9">
        <f>SOMASE(Gastos!$B$3:$B$502;S9;Gastos!$F$3:$F$502)</f>
        <v/>
      </c>
    </row>
    <row r="10">
      <c r="A10" s="7">
        <f>'Resumo Financeiro'!G15</f>
        <v/>
      </c>
      <c r="I10" s="7">
        <f>ÍNDICE('Resumo Financeiro'!E3:E14;MÊS(HOJE()))</f>
        <v/>
      </c>
      <c r="L10" t="inlineStr">
        <is>
          <t>Ago</t>
        </is>
      </c>
      <c r="M10">
        <f>'Resumo Financeiro'!E10</f>
        <v/>
      </c>
      <c r="N10">
        <f>'Resumo Financeiro'!F10</f>
        <v/>
      </c>
      <c r="O10">
        <f>Configurações!$B$10+SOMA($M$3:M10)-SOMA($N$3:N10)</f>
        <v/>
      </c>
      <c r="S10" t="inlineStr">
        <is>
          <t>Som</t>
        </is>
      </c>
      <c r="T10">
        <f>SOMASE(Gastos!$B$3:$B$502;S10;Gastos!$F$3:$F$502)</f>
        <v/>
      </c>
    </row>
    <row r="11">
      <c r="L11" t="inlineStr">
        <is>
          <t>Set</t>
        </is>
      </c>
      <c r="M11">
        <f>'Resumo Financeiro'!E11</f>
        <v/>
      </c>
      <c r="N11">
        <f>'Resumo Financeiro'!F11</f>
        <v/>
      </c>
      <c r="O11">
        <f>Configurações!$B$10+SOMA($M$3:M11)-SOMA($N$3:N11)</f>
        <v/>
      </c>
      <c r="S11" t="inlineStr">
        <is>
          <t>Manutenção</t>
        </is>
      </c>
      <c r="T11">
        <f>SOMASE(Gastos!$B$3:$B$502;S11;Gastos!$F$3:$F$502)</f>
        <v/>
      </c>
    </row>
    <row r="12">
      <c r="L12" t="inlineStr">
        <is>
          <t>Out</t>
        </is>
      </c>
      <c r="M12">
        <f>'Resumo Financeiro'!E12</f>
        <v/>
      </c>
      <c r="N12">
        <f>'Resumo Financeiro'!F12</f>
        <v/>
      </c>
      <c r="O12">
        <f>Configurações!$B$10+SOMA($M$3:M12)-SOMA($N$3:N12)</f>
        <v/>
      </c>
      <c r="S12" t="inlineStr">
        <is>
          <t>Obras</t>
        </is>
      </c>
      <c r="T12">
        <f>SOMASE(Gastos!$B$3:$B$502;S12;Gastos!$F$3:$F$502)</f>
        <v/>
      </c>
    </row>
    <row r="13">
      <c r="L13" t="inlineStr">
        <is>
          <t>Nov</t>
        </is>
      </c>
      <c r="M13">
        <f>'Resumo Financeiro'!E13</f>
        <v/>
      </c>
      <c r="N13">
        <f>'Resumo Financeiro'!F13</f>
        <v/>
      </c>
      <c r="O13">
        <f>Configurações!$B$10+SOMA($M$3:M13)-SOMA($N$3:N13)</f>
        <v/>
      </c>
      <c r="S13" t="inlineStr">
        <is>
          <t>Secretaria</t>
        </is>
      </c>
      <c r="T13">
        <f>SOMASE(Gastos!$B$3:$B$502;S13;Gastos!$F$3:$F$502)</f>
        <v/>
      </c>
    </row>
    <row r="14">
      <c r="A14" s="5" t="inlineStr">
        <is>
          <t>📅 Gastos Mês</t>
        </is>
      </c>
      <c r="I14" s="5" t="inlineStr">
        <is>
          <t>🎯 Meta Mês (%)</t>
        </is>
      </c>
      <c r="L14" t="inlineStr">
        <is>
          <t>Dez</t>
        </is>
      </c>
      <c r="M14">
        <f>'Resumo Financeiro'!E14</f>
        <v/>
      </c>
      <c r="N14">
        <f>'Resumo Financeiro'!F14</f>
        <v/>
      </c>
      <c r="O14">
        <f>Configurações!$B$10+SOMA($M$3:M14)-SOMA($N$3:N14)</f>
        <v/>
      </c>
      <c r="S14" t="inlineStr">
        <is>
          <t>Eventos</t>
        </is>
      </c>
      <c r="T14">
        <f>SOMASE(Gastos!$B$3:$B$502;S14;Gastos!$F$3:$F$502)</f>
        <v/>
      </c>
    </row>
    <row r="15">
      <c r="A15" s="7">
        <f>ÍNDICE('Resumo Financeiro'!F3:F14;MÊS(HOJE()))</f>
        <v/>
      </c>
      <c r="I15" s="9">
        <f>ÍNDICE('Resumo Financeiro'!I3:I14;MÊS(HOJE()))</f>
        <v/>
      </c>
      <c r="S15" t="inlineStr">
        <is>
          <t>Alimentação</t>
        </is>
      </c>
      <c r="T15">
        <f>SOMASE(Gastos!$B$3:$B$502;S15;Gastos!$F$3:$F$502)</f>
        <v/>
      </c>
    </row>
    <row r="16">
      <c r="A16" s="10" t="inlineStr">
        <is>
          <t>⚠️ ALERTAS INTELIGENTES</t>
        </is>
      </c>
      <c r="L16" t="inlineStr">
        <is>
          <t>Dízimos</t>
        </is>
      </c>
      <c r="M16">
        <f>'Resumo Financeiro'!B15</f>
        <v/>
      </c>
      <c r="S16" t="inlineStr">
        <is>
          <t>Transporte</t>
        </is>
      </c>
      <c r="T16">
        <f>SOMASE(Gastos!$B$3:$B$502;S16;Gastos!$F$3:$F$502)</f>
        <v/>
      </c>
    </row>
    <row r="17">
      <c r="A17" s="11">
        <f>SE(ÍNDICE('Resumo Financeiro'!F3:F14;MÊS(HOJE()))&gt;ÍNDICE('Resumo Financeiro'!E3:E14;MÊS(HOJE()));"🔴 Gastos maiores que entradas do mês";"🟢 Entradas ≥ gastos do mês")</f>
        <v/>
      </c>
      <c r="L17" t="inlineStr">
        <is>
          <t>Doações</t>
        </is>
      </c>
      <c r="M17">
        <f>'Resumo Financeiro'!C15</f>
        <v/>
      </c>
      <c r="S17" t="inlineStr">
        <is>
          <t>Outros</t>
        </is>
      </c>
      <c r="T17">
        <f>SOMASE(Gastos!$B$3:$B$502;S17;Gastos!$F$3:$F$502)</f>
        <v/>
      </c>
    </row>
    <row r="18">
      <c r="A18" s="11">
        <f>SE(D6&lt;0;"🔴 Saldo negativo — atenção!";"🟢 Saldo positivo")</f>
        <v/>
      </c>
      <c r="L18" t="inlineStr">
        <is>
          <t>Missas</t>
        </is>
      </c>
      <c r="M18">
        <f>'Resumo Financeiro'!D15</f>
        <v/>
      </c>
    </row>
    <row r="19">
      <c r="A19" s="11">
        <f>SE(ÍNDICE('Resumo Financeiro'!I3:I14;MÊS(HOJE()))&gt;=1;"🟢 Meta mensal de arrecadação atingida!";"🟡 Meta mensal ainda não atingida")</f>
        <v/>
      </c>
    </row>
    <row r="20">
      <c r="A20" s="11">
        <f>"🟡 Verifique categorias acima do limite na aba Gastos (formatação condicional)"</f>
        <v/>
      </c>
    </row>
    <row r="22">
      <c r="A22" s="12" t="inlineStr">
        <is>
          <t>🏦 CONCILIAÇÃO BANCÁRIA</t>
        </is>
      </c>
    </row>
    <row r="23">
      <c r="A23" s="2" t="inlineStr">
        <is>
          <t>Total Conciliado (✅)</t>
        </is>
      </c>
      <c r="C23" s="13">
        <f>SOMASE('Conciliação Bancária'!F3:F502;"✅";'Conciliação Bancária'!C3:C502)</f>
        <v/>
      </c>
    </row>
    <row r="24">
      <c r="A24" s="2" t="inlineStr">
        <is>
          <t>Total Pendente</t>
        </is>
      </c>
      <c r="C24" s="13">
        <f>SOMA('Conciliação Bancária'!C3:C502)-C23</f>
        <v/>
      </c>
    </row>
    <row r="25">
      <c r="A25" s="2" t="inlineStr">
        <is>
          <t>Diferenças Encontradas</t>
        </is>
      </c>
      <c r="C25" s="13">
        <f>SOMA('Conciliação Bancária'!E3:E502)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1">
    <mergeCell ref="A15:B15"/>
    <mergeCell ref="A22:J22"/>
    <mergeCell ref="I15:J15"/>
    <mergeCell ref="A17:J17"/>
    <mergeCell ref="A20:J20"/>
    <mergeCell ref="A19:J19"/>
    <mergeCell ref="D4:G5"/>
    <mergeCell ref="D6:G8"/>
    <mergeCell ref="A1:J1"/>
    <mergeCell ref="A5:B5"/>
    <mergeCell ref="I5:J5"/>
    <mergeCell ref="A14:B14"/>
    <mergeCell ref="A16:J16"/>
    <mergeCell ref="I14:J14"/>
    <mergeCell ref="A4:B4"/>
    <mergeCell ref="I4:J4"/>
    <mergeCell ref="I10:J10"/>
    <mergeCell ref="A18:J18"/>
    <mergeCell ref="A10:B10"/>
    <mergeCell ref="A9:B9"/>
    <mergeCell ref="I9:J9"/>
  </mergeCells>
  <conditionalFormatting sqref="D6">
    <cfRule type="expression" priority="1" dxfId="0">
      <formula>D6&lt;0</formula>
    </cfRule>
  </conditionalFormatting>
  <dataValidations count="1">
    <dataValidation sqref="B2" showDropDown="0" showInputMessage="0" showErrorMessage="0" allowBlank="1" errorTitle="Valor inválido" error="Selecione um valor da lista." type="list">
      <formula1>=Configurações!$B$34:$B$46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35" customWidth="1" min="4" max="4"/>
    <col width="14" customWidth="1" min="5" max="5"/>
    <col width="30" customWidth="1" min="6" max="6"/>
  </cols>
  <sheetData>
    <row r="1" ht="40" customHeight="1">
      <c r="A1" s="1" t="inlineStr">
        <is>
          <t>👥  Cadastro de Dizimistas</t>
        </is>
      </c>
    </row>
    <row r="2" ht="28" customHeight="1">
      <c r="A2" s="14" t="inlineStr">
        <is>
          <t>Código</t>
        </is>
      </c>
      <c r="B2" s="14" t="inlineStr">
        <is>
          <t>Nome</t>
        </is>
      </c>
      <c r="C2" s="14" t="inlineStr">
        <is>
          <t>Telefone</t>
        </is>
      </c>
      <c r="D2" s="14" t="inlineStr">
        <is>
          <t>Endereço</t>
        </is>
      </c>
      <c r="E2" s="14" t="inlineStr">
        <is>
          <t>Aniversário</t>
        </is>
      </c>
      <c r="F2" s="14" t="inlineStr">
        <is>
          <t>Observações</t>
        </is>
      </c>
    </row>
    <row r="3">
      <c r="A3" s="4">
        <f>SE(B3="";"";LIN()-2)</f>
        <v/>
      </c>
      <c r="B3" s="3" t="n"/>
      <c r="C3" s="3" t="n"/>
      <c r="D3" s="3" t="n"/>
      <c r="E3" s="15" t="n"/>
      <c r="F3" s="3" t="n"/>
    </row>
    <row r="4">
      <c r="A4" s="4">
        <f>SE(B4="";"";LIN()-2)</f>
        <v/>
      </c>
      <c r="B4" s="3" t="n"/>
      <c r="C4" s="3" t="n"/>
      <c r="D4" s="3" t="n"/>
      <c r="E4" s="15" t="n"/>
      <c r="F4" s="3" t="n"/>
    </row>
    <row r="5">
      <c r="A5" s="4">
        <f>SE(B5="";"";LIN()-2)</f>
        <v/>
      </c>
      <c r="B5" s="3" t="n"/>
      <c r="C5" s="3" t="n"/>
      <c r="D5" s="3" t="n"/>
      <c r="E5" s="15" t="n"/>
      <c r="F5" s="3" t="n"/>
    </row>
    <row r="6">
      <c r="A6" s="4">
        <f>SE(B6="";"";LIN()-2)</f>
        <v/>
      </c>
      <c r="B6" s="3" t="n"/>
      <c r="C6" s="3" t="n"/>
      <c r="D6" s="3" t="n"/>
      <c r="E6" s="15" t="n"/>
      <c r="F6" s="3" t="n"/>
    </row>
    <row r="7">
      <c r="A7" s="4">
        <f>SE(B7="";"";LIN()-2)</f>
        <v/>
      </c>
      <c r="B7" s="3" t="n"/>
      <c r="C7" s="3" t="n"/>
      <c r="D7" s="3" t="n"/>
      <c r="E7" s="15" t="n"/>
      <c r="F7" s="3" t="n"/>
    </row>
    <row r="8">
      <c r="A8" s="4">
        <f>SE(B8="";"";LIN()-2)</f>
        <v/>
      </c>
      <c r="B8" s="3" t="n"/>
      <c r="C8" s="3" t="n"/>
      <c r="D8" s="3" t="n"/>
      <c r="E8" s="15" t="n"/>
      <c r="F8" s="3" t="n"/>
    </row>
    <row r="9">
      <c r="A9" s="4">
        <f>SE(B9="";"";LIN()-2)</f>
        <v/>
      </c>
      <c r="B9" s="3" t="n"/>
      <c r="C9" s="3" t="n"/>
      <c r="D9" s="3" t="n"/>
      <c r="E9" s="15" t="n"/>
      <c r="F9" s="3" t="n"/>
    </row>
    <row r="10">
      <c r="A10" s="4">
        <f>SE(B10="";"";LIN()-2)</f>
        <v/>
      </c>
      <c r="B10" s="3" t="n"/>
      <c r="C10" s="3" t="n"/>
      <c r="D10" s="3" t="n"/>
      <c r="E10" s="15" t="n"/>
      <c r="F10" s="3" t="n"/>
    </row>
    <row r="11">
      <c r="A11" s="4">
        <f>SE(B11="";"";LIN()-2)</f>
        <v/>
      </c>
      <c r="B11" s="3" t="n"/>
      <c r="C11" s="3" t="n"/>
      <c r="D11" s="3" t="n"/>
      <c r="E11" s="15" t="n"/>
      <c r="F11" s="3" t="n"/>
    </row>
    <row r="12">
      <c r="A12" s="4">
        <f>SE(B12="";"";LIN()-2)</f>
        <v/>
      </c>
      <c r="B12" s="3" t="n"/>
      <c r="C12" s="3" t="n"/>
      <c r="D12" s="3" t="n"/>
      <c r="E12" s="15" t="n"/>
      <c r="F12" s="3" t="n"/>
    </row>
    <row r="13">
      <c r="A13" s="4">
        <f>SE(B13="";"";LIN()-2)</f>
        <v/>
      </c>
      <c r="B13" s="3" t="n"/>
      <c r="C13" s="3" t="n"/>
      <c r="D13" s="3" t="n"/>
      <c r="E13" s="15" t="n"/>
      <c r="F13" s="3" t="n"/>
    </row>
    <row r="14">
      <c r="A14" s="4">
        <f>SE(B14="";"";LIN()-2)</f>
        <v/>
      </c>
      <c r="B14" s="3" t="n"/>
      <c r="C14" s="3" t="n"/>
      <c r="D14" s="3" t="n"/>
      <c r="E14" s="15" t="n"/>
      <c r="F14" s="3" t="n"/>
    </row>
    <row r="15">
      <c r="A15" s="4">
        <f>SE(B15="";"";LIN()-2)</f>
        <v/>
      </c>
      <c r="B15" s="3" t="n"/>
      <c r="C15" s="3" t="n"/>
      <c r="D15" s="3" t="n"/>
      <c r="E15" s="15" t="n"/>
      <c r="F15" s="3" t="n"/>
    </row>
    <row r="16">
      <c r="A16" s="4">
        <f>SE(B16="";"";LIN()-2)</f>
        <v/>
      </c>
      <c r="B16" s="3" t="n"/>
      <c r="C16" s="3" t="n"/>
      <c r="D16" s="3" t="n"/>
      <c r="E16" s="15" t="n"/>
      <c r="F16" s="3" t="n"/>
    </row>
    <row r="17">
      <c r="A17" s="4">
        <f>SE(B17="";"";LIN()-2)</f>
        <v/>
      </c>
      <c r="B17" s="3" t="n"/>
      <c r="C17" s="3" t="n"/>
      <c r="D17" s="3" t="n"/>
      <c r="E17" s="15" t="n"/>
      <c r="F17" s="3" t="n"/>
    </row>
    <row r="18">
      <c r="A18" s="4">
        <f>SE(B18="";"";LIN()-2)</f>
        <v/>
      </c>
      <c r="B18" s="3" t="n"/>
      <c r="C18" s="3" t="n"/>
      <c r="D18" s="3" t="n"/>
      <c r="E18" s="15" t="n"/>
      <c r="F18" s="3" t="n"/>
    </row>
    <row r="19">
      <c r="A19" s="4">
        <f>SE(B19="";"";LIN()-2)</f>
        <v/>
      </c>
      <c r="B19" s="3" t="n"/>
      <c r="C19" s="3" t="n"/>
      <c r="D19" s="3" t="n"/>
      <c r="E19" s="15" t="n"/>
      <c r="F19" s="3" t="n"/>
    </row>
    <row r="20">
      <c r="A20" s="4">
        <f>SE(B20="";"";LIN()-2)</f>
        <v/>
      </c>
      <c r="B20" s="3" t="n"/>
      <c r="C20" s="3" t="n"/>
      <c r="D20" s="3" t="n"/>
      <c r="E20" s="15" t="n"/>
      <c r="F20" s="3" t="n"/>
    </row>
    <row r="21">
      <c r="A21" s="4">
        <f>SE(B21="";"";LIN()-2)</f>
        <v/>
      </c>
      <c r="B21" s="3" t="n"/>
      <c r="C21" s="3" t="n"/>
      <c r="D21" s="3" t="n"/>
      <c r="E21" s="15" t="n"/>
      <c r="F21" s="3" t="n"/>
    </row>
    <row r="22">
      <c r="A22" s="4">
        <f>SE(B22="";"";LIN()-2)</f>
        <v/>
      </c>
      <c r="B22" s="3" t="n"/>
      <c r="C22" s="3" t="n"/>
      <c r="D22" s="3" t="n"/>
      <c r="E22" s="15" t="n"/>
      <c r="F22" s="3" t="n"/>
    </row>
    <row r="23">
      <c r="A23" s="4">
        <f>SE(B23="";"";LIN()-2)</f>
        <v/>
      </c>
      <c r="B23" s="3" t="n"/>
      <c r="C23" s="3" t="n"/>
      <c r="D23" s="3" t="n"/>
      <c r="E23" s="15" t="n"/>
      <c r="F23" s="3" t="n"/>
    </row>
    <row r="24">
      <c r="A24" s="4">
        <f>SE(B24="";"";LIN()-2)</f>
        <v/>
      </c>
      <c r="B24" s="3" t="n"/>
      <c r="C24" s="3" t="n"/>
      <c r="D24" s="3" t="n"/>
      <c r="E24" s="15" t="n"/>
      <c r="F24" s="3" t="n"/>
    </row>
    <row r="25">
      <c r="A25" s="4">
        <f>SE(B25="";"";LIN()-2)</f>
        <v/>
      </c>
      <c r="B25" s="3" t="n"/>
      <c r="C25" s="3" t="n"/>
      <c r="D25" s="3" t="n"/>
      <c r="E25" s="15" t="n"/>
      <c r="F25" s="3" t="n"/>
    </row>
    <row r="26">
      <c r="A26" s="4">
        <f>SE(B26="";"";LIN()-2)</f>
        <v/>
      </c>
      <c r="B26" s="3" t="n"/>
      <c r="C26" s="3" t="n"/>
      <c r="D26" s="3" t="n"/>
      <c r="E26" s="15" t="n"/>
      <c r="F26" s="3" t="n"/>
    </row>
    <row r="27">
      <c r="A27" s="4">
        <f>SE(B27="";"";LIN()-2)</f>
        <v/>
      </c>
      <c r="B27" s="3" t="n"/>
      <c r="C27" s="3" t="n"/>
      <c r="D27" s="3" t="n"/>
      <c r="E27" s="15" t="n"/>
      <c r="F27" s="3" t="n"/>
    </row>
    <row r="28">
      <c r="A28" s="4">
        <f>SE(B28="";"";LIN()-2)</f>
        <v/>
      </c>
      <c r="B28" s="3" t="n"/>
      <c r="C28" s="3" t="n"/>
      <c r="D28" s="3" t="n"/>
      <c r="E28" s="15" t="n"/>
      <c r="F28" s="3" t="n"/>
    </row>
    <row r="29">
      <c r="A29" s="4">
        <f>SE(B29="";"";LIN()-2)</f>
        <v/>
      </c>
      <c r="B29" s="3" t="n"/>
      <c r="C29" s="3" t="n"/>
      <c r="D29" s="3" t="n"/>
      <c r="E29" s="15" t="n"/>
      <c r="F29" s="3" t="n"/>
    </row>
    <row r="30">
      <c r="A30" s="4">
        <f>SE(B30="";"";LIN()-2)</f>
        <v/>
      </c>
      <c r="B30" s="3" t="n"/>
      <c r="C30" s="3" t="n"/>
      <c r="D30" s="3" t="n"/>
      <c r="E30" s="15" t="n"/>
      <c r="F30" s="3" t="n"/>
    </row>
    <row r="31">
      <c r="A31" s="4">
        <f>SE(B31="";"";LIN()-2)</f>
        <v/>
      </c>
      <c r="B31" s="3" t="n"/>
      <c r="C31" s="3" t="n"/>
      <c r="D31" s="3" t="n"/>
      <c r="E31" s="15" t="n"/>
      <c r="F31" s="3" t="n"/>
    </row>
    <row r="32">
      <c r="A32" s="4">
        <f>SE(B32="";"";LIN()-2)</f>
        <v/>
      </c>
      <c r="B32" s="3" t="n"/>
      <c r="C32" s="3" t="n"/>
      <c r="D32" s="3" t="n"/>
      <c r="E32" s="15" t="n"/>
      <c r="F32" s="3" t="n"/>
    </row>
    <row r="33">
      <c r="A33" s="4">
        <f>SE(B33="";"";LIN()-2)</f>
        <v/>
      </c>
      <c r="B33" s="3" t="n"/>
      <c r="C33" s="3" t="n"/>
      <c r="D33" s="3" t="n"/>
      <c r="E33" s="15" t="n"/>
      <c r="F33" s="3" t="n"/>
    </row>
    <row r="34">
      <c r="A34" s="4">
        <f>SE(B34="";"";LIN()-2)</f>
        <v/>
      </c>
      <c r="B34" s="3" t="n"/>
      <c r="C34" s="3" t="n"/>
      <c r="D34" s="3" t="n"/>
      <c r="E34" s="15" t="n"/>
      <c r="F34" s="3" t="n"/>
    </row>
    <row r="35">
      <c r="A35" s="4">
        <f>SE(B35="";"";LIN()-2)</f>
        <v/>
      </c>
      <c r="B35" s="3" t="n"/>
      <c r="C35" s="3" t="n"/>
      <c r="D35" s="3" t="n"/>
      <c r="E35" s="15" t="n"/>
      <c r="F35" s="3" t="n"/>
    </row>
    <row r="36">
      <c r="A36" s="4">
        <f>SE(B36="";"";LIN()-2)</f>
        <v/>
      </c>
      <c r="B36" s="3" t="n"/>
      <c r="C36" s="3" t="n"/>
      <c r="D36" s="3" t="n"/>
      <c r="E36" s="15" t="n"/>
      <c r="F36" s="3" t="n"/>
    </row>
    <row r="37">
      <c r="A37" s="4">
        <f>SE(B37="";"";LIN()-2)</f>
        <v/>
      </c>
      <c r="B37" s="3" t="n"/>
      <c r="C37" s="3" t="n"/>
      <c r="D37" s="3" t="n"/>
      <c r="E37" s="15" t="n"/>
      <c r="F37" s="3" t="n"/>
    </row>
    <row r="38">
      <c r="A38" s="4">
        <f>SE(B38="";"";LIN()-2)</f>
        <v/>
      </c>
      <c r="B38" s="3" t="n"/>
      <c r="C38" s="3" t="n"/>
      <c r="D38" s="3" t="n"/>
      <c r="E38" s="15" t="n"/>
      <c r="F38" s="3" t="n"/>
    </row>
    <row r="39">
      <c r="A39" s="4">
        <f>SE(B39="";"";LIN()-2)</f>
        <v/>
      </c>
      <c r="B39" s="3" t="n"/>
      <c r="C39" s="3" t="n"/>
      <c r="D39" s="3" t="n"/>
      <c r="E39" s="15" t="n"/>
      <c r="F39" s="3" t="n"/>
    </row>
    <row r="40">
      <c r="A40" s="4">
        <f>SE(B40="";"";LIN()-2)</f>
        <v/>
      </c>
      <c r="B40" s="3" t="n"/>
      <c r="C40" s="3" t="n"/>
      <c r="D40" s="3" t="n"/>
      <c r="E40" s="15" t="n"/>
      <c r="F40" s="3" t="n"/>
    </row>
    <row r="41">
      <c r="A41" s="4">
        <f>SE(B41="";"";LIN()-2)</f>
        <v/>
      </c>
      <c r="B41" s="3" t="n"/>
      <c r="C41" s="3" t="n"/>
      <c r="D41" s="3" t="n"/>
      <c r="E41" s="15" t="n"/>
      <c r="F41" s="3" t="n"/>
    </row>
    <row r="42">
      <c r="A42" s="4">
        <f>SE(B42="";"";LIN()-2)</f>
        <v/>
      </c>
      <c r="B42" s="3" t="n"/>
      <c r="C42" s="3" t="n"/>
      <c r="D42" s="3" t="n"/>
      <c r="E42" s="15" t="n"/>
      <c r="F42" s="3" t="n"/>
    </row>
    <row r="43">
      <c r="A43" s="4">
        <f>SE(B43="";"";LIN()-2)</f>
        <v/>
      </c>
      <c r="B43" s="3" t="n"/>
      <c r="C43" s="3" t="n"/>
      <c r="D43" s="3" t="n"/>
      <c r="E43" s="15" t="n"/>
      <c r="F43" s="3" t="n"/>
    </row>
    <row r="44">
      <c r="A44" s="4">
        <f>SE(B44="";"";LIN()-2)</f>
        <v/>
      </c>
      <c r="B44" s="3" t="n"/>
      <c r="C44" s="3" t="n"/>
      <c r="D44" s="3" t="n"/>
      <c r="E44" s="15" t="n"/>
      <c r="F44" s="3" t="n"/>
    </row>
    <row r="45">
      <c r="A45" s="4">
        <f>SE(B45="";"";LIN()-2)</f>
        <v/>
      </c>
      <c r="B45" s="3" t="n"/>
      <c r="C45" s="3" t="n"/>
      <c r="D45" s="3" t="n"/>
      <c r="E45" s="15" t="n"/>
      <c r="F45" s="3" t="n"/>
    </row>
    <row r="46">
      <c r="A46" s="4">
        <f>SE(B46="";"";LIN()-2)</f>
        <v/>
      </c>
      <c r="B46" s="3" t="n"/>
      <c r="C46" s="3" t="n"/>
      <c r="D46" s="3" t="n"/>
      <c r="E46" s="15" t="n"/>
      <c r="F46" s="3" t="n"/>
    </row>
    <row r="47">
      <c r="A47" s="4">
        <f>SE(B47="";"";LIN()-2)</f>
        <v/>
      </c>
      <c r="B47" s="3" t="n"/>
      <c r="C47" s="3" t="n"/>
      <c r="D47" s="3" t="n"/>
      <c r="E47" s="15" t="n"/>
      <c r="F47" s="3" t="n"/>
    </row>
    <row r="48">
      <c r="A48" s="4">
        <f>SE(B48="";"";LIN()-2)</f>
        <v/>
      </c>
      <c r="B48" s="3" t="n"/>
      <c r="C48" s="3" t="n"/>
      <c r="D48" s="3" t="n"/>
      <c r="E48" s="15" t="n"/>
      <c r="F48" s="3" t="n"/>
    </row>
    <row r="49">
      <c r="A49" s="4">
        <f>SE(B49="";"";LIN()-2)</f>
        <v/>
      </c>
      <c r="B49" s="3" t="n"/>
      <c r="C49" s="3" t="n"/>
      <c r="D49" s="3" t="n"/>
      <c r="E49" s="15" t="n"/>
      <c r="F49" s="3" t="n"/>
    </row>
    <row r="50">
      <c r="A50" s="4">
        <f>SE(B50="";"";LIN()-2)</f>
        <v/>
      </c>
      <c r="B50" s="3" t="n"/>
      <c r="C50" s="3" t="n"/>
      <c r="D50" s="3" t="n"/>
      <c r="E50" s="15" t="n"/>
      <c r="F50" s="3" t="n"/>
    </row>
    <row r="51">
      <c r="A51" s="4">
        <f>SE(B51="";"";LIN()-2)</f>
        <v/>
      </c>
      <c r="B51" s="3" t="n"/>
      <c r="C51" s="3" t="n"/>
      <c r="D51" s="3" t="n"/>
      <c r="E51" s="15" t="n"/>
      <c r="F51" s="3" t="n"/>
    </row>
    <row r="52">
      <c r="A52" s="4">
        <f>SE(B52="";"";LIN()-2)</f>
        <v/>
      </c>
      <c r="B52" s="3" t="n"/>
      <c r="C52" s="3" t="n"/>
      <c r="D52" s="3" t="n"/>
      <c r="E52" s="15" t="n"/>
      <c r="F52" s="3" t="n"/>
    </row>
    <row r="53">
      <c r="A53" s="4">
        <f>SE(B53="";"";LIN()-2)</f>
        <v/>
      </c>
      <c r="B53" s="3" t="n"/>
      <c r="C53" s="3" t="n"/>
      <c r="D53" s="3" t="n"/>
      <c r="E53" s="15" t="n"/>
      <c r="F53" s="3" t="n"/>
    </row>
    <row r="54">
      <c r="A54" s="4">
        <f>SE(B54="";"";LIN()-2)</f>
        <v/>
      </c>
      <c r="B54" s="3" t="n"/>
      <c r="C54" s="3" t="n"/>
      <c r="D54" s="3" t="n"/>
      <c r="E54" s="15" t="n"/>
      <c r="F54" s="3" t="n"/>
    </row>
    <row r="55">
      <c r="A55" s="4">
        <f>SE(B55="";"";LIN()-2)</f>
        <v/>
      </c>
      <c r="B55" s="3" t="n"/>
      <c r="C55" s="3" t="n"/>
      <c r="D55" s="3" t="n"/>
      <c r="E55" s="15" t="n"/>
      <c r="F55" s="3" t="n"/>
    </row>
    <row r="56">
      <c r="A56" s="4">
        <f>SE(B56="";"";LIN()-2)</f>
        <v/>
      </c>
      <c r="B56" s="3" t="n"/>
      <c r="C56" s="3" t="n"/>
      <c r="D56" s="3" t="n"/>
      <c r="E56" s="15" t="n"/>
      <c r="F56" s="3" t="n"/>
    </row>
    <row r="57">
      <c r="A57" s="4">
        <f>SE(B57="";"";LIN()-2)</f>
        <v/>
      </c>
      <c r="B57" s="3" t="n"/>
      <c r="C57" s="3" t="n"/>
      <c r="D57" s="3" t="n"/>
      <c r="E57" s="15" t="n"/>
      <c r="F57" s="3" t="n"/>
    </row>
    <row r="58">
      <c r="A58" s="4">
        <f>SE(B58="";"";LIN()-2)</f>
        <v/>
      </c>
      <c r="B58" s="3" t="n"/>
      <c r="C58" s="3" t="n"/>
      <c r="D58" s="3" t="n"/>
      <c r="E58" s="15" t="n"/>
      <c r="F58" s="3" t="n"/>
    </row>
    <row r="59">
      <c r="A59" s="4">
        <f>SE(B59="";"";LIN()-2)</f>
        <v/>
      </c>
      <c r="B59" s="3" t="n"/>
      <c r="C59" s="3" t="n"/>
      <c r="D59" s="3" t="n"/>
      <c r="E59" s="15" t="n"/>
      <c r="F59" s="3" t="n"/>
    </row>
    <row r="60">
      <c r="A60" s="4">
        <f>SE(B60="";"";LIN()-2)</f>
        <v/>
      </c>
      <c r="B60" s="3" t="n"/>
      <c r="C60" s="3" t="n"/>
      <c r="D60" s="3" t="n"/>
      <c r="E60" s="15" t="n"/>
      <c r="F60" s="3" t="n"/>
    </row>
    <row r="61">
      <c r="A61" s="4">
        <f>SE(B61="";"";LIN()-2)</f>
        <v/>
      </c>
      <c r="B61" s="3" t="n"/>
      <c r="C61" s="3" t="n"/>
      <c r="D61" s="3" t="n"/>
      <c r="E61" s="15" t="n"/>
      <c r="F61" s="3" t="n"/>
    </row>
    <row r="62">
      <c r="A62" s="4">
        <f>SE(B62="";"";LIN()-2)</f>
        <v/>
      </c>
      <c r="B62" s="3" t="n"/>
      <c r="C62" s="3" t="n"/>
      <c r="D62" s="3" t="n"/>
      <c r="E62" s="15" t="n"/>
      <c r="F62" s="3" t="n"/>
    </row>
    <row r="63">
      <c r="A63" s="4">
        <f>SE(B63="";"";LIN()-2)</f>
        <v/>
      </c>
      <c r="B63" s="3" t="n"/>
      <c r="C63" s="3" t="n"/>
      <c r="D63" s="3" t="n"/>
      <c r="E63" s="15" t="n"/>
      <c r="F63" s="3" t="n"/>
    </row>
    <row r="64">
      <c r="A64" s="4">
        <f>SE(B64="";"";LIN()-2)</f>
        <v/>
      </c>
      <c r="B64" s="3" t="n"/>
      <c r="C64" s="3" t="n"/>
      <c r="D64" s="3" t="n"/>
      <c r="E64" s="15" t="n"/>
      <c r="F64" s="3" t="n"/>
    </row>
    <row r="65">
      <c r="A65" s="4">
        <f>SE(B65="";"";LIN()-2)</f>
        <v/>
      </c>
      <c r="B65" s="3" t="n"/>
      <c r="C65" s="3" t="n"/>
      <c r="D65" s="3" t="n"/>
      <c r="E65" s="15" t="n"/>
      <c r="F65" s="3" t="n"/>
    </row>
    <row r="66">
      <c r="A66" s="4">
        <f>SE(B66="";"";LIN()-2)</f>
        <v/>
      </c>
      <c r="B66" s="3" t="n"/>
      <c r="C66" s="3" t="n"/>
      <c r="D66" s="3" t="n"/>
      <c r="E66" s="15" t="n"/>
      <c r="F66" s="3" t="n"/>
    </row>
    <row r="67">
      <c r="A67" s="4">
        <f>SE(B67="";"";LIN()-2)</f>
        <v/>
      </c>
      <c r="B67" s="3" t="n"/>
      <c r="C67" s="3" t="n"/>
      <c r="D67" s="3" t="n"/>
      <c r="E67" s="15" t="n"/>
      <c r="F67" s="3" t="n"/>
    </row>
    <row r="68">
      <c r="A68" s="4">
        <f>SE(B68="";"";LIN()-2)</f>
        <v/>
      </c>
      <c r="B68" s="3" t="n"/>
      <c r="C68" s="3" t="n"/>
      <c r="D68" s="3" t="n"/>
      <c r="E68" s="15" t="n"/>
      <c r="F68" s="3" t="n"/>
    </row>
    <row r="69">
      <c r="A69" s="4">
        <f>SE(B69="";"";LIN()-2)</f>
        <v/>
      </c>
      <c r="B69" s="3" t="n"/>
      <c r="C69" s="3" t="n"/>
      <c r="D69" s="3" t="n"/>
      <c r="E69" s="15" t="n"/>
      <c r="F69" s="3" t="n"/>
    </row>
    <row r="70">
      <c r="A70" s="4">
        <f>SE(B70="";"";LIN()-2)</f>
        <v/>
      </c>
      <c r="B70" s="3" t="n"/>
      <c r="C70" s="3" t="n"/>
      <c r="D70" s="3" t="n"/>
      <c r="E70" s="15" t="n"/>
      <c r="F70" s="3" t="n"/>
    </row>
    <row r="71">
      <c r="A71" s="4">
        <f>SE(B71="";"";LIN()-2)</f>
        <v/>
      </c>
      <c r="B71" s="3" t="n"/>
      <c r="C71" s="3" t="n"/>
      <c r="D71" s="3" t="n"/>
      <c r="E71" s="15" t="n"/>
      <c r="F71" s="3" t="n"/>
    </row>
    <row r="72">
      <c r="A72" s="4">
        <f>SE(B72="";"";LIN()-2)</f>
        <v/>
      </c>
      <c r="B72" s="3" t="n"/>
      <c r="C72" s="3" t="n"/>
      <c r="D72" s="3" t="n"/>
      <c r="E72" s="15" t="n"/>
      <c r="F72" s="3" t="n"/>
    </row>
    <row r="73">
      <c r="A73" s="4">
        <f>SE(B73="";"";LIN()-2)</f>
        <v/>
      </c>
      <c r="B73" s="3" t="n"/>
      <c r="C73" s="3" t="n"/>
      <c r="D73" s="3" t="n"/>
      <c r="E73" s="15" t="n"/>
      <c r="F73" s="3" t="n"/>
    </row>
    <row r="74">
      <c r="A74" s="4">
        <f>SE(B74="";"";LIN()-2)</f>
        <v/>
      </c>
      <c r="B74" s="3" t="n"/>
      <c r="C74" s="3" t="n"/>
      <c r="D74" s="3" t="n"/>
      <c r="E74" s="15" t="n"/>
      <c r="F74" s="3" t="n"/>
    </row>
    <row r="75">
      <c r="A75" s="4">
        <f>SE(B75="";"";LIN()-2)</f>
        <v/>
      </c>
      <c r="B75" s="3" t="n"/>
      <c r="C75" s="3" t="n"/>
      <c r="D75" s="3" t="n"/>
      <c r="E75" s="15" t="n"/>
      <c r="F75" s="3" t="n"/>
    </row>
    <row r="76">
      <c r="A76" s="4">
        <f>SE(B76="";"";LIN()-2)</f>
        <v/>
      </c>
      <c r="B76" s="3" t="n"/>
      <c r="C76" s="3" t="n"/>
      <c r="D76" s="3" t="n"/>
      <c r="E76" s="15" t="n"/>
      <c r="F76" s="3" t="n"/>
    </row>
    <row r="77">
      <c r="A77" s="4">
        <f>SE(B77="";"";LIN()-2)</f>
        <v/>
      </c>
      <c r="B77" s="3" t="n"/>
      <c r="C77" s="3" t="n"/>
      <c r="D77" s="3" t="n"/>
      <c r="E77" s="15" t="n"/>
      <c r="F77" s="3" t="n"/>
    </row>
    <row r="78">
      <c r="A78" s="4">
        <f>SE(B78="";"";LIN()-2)</f>
        <v/>
      </c>
      <c r="B78" s="3" t="n"/>
      <c r="C78" s="3" t="n"/>
      <c r="D78" s="3" t="n"/>
      <c r="E78" s="15" t="n"/>
      <c r="F78" s="3" t="n"/>
    </row>
    <row r="79">
      <c r="A79" s="4">
        <f>SE(B79="";"";LIN()-2)</f>
        <v/>
      </c>
      <c r="B79" s="3" t="n"/>
      <c r="C79" s="3" t="n"/>
      <c r="D79" s="3" t="n"/>
      <c r="E79" s="15" t="n"/>
      <c r="F79" s="3" t="n"/>
    </row>
    <row r="80">
      <c r="A80" s="4">
        <f>SE(B80="";"";LIN()-2)</f>
        <v/>
      </c>
      <c r="B80" s="3" t="n"/>
      <c r="C80" s="3" t="n"/>
      <c r="D80" s="3" t="n"/>
      <c r="E80" s="15" t="n"/>
      <c r="F80" s="3" t="n"/>
    </row>
    <row r="81">
      <c r="A81" s="4">
        <f>SE(B81="";"";LIN()-2)</f>
        <v/>
      </c>
      <c r="B81" s="3" t="n"/>
      <c r="C81" s="3" t="n"/>
      <c r="D81" s="3" t="n"/>
      <c r="E81" s="15" t="n"/>
      <c r="F81" s="3" t="n"/>
    </row>
    <row r="82">
      <c r="A82" s="4">
        <f>SE(B82="";"";LIN()-2)</f>
        <v/>
      </c>
      <c r="B82" s="3" t="n"/>
      <c r="C82" s="3" t="n"/>
      <c r="D82" s="3" t="n"/>
      <c r="E82" s="15" t="n"/>
      <c r="F82" s="3" t="n"/>
    </row>
    <row r="83">
      <c r="A83" s="4">
        <f>SE(B83="";"";LIN()-2)</f>
        <v/>
      </c>
      <c r="B83" s="3" t="n"/>
      <c r="C83" s="3" t="n"/>
      <c r="D83" s="3" t="n"/>
      <c r="E83" s="15" t="n"/>
      <c r="F83" s="3" t="n"/>
    </row>
    <row r="84">
      <c r="A84" s="4">
        <f>SE(B84="";"";LIN()-2)</f>
        <v/>
      </c>
      <c r="B84" s="3" t="n"/>
      <c r="C84" s="3" t="n"/>
      <c r="D84" s="3" t="n"/>
      <c r="E84" s="15" t="n"/>
      <c r="F84" s="3" t="n"/>
    </row>
    <row r="85">
      <c r="A85" s="4">
        <f>SE(B85="";"";LIN()-2)</f>
        <v/>
      </c>
      <c r="B85" s="3" t="n"/>
      <c r="C85" s="3" t="n"/>
      <c r="D85" s="3" t="n"/>
      <c r="E85" s="15" t="n"/>
      <c r="F85" s="3" t="n"/>
    </row>
    <row r="86">
      <c r="A86" s="4">
        <f>SE(B86="";"";LIN()-2)</f>
        <v/>
      </c>
      <c r="B86" s="3" t="n"/>
      <c r="C86" s="3" t="n"/>
      <c r="D86" s="3" t="n"/>
      <c r="E86" s="15" t="n"/>
      <c r="F86" s="3" t="n"/>
    </row>
    <row r="87">
      <c r="A87" s="4">
        <f>SE(B87="";"";LIN()-2)</f>
        <v/>
      </c>
      <c r="B87" s="3" t="n"/>
      <c r="C87" s="3" t="n"/>
      <c r="D87" s="3" t="n"/>
      <c r="E87" s="15" t="n"/>
      <c r="F87" s="3" t="n"/>
    </row>
    <row r="88">
      <c r="A88" s="4">
        <f>SE(B88="";"";LIN()-2)</f>
        <v/>
      </c>
      <c r="B88" s="3" t="n"/>
      <c r="C88" s="3" t="n"/>
      <c r="D88" s="3" t="n"/>
      <c r="E88" s="15" t="n"/>
      <c r="F88" s="3" t="n"/>
    </row>
    <row r="89">
      <c r="A89" s="4">
        <f>SE(B89="";"";LIN()-2)</f>
        <v/>
      </c>
      <c r="B89" s="3" t="n"/>
      <c r="C89" s="3" t="n"/>
      <c r="D89" s="3" t="n"/>
      <c r="E89" s="15" t="n"/>
      <c r="F89" s="3" t="n"/>
    </row>
    <row r="90">
      <c r="A90" s="4">
        <f>SE(B90="";"";LIN()-2)</f>
        <v/>
      </c>
      <c r="B90" s="3" t="n"/>
      <c r="C90" s="3" t="n"/>
      <c r="D90" s="3" t="n"/>
      <c r="E90" s="15" t="n"/>
      <c r="F90" s="3" t="n"/>
    </row>
    <row r="91">
      <c r="A91" s="4">
        <f>SE(B91="";"";LIN()-2)</f>
        <v/>
      </c>
      <c r="B91" s="3" t="n"/>
      <c r="C91" s="3" t="n"/>
      <c r="D91" s="3" t="n"/>
      <c r="E91" s="15" t="n"/>
      <c r="F91" s="3" t="n"/>
    </row>
    <row r="92">
      <c r="A92" s="4">
        <f>SE(B92="";"";LIN()-2)</f>
        <v/>
      </c>
      <c r="B92" s="3" t="n"/>
      <c r="C92" s="3" t="n"/>
      <c r="D92" s="3" t="n"/>
      <c r="E92" s="15" t="n"/>
      <c r="F92" s="3" t="n"/>
    </row>
    <row r="93">
      <c r="A93" s="4">
        <f>SE(B93="";"";LIN()-2)</f>
        <v/>
      </c>
      <c r="B93" s="3" t="n"/>
      <c r="C93" s="3" t="n"/>
      <c r="D93" s="3" t="n"/>
      <c r="E93" s="15" t="n"/>
      <c r="F93" s="3" t="n"/>
    </row>
    <row r="94">
      <c r="A94" s="4">
        <f>SE(B94="";"";LIN()-2)</f>
        <v/>
      </c>
      <c r="B94" s="3" t="n"/>
      <c r="C94" s="3" t="n"/>
      <c r="D94" s="3" t="n"/>
      <c r="E94" s="15" t="n"/>
      <c r="F94" s="3" t="n"/>
    </row>
    <row r="95">
      <c r="A95" s="4">
        <f>SE(B95="";"";LIN()-2)</f>
        <v/>
      </c>
      <c r="B95" s="3" t="n"/>
      <c r="C95" s="3" t="n"/>
      <c r="D95" s="3" t="n"/>
      <c r="E95" s="15" t="n"/>
      <c r="F95" s="3" t="n"/>
    </row>
    <row r="96">
      <c r="A96" s="4">
        <f>SE(B96="";"";LIN()-2)</f>
        <v/>
      </c>
      <c r="B96" s="3" t="n"/>
      <c r="C96" s="3" t="n"/>
      <c r="D96" s="3" t="n"/>
      <c r="E96" s="15" t="n"/>
      <c r="F96" s="3" t="n"/>
    </row>
    <row r="97">
      <c r="A97" s="4">
        <f>SE(B97="";"";LIN()-2)</f>
        <v/>
      </c>
      <c r="B97" s="3" t="n"/>
      <c r="C97" s="3" t="n"/>
      <c r="D97" s="3" t="n"/>
      <c r="E97" s="15" t="n"/>
      <c r="F97" s="3" t="n"/>
    </row>
    <row r="98">
      <c r="A98" s="4">
        <f>SE(B98="";"";LIN()-2)</f>
        <v/>
      </c>
      <c r="B98" s="3" t="n"/>
      <c r="C98" s="3" t="n"/>
      <c r="D98" s="3" t="n"/>
      <c r="E98" s="15" t="n"/>
      <c r="F98" s="3" t="n"/>
    </row>
    <row r="99">
      <c r="A99" s="4">
        <f>SE(B99="";"";LIN()-2)</f>
        <v/>
      </c>
      <c r="B99" s="3" t="n"/>
      <c r="C99" s="3" t="n"/>
      <c r="D99" s="3" t="n"/>
      <c r="E99" s="15" t="n"/>
      <c r="F99" s="3" t="n"/>
    </row>
    <row r="100">
      <c r="A100" s="4">
        <f>SE(B100="";"";LIN()-2)</f>
        <v/>
      </c>
      <c r="B100" s="3" t="n"/>
      <c r="C100" s="3" t="n"/>
      <c r="D100" s="3" t="n"/>
      <c r="E100" s="15" t="n"/>
      <c r="F100" s="3" t="n"/>
    </row>
    <row r="101">
      <c r="A101" s="4">
        <f>SE(B101="";"";LIN()-2)</f>
        <v/>
      </c>
      <c r="B101" s="3" t="n"/>
      <c r="C101" s="3" t="n"/>
      <c r="D101" s="3" t="n"/>
      <c r="E101" s="15" t="n"/>
      <c r="F101" s="3" t="n"/>
    </row>
    <row r="102">
      <c r="A102" s="4">
        <f>SE(B102="";"";LIN()-2)</f>
        <v/>
      </c>
      <c r="B102" s="3" t="n"/>
      <c r="C102" s="3" t="n"/>
      <c r="D102" s="3" t="n"/>
      <c r="E102" s="15" t="n"/>
      <c r="F102" s="3" t="n"/>
    </row>
    <row r="103">
      <c r="A103" s="4">
        <f>SE(B103="";"";LIN()-2)</f>
        <v/>
      </c>
      <c r="B103" s="3" t="n"/>
      <c r="C103" s="3" t="n"/>
      <c r="D103" s="3" t="n"/>
      <c r="E103" s="15" t="n"/>
      <c r="F103" s="3" t="n"/>
    </row>
    <row r="104">
      <c r="A104" s="4">
        <f>SE(B104="";"";LIN()-2)</f>
        <v/>
      </c>
      <c r="B104" s="3" t="n"/>
      <c r="C104" s="3" t="n"/>
      <c r="D104" s="3" t="n"/>
      <c r="E104" s="15" t="n"/>
      <c r="F104" s="3" t="n"/>
    </row>
    <row r="105">
      <c r="A105" s="4">
        <f>SE(B105="";"";LIN()-2)</f>
        <v/>
      </c>
      <c r="B105" s="3" t="n"/>
      <c r="C105" s="3" t="n"/>
      <c r="D105" s="3" t="n"/>
      <c r="E105" s="15" t="n"/>
      <c r="F105" s="3" t="n"/>
    </row>
    <row r="106">
      <c r="A106" s="4">
        <f>SE(B106="";"";LIN()-2)</f>
        <v/>
      </c>
      <c r="B106" s="3" t="n"/>
      <c r="C106" s="3" t="n"/>
      <c r="D106" s="3" t="n"/>
      <c r="E106" s="15" t="n"/>
      <c r="F106" s="3" t="n"/>
    </row>
    <row r="107">
      <c r="A107" s="4">
        <f>SE(B107="";"";LIN()-2)</f>
        <v/>
      </c>
      <c r="B107" s="3" t="n"/>
      <c r="C107" s="3" t="n"/>
      <c r="D107" s="3" t="n"/>
      <c r="E107" s="15" t="n"/>
      <c r="F107" s="3" t="n"/>
    </row>
    <row r="108">
      <c r="A108" s="4">
        <f>SE(B108="";"";LIN()-2)</f>
        <v/>
      </c>
      <c r="B108" s="3" t="n"/>
      <c r="C108" s="3" t="n"/>
      <c r="D108" s="3" t="n"/>
      <c r="E108" s="15" t="n"/>
      <c r="F108" s="3" t="n"/>
    </row>
    <row r="109">
      <c r="A109" s="4">
        <f>SE(B109="";"";LIN()-2)</f>
        <v/>
      </c>
      <c r="B109" s="3" t="n"/>
      <c r="C109" s="3" t="n"/>
      <c r="D109" s="3" t="n"/>
      <c r="E109" s="15" t="n"/>
      <c r="F109" s="3" t="n"/>
    </row>
    <row r="110">
      <c r="A110" s="4">
        <f>SE(B110="";"";LIN()-2)</f>
        <v/>
      </c>
      <c r="B110" s="3" t="n"/>
      <c r="C110" s="3" t="n"/>
      <c r="D110" s="3" t="n"/>
      <c r="E110" s="15" t="n"/>
      <c r="F110" s="3" t="n"/>
    </row>
    <row r="111">
      <c r="A111" s="4">
        <f>SE(B111="";"";LIN()-2)</f>
        <v/>
      </c>
      <c r="B111" s="3" t="n"/>
      <c r="C111" s="3" t="n"/>
      <c r="D111" s="3" t="n"/>
      <c r="E111" s="15" t="n"/>
      <c r="F111" s="3" t="n"/>
    </row>
    <row r="112">
      <c r="A112" s="4">
        <f>SE(B112="";"";LIN()-2)</f>
        <v/>
      </c>
      <c r="B112" s="3" t="n"/>
      <c r="C112" s="3" t="n"/>
      <c r="D112" s="3" t="n"/>
      <c r="E112" s="15" t="n"/>
      <c r="F112" s="3" t="n"/>
    </row>
    <row r="113">
      <c r="A113" s="4">
        <f>SE(B113="";"";LIN()-2)</f>
        <v/>
      </c>
      <c r="B113" s="3" t="n"/>
      <c r="C113" s="3" t="n"/>
      <c r="D113" s="3" t="n"/>
      <c r="E113" s="15" t="n"/>
      <c r="F113" s="3" t="n"/>
    </row>
    <row r="114">
      <c r="A114" s="4">
        <f>SE(B114="";"";LIN()-2)</f>
        <v/>
      </c>
      <c r="B114" s="3" t="n"/>
      <c r="C114" s="3" t="n"/>
      <c r="D114" s="3" t="n"/>
      <c r="E114" s="15" t="n"/>
      <c r="F114" s="3" t="n"/>
    </row>
    <row r="115">
      <c r="A115" s="4">
        <f>SE(B115="";"";LIN()-2)</f>
        <v/>
      </c>
      <c r="B115" s="3" t="n"/>
      <c r="C115" s="3" t="n"/>
      <c r="D115" s="3" t="n"/>
      <c r="E115" s="15" t="n"/>
      <c r="F115" s="3" t="n"/>
    </row>
    <row r="116">
      <c r="A116" s="4">
        <f>SE(B116="";"";LIN()-2)</f>
        <v/>
      </c>
      <c r="B116" s="3" t="n"/>
      <c r="C116" s="3" t="n"/>
      <c r="D116" s="3" t="n"/>
      <c r="E116" s="15" t="n"/>
      <c r="F116" s="3" t="n"/>
    </row>
    <row r="117">
      <c r="A117" s="4">
        <f>SE(B117="";"";LIN()-2)</f>
        <v/>
      </c>
      <c r="B117" s="3" t="n"/>
      <c r="C117" s="3" t="n"/>
      <c r="D117" s="3" t="n"/>
      <c r="E117" s="15" t="n"/>
      <c r="F117" s="3" t="n"/>
    </row>
    <row r="118">
      <c r="A118" s="4">
        <f>SE(B118="";"";LIN()-2)</f>
        <v/>
      </c>
      <c r="B118" s="3" t="n"/>
      <c r="C118" s="3" t="n"/>
      <c r="D118" s="3" t="n"/>
      <c r="E118" s="15" t="n"/>
      <c r="F118" s="3" t="n"/>
    </row>
    <row r="119">
      <c r="A119" s="4">
        <f>SE(B119="";"";LIN()-2)</f>
        <v/>
      </c>
      <c r="B119" s="3" t="n"/>
      <c r="C119" s="3" t="n"/>
      <c r="D119" s="3" t="n"/>
      <c r="E119" s="15" t="n"/>
      <c r="F119" s="3" t="n"/>
    </row>
    <row r="120">
      <c r="A120" s="4">
        <f>SE(B120="";"";LIN()-2)</f>
        <v/>
      </c>
      <c r="B120" s="3" t="n"/>
      <c r="C120" s="3" t="n"/>
      <c r="D120" s="3" t="n"/>
      <c r="E120" s="15" t="n"/>
      <c r="F120" s="3" t="n"/>
    </row>
    <row r="121">
      <c r="A121" s="4">
        <f>SE(B121="";"";LIN()-2)</f>
        <v/>
      </c>
      <c r="B121" s="3" t="n"/>
      <c r="C121" s="3" t="n"/>
      <c r="D121" s="3" t="n"/>
      <c r="E121" s="15" t="n"/>
      <c r="F121" s="3" t="n"/>
    </row>
    <row r="122">
      <c r="A122" s="4">
        <f>SE(B122="";"";LIN()-2)</f>
        <v/>
      </c>
      <c r="B122" s="3" t="n"/>
      <c r="C122" s="3" t="n"/>
      <c r="D122" s="3" t="n"/>
      <c r="E122" s="15" t="n"/>
      <c r="F122" s="3" t="n"/>
    </row>
    <row r="123">
      <c r="A123" s="4">
        <f>SE(B123="";"";LIN()-2)</f>
        <v/>
      </c>
      <c r="B123" s="3" t="n"/>
      <c r="C123" s="3" t="n"/>
      <c r="D123" s="3" t="n"/>
      <c r="E123" s="15" t="n"/>
      <c r="F123" s="3" t="n"/>
    </row>
    <row r="124">
      <c r="A124" s="4">
        <f>SE(B124="";"";LIN()-2)</f>
        <v/>
      </c>
      <c r="B124" s="3" t="n"/>
      <c r="C124" s="3" t="n"/>
      <c r="D124" s="3" t="n"/>
      <c r="E124" s="15" t="n"/>
      <c r="F124" s="3" t="n"/>
    </row>
    <row r="125">
      <c r="A125" s="4">
        <f>SE(B125="";"";LIN()-2)</f>
        <v/>
      </c>
      <c r="B125" s="3" t="n"/>
      <c r="C125" s="3" t="n"/>
      <c r="D125" s="3" t="n"/>
      <c r="E125" s="15" t="n"/>
      <c r="F125" s="3" t="n"/>
    </row>
    <row r="126">
      <c r="A126" s="4">
        <f>SE(B126="";"";LIN()-2)</f>
        <v/>
      </c>
      <c r="B126" s="3" t="n"/>
      <c r="C126" s="3" t="n"/>
      <c r="D126" s="3" t="n"/>
      <c r="E126" s="15" t="n"/>
      <c r="F126" s="3" t="n"/>
    </row>
    <row r="127">
      <c r="A127" s="4">
        <f>SE(B127="";"";LIN()-2)</f>
        <v/>
      </c>
      <c r="B127" s="3" t="n"/>
      <c r="C127" s="3" t="n"/>
      <c r="D127" s="3" t="n"/>
      <c r="E127" s="15" t="n"/>
      <c r="F127" s="3" t="n"/>
    </row>
    <row r="128">
      <c r="A128" s="4">
        <f>SE(B128="";"";LIN()-2)</f>
        <v/>
      </c>
      <c r="B128" s="3" t="n"/>
      <c r="C128" s="3" t="n"/>
      <c r="D128" s="3" t="n"/>
      <c r="E128" s="15" t="n"/>
      <c r="F128" s="3" t="n"/>
    </row>
    <row r="129">
      <c r="A129" s="4">
        <f>SE(B129="";"";LIN()-2)</f>
        <v/>
      </c>
      <c r="B129" s="3" t="n"/>
      <c r="C129" s="3" t="n"/>
      <c r="D129" s="3" t="n"/>
      <c r="E129" s="15" t="n"/>
      <c r="F129" s="3" t="n"/>
    </row>
    <row r="130">
      <c r="A130" s="4">
        <f>SE(B130="";"";LIN()-2)</f>
        <v/>
      </c>
      <c r="B130" s="3" t="n"/>
      <c r="C130" s="3" t="n"/>
      <c r="D130" s="3" t="n"/>
      <c r="E130" s="15" t="n"/>
      <c r="F130" s="3" t="n"/>
    </row>
    <row r="131">
      <c r="A131" s="4">
        <f>SE(B131="";"";LIN()-2)</f>
        <v/>
      </c>
      <c r="B131" s="3" t="n"/>
      <c r="C131" s="3" t="n"/>
      <c r="D131" s="3" t="n"/>
      <c r="E131" s="15" t="n"/>
      <c r="F131" s="3" t="n"/>
    </row>
    <row r="132">
      <c r="A132" s="4">
        <f>SE(B132="";"";LIN()-2)</f>
        <v/>
      </c>
      <c r="B132" s="3" t="n"/>
      <c r="C132" s="3" t="n"/>
      <c r="D132" s="3" t="n"/>
      <c r="E132" s="15" t="n"/>
      <c r="F132" s="3" t="n"/>
    </row>
    <row r="133">
      <c r="A133" s="4">
        <f>SE(B133="";"";LIN()-2)</f>
        <v/>
      </c>
      <c r="B133" s="3" t="n"/>
      <c r="C133" s="3" t="n"/>
      <c r="D133" s="3" t="n"/>
      <c r="E133" s="15" t="n"/>
      <c r="F133" s="3" t="n"/>
    </row>
    <row r="134">
      <c r="A134" s="4">
        <f>SE(B134="";"";LIN()-2)</f>
        <v/>
      </c>
      <c r="B134" s="3" t="n"/>
      <c r="C134" s="3" t="n"/>
      <c r="D134" s="3" t="n"/>
      <c r="E134" s="15" t="n"/>
      <c r="F134" s="3" t="n"/>
    </row>
    <row r="135">
      <c r="A135" s="4">
        <f>SE(B135="";"";LIN()-2)</f>
        <v/>
      </c>
      <c r="B135" s="3" t="n"/>
      <c r="C135" s="3" t="n"/>
      <c r="D135" s="3" t="n"/>
      <c r="E135" s="15" t="n"/>
      <c r="F135" s="3" t="n"/>
    </row>
    <row r="136">
      <c r="A136" s="4">
        <f>SE(B136="";"";LIN()-2)</f>
        <v/>
      </c>
      <c r="B136" s="3" t="n"/>
      <c r="C136" s="3" t="n"/>
      <c r="D136" s="3" t="n"/>
      <c r="E136" s="15" t="n"/>
      <c r="F136" s="3" t="n"/>
    </row>
    <row r="137">
      <c r="A137" s="4">
        <f>SE(B137="";"";LIN()-2)</f>
        <v/>
      </c>
      <c r="B137" s="3" t="n"/>
      <c r="C137" s="3" t="n"/>
      <c r="D137" s="3" t="n"/>
      <c r="E137" s="15" t="n"/>
      <c r="F137" s="3" t="n"/>
    </row>
    <row r="138">
      <c r="A138" s="4">
        <f>SE(B138="";"";LIN()-2)</f>
        <v/>
      </c>
      <c r="B138" s="3" t="n"/>
      <c r="C138" s="3" t="n"/>
      <c r="D138" s="3" t="n"/>
      <c r="E138" s="15" t="n"/>
      <c r="F138" s="3" t="n"/>
    </row>
    <row r="139">
      <c r="A139" s="4">
        <f>SE(B139="";"";LIN()-2)</f>
        <v/>
      </c>
      <c r="B139" s="3" t="n"/>
      <c r="C139" s="3" t="n"/>
      <c r="D139" s="3" t="n"/>
      <c r="E139" s="15" t="n"/>
      <c r="F139" s="3" t="n"/>
    </row>
    <row r="140">
      <c r="A140" s="4">
        <f>SE(B140="";"";LIN()-2)</f>
        <v/>
      </c>
      <c r="B140" s="3" t="n"/>
      <c r="C140" s="3" t="n"/>
      <c r="D140" s="3" t="n"/>
      <c r="E140" s="15" t="n"/>
      <c r="F140" s="3" t="n"/>
    </row>
    <row r="141">
      <c r="A141" s="4">
        <f>SE(B141="";"";LIN()-2)</f>
        <v/>
      </c>
      <c r="B141" s="3" t="n"/>
      <c r="C141" s="3" t="n"/>
      <c r="D141" s="3" t="n"/>
      <c r="E141" s="15" t="n"/>
      <c r="F141" s="3" t="n"/>
    </row>
    <row r="142">
      <c r="A142" s="4">
        <f>SE(B142="";"";LIN()-2)</f>
        <v/>
      </c>
      <c r="B142" s="3" t="n"/>
      <c r="C142" s="3" t="n"/>
      <c r="D142" s="3" t="n"/>
      <c r="E142" s="15" t="n"/>
      <c r="F142" s="3" t="n"/>
    </row>
    <row r="143">
      <c r="A143" s="4">
        <f>SE(B143="";"";LIN()-2)</f>
        <v/>
      </c>
      <c r="B143" s="3" t="n"/>
      <c r="C143" s="3" t="n"/>
      <c r="D143" s="3" t="n"/>
      <c r="E143" s="15" t="n"/>
      <c r="F143" s="3" t="n"/>
    </row>
    <row r="144">
      <c r="A144" s="4">
        <f>SE(B144="";"";LIN()-2)</f>
        <v/>
      </c>
      <c r="B144" s="3" t="n"/>
      <c r="C144" s="3" t="n"/>
      <c r="D144" s="3" t="n"/>
      <c r="E144" s="15" t="n"/>
      <c r="F144" s="3" t="n"/>
    </row>
    <row r="145">
      <c r="A145" s="4">
        <f>SE(B145="";"";LIN()-2)</f>
        <v/>
      </c>
      <c r="B145" s="3" t="n"/>
      <c r="C145" s="3" t="n"/>
      <c r="D145" s="3" t="n"/>
      <c r="E145" s="15" t="n"/>
      <c r="F145" s="3" t="n"/>
    </row>
    <row r="146">
      <c r="A146" s="4">
        <f>SE(B146="";"";LIN()-2)</f>
        <v/>
      </c>
      <c r="B146" s="3" t="n"/>
      <c r="C146" s="3" t="n"/>
      <c r="D146" s="3" t="n"/>
      <c r="E146" s="15" t="n"/>
      <c r="F146" s="3" t="n"/>
    </row>
    <row r="147">
      <c r="A147" s="4">
        <f>SE(B147="";"";LIN()-2)</f>
        <v/>
      </c>
      <c r="B147" s="3" t="n"/>
      <c r="C147" s="3" t="n"/>
      <c r="D147" s="3" t="n"/>
      <c r="E147" s="15" t="n"/>
      <c r="F147" s="3" t="n"/>
    </row>
    <row r="148">
      <c r="A148" s="4">
        <f>SE(B148="";"";LIN()-2)</f>
        <v/>
      </c>
      <c r="B148" s="3" t="n"/>
      <c r="C148" s="3" t="n"/>
      <c r="D148" s="3" t="n"/>
      <c r="E148" s="15" t="n"/>
      <c r="F148" s="3" t="n"/>
    </row>
    <row r="149">
      <c r="A149" s="4">
        <f>SE(B149="";"";LIN()-2)</f>
        <v/>
      </c>
      <c r="B149" s="3" t="n"/>
      <c r="C149" s="3" t="n"/>
      <c r="D149" s="3" t="n"/>
      <c r="E149" s="15" t="n"/>
      <c r="F149" s="3" t="n"/>
    </row>
    <row r="150">
      <c r="A150" s="4">
        <f>SE(B150="";"";LIN()-2)</f>
        <v/>
      </c>
      <c r="B150" s="3" t="n"/>
      <c r="C150" s="3" t="n"/>
      <c r="D150" s="3" t="n"/>
      <c r="E150" s="15" t="n"/>
      <c r="F150" s="3" t="n"/>
    </row>
    <row r="151">
      <c r="A151" s="4">
        <f>SE(B151="";"";LIN()-2)</f>
        <v/>
      </c>
      <c r="B151" s="3" t="n"/>
      <c r="C151" s="3" t="n"/>
      <c r="D151" s="3" t="n"/>
      <c r="E151" s="15" t="n"/>
      <c r="F151" s="3" t="n"/>
    </row>
    <row r="152">
      <c r="A152" s="4">
        <f>SE(B152="";"";LIN()-2)</f>
        <v/>
      </c>
      <c r="B152" s="3" t="n"/>
      <c r="C152" s="3" t="n"/>
      <c r="D152" s="3" t="n"/>
      <c r="E152" s="15" t="n"/>
      <c r="F152" s="3" t="n"/>
    </row>
    <row r="153">
      <c r="A153" s="4">
        <f>SE(B153="";"";LIN()-2)</f>
        <v/>
      </c>
      <c r="B153" s="3" t="n"/>
      <c r="C153" s="3" t="n"/>
      <c r="D153" s="3" t="n"/>
      <c r="E153" s="15" t="n"/>
      <c r="F153" s="3" t="n"/>
    </row>
    <row r="154">
      <c r="A154" s="4">
        <f>SE(B154="";"";LIN()-2)</f>
        <v/>
      </c>
      <c r="B154" s="3" t="n"/>
      <c r="C154" s="3" t="n"/>
      <c r="D154" s="3" t="n"/>
      <c r="E154" s="15" t="n"/>
      <c r="F154" s="3" t="n"/>
    </row>
    <row r="155">
      <c r="A155" s="4">
        <f>SE(B155="";"";LIN()-2)</f>
        <v/>
      </c>
      <c r="B155" s="3" t="n"/>
      <c r="C155" s="3" t="n"/>
      <c r="D155" s="3" t="n"/>
      <c r="E155" s="15" t="n"/>
      <c r="F155" s="3" t="n"/>
    </row>
    <row r="156">
      <c r="A156" s="4">
        <f>SE(B156="";"";LIN()-2)</f>
        <v/>
      </c>
      <c r="B156" s="3" t="n"/>
      <c r="C156" s="3" t="n"/>
      <c r="D156" s="3" t="n"/>
      <c r="E156" s="15" t="n"/>
      <c r="F156" s="3" t="n"/>
    </row>
    <row r="157">
      <c r="A157" s="4">
        <f>SE(B157="";"";LIN()-2)</f>
        <v/>
      </c>
      <c r="B157" s="3" t="n"/>
      <c r="C157" s="3" t="n"/>
      <c r="D157" s="3" t="n"/>
      <c r="E157" s="15" t="n"/>
      <c r="F157" s="3" t="n"/>
    </row>
    <row r="158">
      <c r="A158" s="4">
        <f>SE(B158="";"";LIN()-2)</f>
        <v/>
      </c>
      <c r="B158" s="3" t="n"/>
      <c r="C158" s="3" t="n"/>
      <c r="D158" s="3" t="n"/>
      <c r="E158" s="15" t="n"/>
      <c r="F158" s="3" t="n"/>
    </row>
    <row r="159">
      <c r="A159" s="4">
        <f>SE(B159="";"";LIN()-2)</f>
        <v/>
      </c>
      <c r="B159" s="3" t="n"/>
      <c r="C159" s="3" t="n"/>
      <c r="D159" s="3" t="n"/>
      <c r="E159" s="15" t="n"/>
      <c r="F159" s="3" t="n"/>
    </row>
    <row r="160">
      <c r="A160" s="4">
        <f>SE(B160="";"";LIN()-2)</f>
        <v/>
      </c>
      <c r="B160" s="3" t="n"/>
      <c r="C160" s="3" t="n"/>
      <c r="D160" s="3" t="n"/>
      <c r="E160" s="15" t="n"/>
      <c r="F160" s="3" t="n"/>
    </row>
    <row r="161">
      <c r="A161" s="4">
        <f>SE(B161="";"";LIN()-2)</f>
        <v/>
      </c>
      <c r="B161" s="3" t="n"/>
      <c r="C161" s="3" t="n"/>
      <c r="D161" s="3" t="n"/>
      <c r="E161" s="15" t="n"/>
      <c r="F161" s="3" t="n"/>
    </row>
    <row r="162">
      <c r="A162" s="4">
        <f>SE(B162="";"";LIN()-2)</f>
        <v/>
      </c>
      <c r="B162" s="3" t="n"/>
      <c r="C162" s="3" t="n"/>
      <c r="D162" s="3" t="n"/>
      <c r="E162" s="15" t="n"/>
      <c r="F162" s="3" t="n"/>
    </row>
    <row r="163">
      <c r="A163" s="4">
        <f>SE(B163="";"";LIN()-2)</f>
        <v/>
      </c>
      <c r="B163" s="3" t="n"/>
      <c r="C163" s="3" t="n"/>
      <c r="D163" s="3" t="n"/>
      <c r="E163" s="15" t="n"/>
      <c r="F163" s="3" t="n"/>
    </row>
    <row r="164">
      <c r="A164" s="4">
        <f>SE(B164="";"";LIN()-2)</f>
        <v/>
      </c>
      <c r="B164" s="3" t="n"/>
      <c r="C164" s="3" t="n"/>
      <c r="D164" s="3" t="n"/>
      <c r="E164" s="15" t="n"/>
      <c r="F164" s="3" t="n"/>
    </row>
    <row r="165">
      <c r="A165" s="4">
        <f>SE(B165="";"";LIN()-2)</f>
        <v/>
      </c>
      <c r="B165" s="3" t="n"/>
      <c r="C165" s="3" t="n"/>
      <c r="D165" s="3" t="n"/>
      <c r="E165" s="15" t="n"/>
      <c r="F165" s="3" t="n"/>
    </row>
    <row r="166">
      <c r="A166" s="4">
        <f>SE(B166="";"";LIN()-2)</f>
        <v/>
      </c>
      <c r="B166" s="3" t="n"/>
      <c r="C166" s="3" t="n"/>
      <c r="D166" s="3" t="n"/>
      <c r="E166" s="15" t="n"/>
      <c r="F166" s="3" t="n"/>
    </row>
    <row r="167">
      <c r="A167" s="4">
        <f>SE(B167="";"";LIN()-2)</f>
        <v/>
      </c>
      <c r="B167" s="3" t="n"/>
      <c r="C167" s="3" t="n"/>
      <c r="D167" s="3" t="n"/>
      <c r="E167" s="15" t="n"/>
      <c r="F167" s="3" t="n"/>
    </row>
    <row r="168">
      <c r="A168" s="4">
        <f>SE(B168="";"";LIN()-2)</f>
        <v/>
      </c>
      <c r="B168" s="3" t="n"/>
      <c r="C168" s="3" t="n"/>
      <c r="D168" s="3" t="n"/>
      <c r="E168" s="15" t="n"/>
      <c r="F168" s="3" t="n"/>
    </row>
    <row r="169">
      <c r="A169" s="4">
        <f>SE(B169="";"";LIN()-2)</f>
        <v/>
      </c>
      <c r="B169" s="3" t="n"/>
      <c r="C169" s="3" t="n"/>
      <c r="D169" s="3" t="n"/>
      <c r="E169" s="15" t="n"/>
      <c r="F169" s="3" t="n"/>
    </row>
    <row r="170">
      <c r="A170" s="4">
        <f>SE(B170="";"";LIN()-2)</f>
        <v/>
      </c>
      <c r="B170" s="3" t="n"/>
      <c r="C170" s="3" t="n"/>
      <c r="D170" s="3" t="n"/>
      <c r="E170" s="15" t="n"/>
      <c r="F170" s="3" t="n"/>
    </row>
    <row r="171">
      <c r="A171" s="4">
        <f>SE(B171="";"";LIN()-2)</f>
        <v/>
      </c>
      <c r="B171" s="3" t="n"/>
      <c r="C171" s="3" t="n"/>
      <c r="D171" s="3" t="n"/>
      <c r="E171" s="15" t="n"/>
      <c r="F171" s="3" t="n"/>
    </row>
    <row r="172">
      <c r="A172" s="4">
        <f>SE(B172="";"";LIN()-2)</f>
        <v/>
      </c>
      <c r="B172" s="3" t="n"/>
      <c r="C172" s="3" t="n"/>
      <c r="D172" s="3" t="n"/>
      <c r="E172" s="15" t="n"/>
      <c r="F172" s="3" t="n"/>
    </row>
    <row r="173">
      <c r="A173" s="4">
        <f>SE(B173="";"";LIN()-2)</f>
        <v/>
      </c>
      <c r="B173" s="3" t="n"/>
      <c r="C173" s="3" t="n"/>
      <c r="D173" s="3" t="n"/>
      <c r="E173" s="15" t="n"/>
      <c r="F173" s="3" t="n"/>
    </row>
    <row r="174">
      <c r="A174" s="4">
        <f>SE(B174="";"";LIN()-2)</f>
        <v/>
      </c>
      <c r="B174" s="3" t="n"/>
      <c r="C174" s="3" t="n"/>
      <c r="D174" s="3" t="n"/>
      <c r="E174" s="15" t="n"/>
      <c r="F174" s="3" t="n"/>
    </row>
    <row r="175">
      <c r="A175" s="4">
        <f>SE(B175="";"";LIN()-2)</f>
        <v/>
      </c>
      <c r="B175" s="3" t="n"/>
      <c r="C175" s="3" t="n"/>
      <c r="D175" s="3" t="n"/>
      <c r="E175" s="15" t="n"/>
      <c r="F175" s="3" t="n"/>
    </row>
    <row r="176">
      <c r="A176" s="4">
        <f>SE(B176="";"";LIN()-2)</f>
        <v/>
      </c>
      <c r="B176" s="3" t="n"/>
      <c r="C176" s="3" t="n"/>
      <c r="D176" s="3" t="n"/>
      <c r="E176" s="15" t="n"/>
      <c r="F176" s="3" t="n"/>
    </row>
    <row r="177">
      <c r="A177" s="4">
        <f>SE(B177="";"";LIN()-2)</f>
        <v/>
      </c>
      <c r="B177" s="3" t="n"/>
      <c r="C177" s="3" t="n"/>
      <c r="D177" s="3" t="n"/>
      <c r="E177" s="15" t="n"/>
      <c r="F177" s="3" t="n"/>
    </row>
    <row r="178">
      <c r="A178" s="4">
        <f>SE(B178="";"";LIN()-2)</f>
        <v/>
      </c>
      <c r="B178" s="3" t="n"/>
      <c r="C178" s="3" t="n"/>
      <c r="D178" s="3" t="n"/>
      <c r="E178" s="15" t="n"/>
      <c r="F178" s="3" t="n"/>
    </row>
    <row r="179">
      <c r="A179" s="4">
        <f>SE(B179="";"";LIN()-2)</f>
        <v/>
      </c>
      <c r="B179" s="3" t="n"/>
      <c r="C179" s="3" t="n"/>
      <c r="D179" s="3" t="n"/>
      <c r="E179" s="15" t="n"/>
      <c r="F179" s="3" t="n"/>
    </row>
    <row r="180">
      <c r="A180" s="4">
        <f>SE(B180="";"";LIN()-2)</f>
        <v/>
      </c>
      <c r="B180" s="3" t="n"/>
      <c r="C180" s="3" t="n"/>
      <c r="D180" s="3" t="n"/>
      <c r="E180" s="15" t="n"/>
      <c r="F180" s="3" t="n"/>
    </row>
    <row r="181">
      <c r="A181" s="4">
        <f>SE(B181="";"";LIN()-2)</f>
        <v/>
      </c>
      <c r="B181" s="3" t="n"/>
      <c r="C181" s="3" t="n"/>
      <c r="D181" s="3" t="n"/>
      <c r="E181" s="15" t="n"/>
      <c r="F181" s="3" t="n"/>
    </row>
    <row r="182">
      <c r="A182" s="4">
        <f>SE(B182="";"";LIN()-2)</f>
        <v/>
      </c>
      <c r="B182" s="3" t="n"/>
      <c r="C182" s="3" t="n"/>
      <c r="D182" s="3" t="n"/>
      <c r="E182" s="15" t="n"/>
      <c r="F182" s="3" t="n"/>
    </row>
    <row r="183">
      <c r="A183" s="4">
        <f>SE(B183="";"";LIN()-2)</f>
        <v/>
      </c>
      <c r="B183" s="3" t="n"/>
      <c r="C183" s="3" t="n"/>
      <c r="D183" s="3" t="n"/>
      <c r="E183" s="15" t="n"/>
      <c r="F183" s="3" t="n"/>
    </row>
    <row r="184">
      <c r="A184" s="4">
        <f>SE(B184="";"";LIN()-2)</f>
        <v/>
      </c>
      <c r="B184" s="3" t="n"/>
      <c r="C184" s="3" t="n"/>
      <c r="D184" s="3" t="n"/>
      <c r="E184" s="15" t="n"/>
      <c r="F184" s="3" t="n"/>
    </row>
    <row r="185">
      <c r="A185" s="4">
        <f>SE(B185="";"";LIN()-2)</f>
        <v/>
      </c>
      <c r="B185" s="3" t="n"/>
      <c r="C185" s="3" t="n"/>
      <c r="D185" s="3" t="n"/>
      <c r="E185" s="15" t="n"/>
      <c r="F185" s="3" t="n"/>
    </row>
    <row r="186">
      <c r="A186" s="4">
        <f>SE(B186="";"";LIN()-2)</f>
        <v/>
      </c>
      <c r="B186" s="3" t="n"/>
      <c r="C186" s="3" t="n"/>
      <c r="D186" s="3" t="n"/>
      <c r="E186" s="15" t="n"/>
      <c r="F186" s="3" t="n"/>
    </row>
    <row r="187">
      <c r="A187" s="4">
        <f>SE(B187="";"";LIN()-2)</f>
        <v/>
      </c>
      <c r="B187" s="3" t="n"/>
      <c r="C187" s="3" t="n"/>
      <c r="D187" s="3" t="n"/>
      <c r="E187" s="15" t="n"/>
      <c r="F187" s="3" t="n"/>
    </row>
    <row r="188">
      <c r="A188" s="4">
        <f>SE(B188="";"";LIN()-2)</f>
        <v/>
      </c>
      <c r="B188" s="3" t="n"/>
      <c r="C188" s="3" t="n"/>
      <c r="D188" s="3" t="n"/>
      <c r="E188" s="15" t="n"/>
      <c r="F188" s="3" t="n"/>
    </row>
    <row r="189">
      <c r="A189" s="4">
        <f>SE(B189="";"";LIN()-2)</f>
        <v/>
      </c>
      <c r="B189" s="3" t="n"/>
      <c r="C189" s="3" t="n"/>
      <c r="D189" s="3" t="n"/>
      <c r="E189" s="15" t="n"/>
      <c r="F189" s="3" t="n"/>
    </row>
    <row r="190">
      <c r="A190" s="4">
        <f>SE(B190="";"";LIN()-2)</f>
        <v/>
      </c>
      <c r="B190" s="3" t="n"/>
      <c r="C190" s="3" t="n"/>
      <c r="D190" s="3" t="n"/>
      <c r="E190" s="15" t="n"/>
      <c r="F190" s="3" t="n"/>
    </row>
    <row r="191">
      <c r="A191" s="4">
        <f>SE(B191="";"";LIN()-2)</f>
        <v/>
      </c>
      <c r="B191" s="3" t="n"/>
      <c r="C191" s="3" t="n"/>
      <c r="D191" s="3" t="n"/>
      <c r="E191" s="15" t="n"/>
      <c r="F191" s="3" t="n"/>
    </row>
    <row r="192">
      <c r="A192" s="4">
        <f>SE(B192="";"";LIN()-2)</f>
        <v/>
      </c>
      <c r="B192" s="3" t="n"/>
      <c r="C192" s="3" t="n"/>
      <c r="D192" s="3" t="n"/>
      <c r="E192" s="15" t="n"/>
      <c r="F192" s="3" t="n"/>
    </row>
    <row r="193">
      <c r="A193" s="4">
        <f>SE(B193="";"";LIN()-2)</f>
        <v/>
      </c>
      <c r="B193" s="3" t="n"/>
      <c r="C193" s="3" t="n"/>
      <c r="D193" s="3" t="n"/>
      <c r="E193" s="15" t="n"/>
      <c r="F193" s="3" t="n"/>
    </row>
    <row r="194">
      <c r="A194" s="4">
        <f>SE(B194="";"";LIN()-2)</f>
        <v/>
      </c>
      <c r="B194" s="3" t="n"/>
      <c r="C194" s="3" t="n"/>
      <c r="D194" s="3" t="n"/>
      <c r="E194" s="15" t="n"/>
      <c r="F194" s="3" t="n"/>
    </row>
    <row r="195">
      <c r="A195" s="4">
        <f>SE(B195="";"";LIN()-2)</f>
        <v/>
      </c>
      <c r="B195" s="3" t="n"/>
      <c r="C195" s="3" t="n"/>
      <c r="D195" s="3" t="n"/>
      <c r="E195" s="15" t="n"/>
      <c r="F195" s="3" t="n"/>
    </row>
    <row r="196">
      <c r="A196" s="4">
        <f>SE(B196="";"";LIN()-2)</f>
        <v/>
      </c>
      <c r="B196" s="3" t="n"/>
      <c r="C196" s="3" t="n"/>
      <c r="D196" s="3" t="n"/>
      <c r="E196" s="15" t="n"/>
      <c r="F196" s="3" t="n"/>
    </row>
    <row r="197">
      <c r="A197" s="4">
        <f>SE(B197="";"";LIN()-2)</f>
        <v/>
      </c>
      <c r="B197" s="3" t="n"/>
      <c r="C197" s="3" t="n"/>
      <c r="D197" s="3" t="n"/>
      <c r="E197" s="15" t="n"/>
      <c r="F197" s="3" t="n"/>
    </row>
    <row r="198">
      <c r="A198" s="4">
        <f>SE(B198="";"";LIN()-2)</f>
        <v/>
      </c>
      <c r="B198" s="3" t="n"/>
      <c r="C198" s="3" t="n"/>
      <c r="D198" s="3" t="n"/>
      <c r="E198" s="15" t="n"/>
      <c r="F198" s="3" t="n"/>
    </row>
    <row r="199">
      <c r="A199" s="4">
        <f>SE(B199="";"";LIN()-2)</f>
        <v/>
      </c>
      <c r="B199" s="3" t="n"/>
      <c r="C199" s="3" t="n"/>
      <c r="D199" s="3" t="n"/>
      <c r="E199" s="15" t="n"/>
      <c r="F199" s="3" t="n"/>
    </row>
    <row r="200">
      <c r="A200" s="4">
        <f>SE(B200="";"";LIN()-2)</f>
        <v/>
      </c>
      <c r="B200" s="3" t="n"/>
      <c r="C200" s="3" t="n"/>
      <c r="D200" s="3" t="n"/>
      <c r="E200" s="15" t="n"/>
      <c r="F200" s="3" t="n"/>
    </row>
    <row r="201">
      <c r="A201" s="4">
        <f>SE(B201="";"";LIN()-2)</f>
        <v/>
      </c>
      <c r="B201" s="3" t="n"/>
      <c r="C201" s="3" t="n"/>
      <c r="D201" s="3" t="n"/>
      <c r="E201" s="15" t="n"/>
      <c r="F201" s="3" t="n"/>
    </row>
    <row r="202">
      <c r="A202" s="4">
        <f>SE(B202="";"";LIN()-2)</f>
        <v/>
      </c>
      <c r="B202" s="3" t="n"/>
      <c r="C202" s="3" t="n"/>
      <c r="D202" s="3" t="n"/>
      <c r="E202" s="15" t="n"/>
      <c r="F202" s="3" t="n"/>
    </row>
    <row r="203">
      <c r="A203" s="4">
        <f>SE(B203="";"";LIN()-2)</f>
        <v/>
      </c>
      <c r="B203" s="3" t="n"/>
      <c r="C203" s="3" t="n"/>
      <c r="D203" s="3" t="n"/>
      <c r="E203" s="15" t="n"/>
      <c r="F203" s="3" t="n"/>
    </row>
    <row r="204">
      <c r="A204" s="4">
        <f>SE(B204="";"";LIN()-2)</f>
        <v/>
      </c>
      <c r="B204" s="3" t="n"/>
      <c r="C204" s="3" t="n"/>
      <c r="D204" s="3" t="n"/>
      <c r="E204" s="15" t="n"/>
      <c r="F204" s="3" t="n"/>
    </row>
    <row r="205">
      <c r="A205" s="4">
        <f>SE(B205="";"";LIN()-2)</f>
        <v/>
      </c>
      <c r="B205" s="3" t="n"/>
      <c r="C205" s="3" t="n"/>
      <c r="D205" s="3" t="n"/>
      <c r="E205" s="15" t="n"/>
      <c r="F205" s="3" t="n"/>
    </row>
    <row r="206">
      <c r="A206" s="4">
        <f>SE(B206="";"";LIN()-2)</f>
        <v/>
      </c>
      <c r="B206" s="3" t="n"/>
      <c r="C206" s="3" t="n"/>
      <c r="D206" s="3" t="n"/>
      <c r="E206" s="15" t="n"/>
      <c r="F206" s="3" t="n"/>
    </row>
    <row r="207">
      <c r="A207" s="4">
        <f>SE(B207="";"";LIN()-2)</f>
        <v/>
      </c>
      <c r="B207" s="3" t="n"/>
      <c r="C207" s="3" t="n"/>
      <c r="D207" s="3" t="n"/>
      <c r="E207" s="15" t="n"/>
      <c r="F207" s="3" t="n"/>
    </row>
    <row r="208">
      <c r="A208" s="4">
        <f>SE(B208="";"";LIN()-2)</f>
        <v/>
      </c>
      <c r="B208" s="3" t="n"/>
      <c r="C208" s="3" t="n"/>
      <c r="D208" s="3" t="n"/>
      <c r="E208" s="15" t="n"/>
      <c r="F208" s="3" t="n"/>
    </row>
    <row r="209">
      <c r="A209" s="4">
        <f>SE(B209="";"";LIN()-2)</f>
        <v/>
      </c>
      <c r="B209" s="3" t="n"/>
      <c r="C209" s="3" t="n"/>
      <c r="D209" s="3" t="n"/>
      <c r="E209" s="15" t="n"/>
      <c r="F209" s="3" t="n"/>
    </row>
    <row r="210">
      <c r="A210" s="4">
        <f>SE(B210="";"";LIN()-2)</f>
        <v/>
      </c>
      <c r="B210" s="3" t="n"/>
      <c r="C210" s="3" t="n"/>
      <c r="D210" s="3" t="n"/>
      <c r="E210" s="15" t="n"/>
      <c r="F210" s="3" t="n"/>
    </row>
    <row r="211">
      <c r="A211" s="4">
        <f>SE(B211="";"";LIN()-2)</f>
        <v/>
      </c>
      <c r="B211" s="3" t="n"/>
      <c r="C211" s="3" t="n"/>
      <c r="D211" s="3" t="n"/>
      <c r="E211" s="15" t="n"/>
      <c r="F211" s="3" t="n"/>
    </row>
    <row r="212">
      <c r="A212" s="4">
        <f>SE(B212="";"";LIN()-2)</f>
        <v/>
      </c>
      <c r="B212" s="3" t="n"/>
      <c r="C212" s="3" t="n"/>
      <c r="D212" s="3" t="n"/>
      <c r="E212" s="15" t="n"/>
      <c r="F212" s="3" t="n"/>
    </row>
    <row r="213">
      <c r="A213" s="4">
        <f>SE(B213="";"";LIN()-2)</f>
        <v/>
      </c>
      <c r="B213" s="3" t="n"/>
      <c r="C213" s="3" t="n"/>
      <c r="D213" s="3" t="n"/>
      <c r="E213" s="15" t="n"/>
      <c r="F213" s="3" t="n"/>
    </row>
    <row r="214">
      <c r="A214" s="4">
        <f>SE(B214="";"";LIN()-2)</f>
        <v/>
      </c>
      <c r="B214" s="3" t="n"/>
      <c r="C214" s="3" t="n"/>
      <c r="D214" s="3" t="n"/>
      <c r="E214" s="15" t="n"/>
      <c r="F214" s="3" t="n"/>
    </row>
    <row r="215">
      <c r="A215" s="4">
        <f>SE(B215="";"";LIN()-2)</f>
        <v/>
      </c>
      <c r="B215" s="3" t="n"/>
      <c r="C215" s="3" t="n"/>
      <c r="D215" s="3" t="n"/>
      <c r="E215" s="15" t="n"/>
      <c r="F215" s="3" t="n"/>
    </row>
    <row r="216">
      <c r="A216" s="4">
        <f>SE(B216="";"";LIN()-2)</f>
        <v/>
      </c>
      <c r="B216" s="3" t="n"/>
      <c r="C216" s="3" t="n"/>
      <c r="D216" s="3" t="n"/>
      <c r="E216" s="15" t="n"/>
      <c r="F216" s="3" t="n"/>
    </row>
    <row r="217">
      <c r="A217" s="4">
        <f>SE(B217="";"";LIN()-2)</f>
        <v/>
      </c>
      <c r="B217" s="3" t="n"/>
      <c r="C217" s="3" t="n"/>
      <c r="D217" s="3" t="n"/>
      <c r="E217" s="15" t="n"/>
      <c r="F217" s="3" t="n"/>
    </row>
    <row r="218">
      <c r="A218" s="4">
        <f>SE(B218="";"";LIN()-2)</f>
        <v/>
      </c>
      <c r="B218" s="3" t="n"/>
      <c r="C218" s="3" t="n"/>
      <c r="D218" s="3" t="n"/>
      <c r="E218" s="15" t="n"/>
      <c r="F218" s="3" t="n"/>
    </row>
    <row r="219">
      <c r="A219" s="4">
        <f>SE(B219="";"";LIN()-2)</f>
        <v/>
      </c>
      <c r="B219" s="3" t="n"/>
      <c r="C219" s="3" t="n"/>
      <c r="D219" s="3" t="n"/>
      <c r="E219" s="15" t="n"/>
      <c r="F219" s="3" t="n"/>
    </row>
    <row r="220">
      <c r="A220" s="4">
        <f>SE(B220="";"";LIN()-2)</f>
        <v/>
      </c>
      <c r="B220" s="3" t="n"/>
      <c r="C220" s="3" t="n"/>
      <c r="D220" s="3" t="n"/>
      <c r="E220" s="15" t="n"/>
      <c r="F220" s="3" t="n"/>
    </row>
    <row r="221">
      <c r="A221" s="4">
        <f>SE(B221="";"";LIN()-2)</f>
        <v/>
      </c>
      <c r="B221" s="3" t="n"/>
      <c r="C221" s="3" t="n"/>
      <c r="D221" s="3" t="n"/>
      <c r="E221" s="15" t="n"/>
      <c r="F221" s="3" t="n"/>
    </row>
    <row r="222">
      <c r="A222" s="4">
        <f>SE(B222="";"";LIN()-2)</f>
        <v/>
      </c>
      <c r="B222" s="3" t="n"/>
      <c r="C222" s="3" t="n"/>
      <c r="D222" s="3" t="n"/>
      <c r="E222" s="15" t="n"/>
      <c r="F222" s="3" t="n"/>
    </row>
    <row r="223">
      <c r="A223" s="4">
        <f>SE(B223="";"";LIN()-2)</f>
        <v/>
      </c>
      <c r="B223" s="3" t="n"/>
      <c r="C223" s="3" t="n"/>
      <c r="D223" s="3" t="n"/>
      <c r="E223" s="15" t="n"/>
      <c r="F223" s="3" t="n"/>
    </row>
    <row r="224">
      <c r="A224" s="4">
        <f>SE(B224="";"";LIN()-2)</f>
        <v/>
      </c>
      <c r="B224" s="3" t="n"/>
      <c r="C224" s="3" t="n"/>
      <c r="D224" s="3" t="n"/>
      <c r="E224" s="15" t="n"/>
      <c r="F224" s="3" t="n"/>
    </row>
    <row r="225">
      <c r="A225" s="4">
        <f>SE(B225="";"";LIN()-2)</f>
        <v/>
      </c>
      <c r="B225" s="3" t="n"/>
      <c r="C225" s="3" t="n"/>
      <c r="D225" s="3" t="n"/>
      <c r="E225" s="15" t="n"/>
      <c r="F225" s="3" t="n"/>
    </row>
    <row r="226">
      <c r="A226" s="4">
        <f>SE(B226="";"";LIN()-2)</f>
        <v/>
      </c>
      <c r="B226" s="3" t="n"/>
      <c r="C226" s="3" t="n"/>
      <c r="D226" s="3" t="n"/>
      <c r="E226" s="15" t="n"/>
      <c r="F226" s="3" t="n"/>
    </row>
    <row r="227">
      <c r="A227" s="4">
        <f>SE(B227="";"";LIN()-2)</f>
        <v/>
      </c>
      <c r="B227" s="3" t="n"/>
      <c r="C227" s="3" t="n"/>
      <c r="D227" s="3" t="n"/>
      <c r="E227" s="15" t="n"/>
      <c r="F227" s="3" t="n"/>
    </row>
    <row r="228">
      <c r="A228" s="4">
        <f>SE(B228="";"";LIN()-2)</f>
        <v/>
      </c>
      <c r="B228" s="3" t="n"/>
      <c r="C228" s="3" t="n"/>
      <c r="D228" s="3" t="n"/>
      <c r="E228" s="15" t="n"/>
      <c r="F228" s="3" t="n"/>
    </row>
    <row r="229">
      <c r="A229" s="4">
        <f>SE(B229="";"";LIN()-2)</f>
        <v/>
      </c>
      <c r="B229" s="3" t="n"/>
      <c r="C229" s="3" t="n"/>
      <c r="D229" s="3" t="n"/>
      <c r="E229" s="15" t="n"/>
      <c r="F229" s="3" t="n"/>
    </row>
    <row r="230">
      <c r="A230" s="4">
        <f>SE(B230="";"";LIN()-2)</f>
        <v/>
      </c>
      <c r="B230" s="3" t="n"/>
      <c r="C230" s="3" t="n"/>
      <c r="D230" s="3" t="n"/>
      <c r="E230" s="15" t="n"/>
      <c r="F230" s="3" t="n"/>
    </row>
    <row r="231">
      <c r="A231" s="4">
        <f>SE(B231="";"";LIN()-2)</f>
        <v/>
      </c>
      <c r="B231" s="3" t="n"/>
      <c r="C231" s="3" t="n"/>
      <c r="D231" s="3" t="n"/>
      <c r="E231" s="15" t="n"/>
      <c r="F231" s="3" t="n"/>
    </row>
    <row r="232">
      <c r="A232" s="4">
        <f>SE(B232="";"";LIN()-2)</f>
        <v/>
      </c>
      <c r="B232" s="3" t="n"/>
      <c r="C232" s="3" t="n"/>
      <c r="D232" s="3" t="n"/>
      <c r="E232" s="15" t="n"/>
      <c r="F232" s="3" t="n"/>
    </row>
    <row r="233">
      <c r="A233" s="4">
        <f>SE(B233="";"";LIN()-2)</f>
        <v/>
      </c>
      <c r="B233" s="3" t="n"/>
      <c r="C233" s="3" t="n"/>
      <c r="D233" s="3" t="n"/>
      <c r="E233" s="15" t="n"/>
      <c r="F233" s="3" t="n"/>
    </row>
    <row r="234">
      <c r="A234" s="4">
        <f>SE(B234="";"";LIN()-2)</f>
        <v/>
      </c>
      <c r="B234" s="3" t="n"/>
      <c r="C234" s="3" t="n"/>
      <c r="D234" s="3" t="n"/>
      <c r="E234" s="15" t="n"/>
      <c r="F234" s="3" t="n"/>
    </row>
    <row r="235">
      <c r="A235" s="4">
        <f>SE(B235="";"";LIN()-2)</f>
        <v/>
      </c>
      <c r="B235" s="3" t="n"/>
      <c r="C235" s="3" t="n"/>
      <c r="D235" s="3" t="n"/>
      <c r="E235" s="15" t="n"/>
      <c r="F235" s="3" t="n"/>
    </row>
    <row r="236">
      <c r="A236" s="4">
        <f>SE(B236="";"";LIN()-2)</f>
        <v/>
      </c>
      <c r="B236" s="3" t="n"/>
      <c r="C236" s="3" t="n"/>
      <c r="D236" s="3" t="n"/>
      <c r="E236" s="15" t="n"/>
      <c r="F236" s="3" t="n"/>
    </row>
    <row r="237">
      <c r="A237" s="4">
        <f>SE(B237="";"";LIN()-2)</f>
        <v/>
      </c>
      <c r="B237" s="3" t="n"/>
      <c r="C237" s="3" t="n"/>
      <c r="D237" s="3" t="n"/>
      <c r="E237" s="15" t="n"/>
      <c r="F237" s="3" t="n"/>
    </row>
    <row r="238">
      <c r="A238" s="4">
        <f>SE(B238="";"";LIN()-2)</f>
        <v/>
      </c>
      <c r="B238" s="3" t="n"/>
      <c r="C238" s="3" t="n"/>
      <c r="D238" s="3" t="n"/>
      <c r="E238" s="15" t="n"/>
      <c r="F238" s="3" t="n"/>
    </row>
    <row r="239">
      <c r="A239" s="4">
        <f>SE(B239="";"";LIN()-2)</f>
        <v/>
      </c>
      <c r="B239" s="3" t="n"/>
      <c r="C239" s="3" t="n"/>
      <c r="D239" s="3" t="n"/>
      <c r="E239" s="15" t="n"/>
      <c r="F239" s="3" t="n"/>
    </row>
    <row r="240">
      <c r="A240" s="4">
        <f>SE(B240="";"";LIN()-2)</f>
        <v/>
      </c>
      <c r="B240" s="3" t="n"/>
      <c r="C240" s="3" t="n"/>
      <c r="D240" s="3" t="n"/>
      <c r="E240" s="15" t="n"/>
      <c r="F240" s="3" t="n"/>
    </row>
    <row r="241">
      <c r="A241" s="4">
        <f>SE(B241="";"";LIN()-2)</f>
        <v/>
      </c>
      <c r="B241" s="3" t="n"/>
      <c r="C241" s="3" t="n"/>
      <c r="D241" s="3" t="n"/>
      <c r="E241" s="15" t="n"/>
      <c r="F241" s="3" t="n"/>
    </row>
    <row r="242">
      <c r="A242" s="4">
        <f>SE(B242="";"";LIN()-2)</f>
        <v/>
      </c>
      <c r="B242" s="3" t="n"/>
      <c r="C242" s="3" t="n"/>
      <c r="D242" s="3" t="n"/>
      <c r="E242" s="15" t="n"/>
      <c r="F242" s="3" t="n"/>
    </row>
    <row r="243">
      <c r="A243" s="4">
        <f>SE(B243="";"";LIN()-2)</f>
        <v/>
      </c>
      <c r="B243" s="3" t="n"/>
      <c r="C243" s="3" t="n"/>
      <c r="D243" s="3" t="n"/>
      <c r="E243" s="15" t="n"/>
      <c r="F243" s="3" t="n"/>
    </row>
    <row r="244">
      <c r="A244" s="4">
        <f>SE(B244="";"";LIN()-2)</f>
        <v/>
      </c>
      <c r="B244" s="3" t="n"/>
      <c r="C244" s="3" t="n"/>
      <c r="D244" s="3" t="n"/>
      <c r="E244" s="15" t="n"/>
      <c r="F244" s="3" t="n"/>
    </row>
    <row r="245">
      <c r="A245" s="4">
        <f>SE(B245="";"";LIN()-2)</f>
        <v/>
      </c>
      <c r="B245" s="3" t="n"/>
      <c r="C245" s="3" t="n"/>
      <c r="D245" s="3" t="n"/>
      <c r="E245" s="15" t="n"/>
      <c r="F245" s="3" t="n"/>
    </row>
    <row r="246">
      <c r="A246" s="4">
        <f>SE(B246="";"";LIN()-2)</f>
        <v/>
      </c>
      <c r="B246" s="3" t="n"/>
      <c r="C246" s="3" t="n"/>
      <c r="D246" s="3" t="n"/>
      <c r="E246" s="15" t="n"/>
      <c r="F246" s="3" t="n"/>
    </row>
    <row r="247">
      <c r="A247" s="4">
        <f>SE(B247="";"";LIN()-2)</f>
        <v/>
      </c>
      <c r="B247" s="3" t="n"/>
      <c r="C247" s="3" t="n"/>
      <c r="D247" s="3" t="n"/>
      <c r="E247" s="15" t="n"/>
      <c r="F247" s="3" t="n"/>
    </row>
    <row r="248">
      <c r="A248" s="4">
        <f>SE(B248="";"";LIN()-2)</f>
        <v/>
      </c>
      <c r="B248" s="3" t="n"/>
      <c r="C248" s="3" t="n"/>
      <c r="D248" s="3" t="n"/>
      <c r="E248" s="15" t="n"/>
      <c r="F248" s="3" t="n"/>
    </row>
    <row r="249">
      <c r="A249" s="4">
        <f>SE(B249="";"";LIN()-2)</f>
        <v/>
      </c>
      <c r="B249" s="3" t="n"/>
      <c r="C249" s="3" t="n"/>
      <c r="D249" s="3" t="n"/>
      <c r="E249" s="15" t="n"/>
      <c r="F249" s="3" t="n"/>
    </row>
    <row r="250">
      <c r="A250" s="4">
        <f>SE(B250="";"";LIN()-2)</f>
        <v/>
      </c>
      <c r="B250" s="3" t="n"/>
      <c r="C250" s="3" t="n"/>
      <c r="D250" s="3" t="n"/>
      <c r="E250" s="15" t="n"/>
      <c r="F250" s="3" t="n"/>
    </row>
    <row r="251">
      <c r="A251" s="4">
        <f>SE(B251="";"";LIN()-2)</f>
        <v/>
      </c>
      <c r="B251" s="3" t="n"/>
      <c r="C251" s="3" t="n"/>
      <c r="D251" s="3" t="n"/>
      <c r="E251" s="15" t="n"/>
      <c r="F251" s="3" t="n"/>
    </row>
    <row r="252">
      <c r="A252" s="4">
        <f>SE(B252="";"";LIN()-2)</f>
        <v/>
      </c>
      <c r="B252" s="3" t="n"/>
      <c r="C252" s="3" t="n"/>
      <c r="D252" s="3" t="n"/>
      <c r="E252" s="15" t="n"/>
      <c r="F252" s="3" t="n"/>
    </row>
    <row r="253">
      <c r="A253" s="4">
        <f>SE(B253="";"";LIN()-2)</f>
        <v/>
      </c>
      <c r="B253" s="3" t="n"/>
      <c r="C253" s="3" t="n"/>
      <c r="D253" s="3" t="n"/>
      <c r="E253" s="15" t="n"/>
      <c r="F253" s="3" t="n"/>
    </row>
    <row r="254">
      <c r="A254" s="4">
        <f>SE(B254="";"";LIN()-2)</f>
        <v/>
      </c>
      <c r="B254" s="3" t="n"/>
      <c r="C254" s="3" t="n"/>
      <c r="D254" s="3" t="n"/>
      <c r="E254" s="15" t="n"/>
      <c r="F254" s="3" t="n"/>
    </row>
    <row r="255">
      <c r="A255" s="4">
        <f>SE(B255="";"";LIN()-2)</f>
        <v/>
      </c>
      <c r="B255" s="3" t="n"/>
      <c r="C255" s="3" t="n"/>
      <c r="D255" s="3" t="n"/>
      <c r="E255" s="15" t="n"/>
      <c r="F255" s="3" t="n"/>
    </row>
    <row r="256">
      <c r="A256" s="4">
        <f>SE(B256="";"";LIN()-2)</f>
        <v/>
      </c>
      <c r="B256" s="3" t="n"/>
      <c r="C256" s="3" t="n"/>
      <c r="D256" s="3" t="n"/>
      <c r="E256" s="15" t="n"/>
      <c r="F256" s="3" t="n"/>
    </row>
    <row r="257">
      <c r="A257" s="4">
        <f>SE(B257="";"";LIN()-2)</f>
        <v/>
      </c>
      <c r="B257" s="3" t="n"/>
      <c r="C257" s="3" t="n"/>
      <c r="D257" s="3" t="n"/>
      <c r="E257" s="15" t="n"/>
      <c r="F257" s="3" t="n"/>
    </row>
    <row r="258">
      <c r="A258" s="4">
        <f>SE(B258="";"";LIN()-2)</f>
        <v/>
      </c>
      <c r="B258" s="3" t="n"/>
      <c r="C258" s="3" t="n"/>
      <c r="D258" s="3" t="n"/>
      <c r="E258" s="15" t="n"/>
      <c r="F258" s="3" t="n"/>
    </row>
    <row r="259">
      <c r="A259" s="4">
        <f>SE(B259="";"";LIN()-2)</f>
        <v/>
      </c>
      <c r="B259" s="3" t="n"/>
      <c r="C259" s="3" t="n"/>
      <c r="D259" s="3" t="n"/>
      <c r="E259" s="15" t="n"/>
      <c r="F259" s="3" t="n"/>
    </row>
    <row r="260">
      <c r="A260" s="4">
        <f>SE(B260="";"";LIN()-2)</f>
        <v/>
      </c>
      <c r="B260" s="3" t="n"/>
      <c r="C260" s="3" t="n"/>
      <c r="D260" s="3" t="n"/>
      <c r="E260" s="15" t="n"/>
      <c r="F260" s="3" t="n"/>
    </row>
    <row r="261">
      <c r="A261" s="4">
        <f>SE(B261="";"";LIN()-2)</f>
        <v/>
      </c>
      <c r="B261" s="3" t="n"/>
      <c r="C261" s="3" t="n"/>
      <c r="D261" s="3" t="n"/>
      <c r="E261" s="15" t="n"/>
      <c r="F261" s="3" t="n"/>
    </row>
    <row r="262">
      <c r="A262" s="4">
        <f>SE(B262="";"";LIN()-2)</f>
        <v/>
      </c>
      <c r="B262" s="3" t="n"/>
      <c r="C262" s="3" t="n"/>
      <c r="D262" s="3" t="n"/>
      <c r="E262" s="15" t="n"/>
      <c r="F262" s="3" t="n"/>
    </row>
    <row r="263">
      <c r="A263" s="4">
        <f>SE(B263="";"";LIN()-2)</f>
        <v/>
      </c>
      <c r="B263" s="3" t="n"/>
      <c r="C263" s="3" t="n"/>
      <c r="D263" s="3" t="n"/>
      <c r="E263" s="15" t="n"/>
      <c r="F263" s="3" t="n"/>
    </row>
    <row r="264">
      <c r="A264" s="4">
        <f>SE(B264="";"";LIN()-2)</f>
        <v/>
      </c>
      <c r="B264" s="3" t="n"/>
      <c r="C264" s="3" t="n"/>
      <c r="D264" s="3" t="n"/>
      <c r="E264" s="15" t="n"/>
      <c r="F264" s="3" t="n"/>
    </row>
    <row r="265">
      <c r="A265" s="4">
        <f>SE(B265="";"";LIN()-2)</f>
        <v/>
      </c>
      <c r="B265" s="3" t="n"/>
      <c r="C265" s="3" t="n"/>
      <c r="D265" s="3" t="n"/>
      <c r="E265" s="15" t="n"/>
      <c r="F265" s="3" t="n"/>
    </row>
    <row r="266">
      <c r="A266" s="4">
        <f>SE(B266="";"";LIN()-2)</f>
        <v/>
      </c>
      <c r="B266" s="3" t="n"/>
      <c r="C266" s="3" t="n"/>
      <c r="D266" s="3" t="n"/>
      <c r="E266" s="15" t="n"/>
      <c r="F266" s="3" t="n"/>
    </row>
    <row r="267">
      <c r="A267" s="4">
        <f>SE(B267="";"";LIN()-2)</f>
        <v/>
      </c>
      <c r="B267" s="3" t="n"/>
      <c r="C267" s="3" t="n"/>
      <c r="D267" s="3" t="n"/>
      <c r="E267" s="15" t="n"/>
      <c r="F267" s="3" t="n"/>
    </row>
    <row r="268">
      <c r="A268" s="4">
        <f>SE(B268="";"";LIN()-2)</f>
        <v/>
      </c>
      <c r="B268" s="3" t="n"/>
      <c r="C268" s="3" t="n"/>
      <c r="D268" s="3" t="n"/>
      <c r="E268" s="15" t="n"/>
      <c r="F268" s="3" t="n"/>
    </row>
    <row r="269">
      <c r="A269" s="4">
        <f>SE(B269="";"";LIN()-2)</f>
        <v/>
      </c>
      <c r="B269" s="3" t="n"/>
      <c r="C269" s="3" t="n"/>
      <c r="D269" s="3" t="n"/>
      <c r="E269" s="15" t="n"/>
      <c r="F269" s="3" t="n"/>
    </row>
    <row r="270">
      <c r="A270" s="4">
        <f>SE(B270="";"";LIN()-2)</f>
        <v/>
      </c>
      <c r="B270" s="3" t="n"/>
      <c r="C270" s="3" t="n"/>
      <c r="D270" s="3" t="n"/>
      <c r="E270" s="15" t="n"/>
      <c r="F270" s="3" t="n"/>
    </row>
    <row r="271">
      <c r="A271" s="4">
        <f>SE(B271="";"";LIN()-2)</f>
        <v/>
      </c>
      <c r="B271" s="3" t="n"/>
      <c r="C271" s="3" t="n"/>
      <c r="D271" s="3" t="n"/>
      <c r="E271" s="15" t="n"/>
      <c r="F271" s="3" t="n"/>
    </row>
    <row r="272">
      <c r="A272" s="4">
        <f>SE(B272="";"";LIN()-2)</f>
        <v/>
      </c>
      <c r="B272" s="3" t="n"/>
      <c r="C272" s="3" t="n"/>
      <c r="D272" s="3" t="n"/>
      <c r="E272" s="15" t="n"/>
      <c r="F272" s="3" t="n"/>
    </row>
    <row r="273">
      <c r="A273" s="4">
        <f>SE(B273="";"";LIN()-2)</f>
        <v/>
      </c>
      <c r="B273" s="3" t="n"/>
      <c r="C273" s="3" t="n"/>
      <c r="D273" s="3" t="n"/>
      <c r="E273" s="15" t="n"/>
      <c r="F273" s="3" t="n"/>
    </row>
    <row r="274">
      <c r="A274" s="4">
        <f>SE(B274="";"";LIN()-2)</f>
        <v/>
      </c>
      <c r="B274" s="3" t="n"/>
      <c r="C274" s="3" t="n"/>
      <c r="D274" s="3" t="n"/>
      <c r="E274" s="15" t="n"/>
      <c r="F274" s="3" t="n"/>
    </row>
    <row r="275">
      <c r="A275" s="4">
        <f>SE(B275="";"";LIN()-2)</f>
        <v/>
      </c>
      <c r="B275" s="3" t="n"/>
      <c r="C275" s="3" t="n"/>
      <c r="D275" s="3" t="n"/>
      <c r="E275" s="15" t="n"/>
      <c r="F275" s="3" t="n"/>
    </row>
    <row r="276">
      <c r="A276" s="4">
        <f>SE(B276="";"";LIN()-2)</f>
        <v/>
      </c>
      <c r="B276" s="3" t="n"/>
      <c r="C276" s="3" t="n"/>
      <c r="D276" s="3" t="n"/>
      <c r="E276" s="15" t="n"/>
      <c r="F276" s="3" t="n"/>
    </row>
    <row r="277">
      <c r="A277" s="4">
        <f>SE(B277="";"";LIN()-2)</f>
        <v/>
      </c>
      <c r="B277" s="3" t="n"/>
      <c r="C277" s="3" t="n"/>
      <c r="D277" s="3" t="n"/>
      <c r="E277" s="15" t="n"/>
      <c r="F277" s="3" t="n"/>
    </row>
    <row r="278">
      <c r="A278" s="4">
        <f>SE(B278="";"";LIN()-2)</f>
        <v/>
      </c>
      <c r="B278" s="3" t="n"/>
      <c r="C278" s="3" t="n"/>
      <c r="D278" s="3" t="n"/>
      <c r="E278" s="15" t="n"/>
      <c r="F278" s="3" t="n"/>
    </row>
    <row r="279">
      <c r="A279" s="4">
        <f>SE(B279="";"";LIN()-2)</f>
        <v/>
      </c>
      <c r="B279" s="3" t="n"/>
      <c r="C279" s="3" t="n"/>
      <c r="D279" s="3" t="n"/>
      <c r="E279" s="15" t="n"/>
      <c r="F279" s="3" t="n"/>
    </row>
    <row r="280">
      <c r="A280" s="4">
        <f>SE(B280="";"";LIN()-2)</f>
        <v/>
      </c>
      <c r="B280" s="3" t="n"/>
      <c r="C280" s="3" t="n"/>
      <c r="D280" s="3" t="n"/>
      <c r="E280" s="15" t="n"/>
      <c r="F280" s="3" t="n"/>
    </row>
    <row r="281">
      <c r="A281" s="4">
        <f>SE(B281="";"";LIN()-2)</f>
        <v/>
      </c>
      <c r="B281" s="3" t="n"/>
      <c r="C281" s="3" t="n"/>
      <c r="D281" s="3" t="n"/>
      <c r="E281" s="15" t="n"/>
      <c r="F281" s="3" t="n"/>
    </row>
    <row r="282">
      <c r="A282" s="4">
        <f>SE(B282="";"";LIN()-2)</f>
        <v/>
      </c>
      <c r="B282" s="3" t="n"/>
      <c r="C282" s="3" t="n"/>
      <c r="D282" s="3" t="n"/>
      <c r="E282" s="15" t="n"/>
      <c r="F282" s="3" t="n"/>
    </row>
    <row r="283">
      <c r="A283" s="4">
        <f>SE(B283="";"";LIN()-2)</f>
        <v/>
      </c>
      <c r="B283" s="3" t="n"/>
      <c r="C283" s="3" t="n"/>
      <c r="D283" s="3" t="n"/>
      <c r="E283" s="15" t="n"/>
      <c r="F283" s="3" t="n"/>
    </row>
    <row r="284">
      <c r="A284" s="4">
        <f>SE(B284="";"";LIN()-2)</f>
        <v/>
      </c>
      <c r="B284" s="3" t="n"/>
      <c r="C284" s="3" t="n"/>
      <c r="D284" s="3" t="n"/>
      <c r="E284" s="15" t="n"/>
      <c r="F284" s="3" t="n"/>
    </row>
    <row r="285">
      <c r="A285" s="4">
        <f>SE(B285="";"";LIN()-2)</f>
        <v/>
      </c>
      <c r="B285" s="3" t="n"/>
      <c r="C285" s="3" t="n"/>
      <c r="D285" s="3" t="n"/>
      <c r="E285" s="15" t="n"/>
      <c r="F285" s="3" t="n"/>
    </row>
    <row r="286">
      <c r="A286" s="4">
        <f>SE(B286="";"";LIN()-2)</f>
        <v/>
      </c>
      <c r="B286" s="3" t="n"/>
      <c r="C286" s="3" t="n"/>
      <c r="D286" s="3" t="n"/>
      <c r="E286" s="15" t="n"/>
      <c r="F286" s="3" t="n"/>
    </row>
    <row r="287">
      <c r="A287" s="4">
        <f>SE(B287="";"";LIN()-2)</f>
        <v/>
      </c>
      <c r="B287" s="3" t="n"/>
      <c r="C287" s="3" t="n"/>
      <c r="D287" s="3" t="n"/>
      <c r="E287" s="15" t="n"/>
      <c r="F287" s="3" t="n"/>
    </row>
    <row r="288">
      <c r="A288" s="4">
        <f>SE(B288="";"";LIN()-2)</f>
        <v/>
      </c>
      <c r="B288" s="3" t="n"/>
      <c r="C288" s="3" t="n"/>
      <c r="D288" s="3" t="n"/>
      <c r="E288" s="15" t="n"/>
      <c r="F288" s="3" t="n"/>
    </row>
    <row r="289">
      <c r="A289" s="4">
        <f>SE(B289="";"";LIN()-2)</f>
        <v/>
      </c>
      <c r="B289" s="3" t="n"/>
      <c r="C289" s="3" t="n"/>
      <c r="D289" s="3" t="n"/>
      <c r="E289" s="15" t="n"/>
      <c r="F289" s="3" t="n"/>
    </row>
    <row r="290">
      <c r="A290" s="4">
        <f>SE(B290="";"";LIN()-2)</f>
        <v/>
      </c>
      <c r="B290" s="3" t="n"/>
      <c r="C290" s="3" t="n"/>
      <c r="D290" s="3" t="n"/>
      <c r="E290" s="15" t="n"/>
      <c r="F290" s="3" t="n"/>
    </row>
    <row r="291">
      <c r="A291" s="4">
        <f>SE(B291="";"";LIN()-2)</f>
        <v/>
      </c>
      <c r="B291" s="3" t="n"/>
      <c r="C291" s="3" t="n"/>
      <c r="D291" s="3" t="n"/>
      <c r="E291" s="15" t="n"/>
      <c r="F291" s="3" t="n"/>
    </row>
    <row r="292">
      <c r="A292" s="4">
        <f>SE(B292="";"";LIN()-2)</f>
        <v/>
      </c>
      <c r="B292" s="3" t="n"/>
      <c r="C292" s="3" t="n"/>
      <c r="D292" s="3" t="n"/>
      <c r="E292" s="15" t="n"/>
      <c r="F292" s="3" t="n"/>
    </row>
    <row r="293">
      <c r="A293" s="4">
        <f>SE(B293="";"";LIN()-2)</f>
        <v/>
      </c>
      <c r="B293" s="3" t="n"/>
      <c r="C293" s="3" t="n"/>
      <c r="D293" s="3" t="n"/>
      <c r="E293" s="15" t="n"/>
      <c r="F293" s="3" t="n"/>
    </row>
    <row r="294">
      <c r="A294" s="4">
        <f>SE(B294="";"";LIN()-2)</f>
        <v/>
      </c>
      <c r="B294" s="3" t="n"/>
      <c r="C294" s="3" t="n"/>
      <c r="D294" s="3" t="n"/>
      <c r="E294" s="15" t="n"/>
      <c r="F294" s="3" t="n"/>
    </row>
    <row r="295">
      <c r="A295" s="4">
        <f>SE(B295="";"";LIN()-2)</f>
        <v/>
      </c>
      <c r="B295" s="3" t="n"/>
      <c r="C295" s="3" t="n"/>
      <c r="D295" s="3" t="n"/>
      <c r="E295" s="15" t="n"/>
      <c r="F295" s="3" t="n"/>
    </row>
    <row r="296">
      <c r="A296" s="4">
        <f>SE(B296="";"";LIN()-2)</f>
        <v/>
      </c>
      <c r="B296" s="3" t="n"/>
      <c r="C296" s="3" t="n"/>
      <c r="D296" s="3" t="n"/>
      <c r="E296" s="15" t="n"/>
      <c r="F296" s="3" t="n"/>
    </row>
    <row r="297">
      <c r="A297" s="4">
        <f>SE(B297="";"";LIN()-2)</f>
        <v/>
      </c>
      <c r="B297" s="3" t="n"/>
      <c r="C297" s="3" t="n"/>
      <c r="D297" s="3" t="n"/>
      <c r="E297" s="15" t="n"/>
      <c r="F297" s="3" t="n"/>
    </row>
    <row r="298">
      <c r="A298" s="4">
        <f>SE(B298="";"";LIN()-2)</f>
        <v/>
      </c>
      <c r="B298" s="3" t="n"/>
      <c r="C298" s="3" t="n"/>
      <c r="D298" s="3" t="n"/>
      <c r="E298" s="15" t="n"/>
      <c r="F298" s="3" t="n"/>
    </row>
    <row r="299">
      <c r="A299" s="4">
        <f>SE(B299="";"";LIN()-2)</f>
        <v/>
      </c>
      <c r="B299" s="3" t="n"/>
      <c r="C299" s="3" t="n"/>
      <c r="D299" s="3" t="n"/>
      <c r="E299" s="15" t="n"/>
      <c r="F299" s="3" t="n"/>
    </row>
    <row r="300">
      <c r="A300" s="4">
        <f>SE(B300="";"";LIN()-2)</f>
        <v/>
      </c>
      <c r="B300" s="3" t="n"/>
      <c r="C300" s="3" t="n"/>
      <c r="D300" s="3" t="n"/>
      <c r="E300" s="15" t="n"/>
      <c r="F300" s="3" t="n"/>
    </row>
    <row r="301">
      <c r="A301" s="4">
        <f>SE(B301="";"";LIN()-2)</f>
        <v/>
      </c>
      <c r="B301" s="3" t="n"/>
      <c r="C301" s="3" t="n"/>
      <c r="D301" s="3" t="n"/>
      <c r="E301" s="15" t="n"/>
      <c r="F301" s="3" t="n"/>
    </row>
    <row r="302">
      <c r="A302" s="4">
        <f>SE(B302="";"";LIN()-2)</f>
        <v/>
      </c>
      <c r="B302" s="3" t="n"/>
      <c r="C302" s="3" t="n"/>
      <c r="D302" s="3" t="n"/>
      <c r="E302" s="15" t="n"/>
      <c r="F302" s="3" t="n"/>
    </row>
    <row r="303">
      <c r="A303" s="4">
        <f>SE(B303="";"";LIN()-2)</f>
        <v/>
      </c>
      <c r="B303" s="3" t="n"/>
      <c r="C303" s="3" t="n"/>
      <c r="D303" s="3" t="n"/>
      <c r="E303" s="15" t="n"/>
      <c r="F303" s="3" t="n"/>
    </row>
    <row r="304">
      <c r="A304" s="4">
        <f>SE(B304="";"";LIN()-2)</f>
        <v/>
      </c>
      <c r="B304" s="3" t="n"/>
      <c r="C304" s="3" t="n"/>
      <c r="D304" s="3" t="n"/>
      <c r="E304" s="15" t="n"/>
      <c r="F304" s="3" t="n"/>
    </row>
    <row r="305">
      <c r="A305" s="4">
        <f>SE(B305="";"";LIN()-2)</f>
        <v/>
      </c>
      <c r="B305" s="3" t="n"/>
      <c r="C305" s="3" t="n"/>
      <c r="D305" s="3" t="n"/>
      <c r="E305" s="15" t="n"/>
      <c r="F305" s="3" t="n"/>
    </row>
    <row r="306">
      <c r="A306" s="4">
        <f>SE(B306="";"";LIN()-2)</f>
        <v/>
      </c>
      <c r="B306" s="3" t="n"/>
      <c r="C306" s="3" t="n"/>
      <c r="D306" s="3" t="n"/>
      <c r="E306" s="15" t="n"/>
      <c r="F306" s="3" t="n"/>
    </row>
    <row r="307">
      <c r="A307" s="4">
        <f>SE(B307="";"";LIN()-2)</f>
        <v/>
      </c>
      <c r="B307" s="3" t="n"/>
      <c r="C307" s="3" t="n"/>
      <c r="D307" s="3" t="n"/>
      <c r="E307" s="15" t="n"/>
      <c r="F307" s="3" t="n"/>
    </row>
    <row r="308">
      <c r="A308" s="4">
        <f>SE(B308="";"";LIN()-2)</f>
        <v/>
      </c>
      <c r="B308" s="3" t="n"/>
      <c r="C308" s="3" t="n"/>
      <c r="D308" s="3" t="n"/>
      <c r="E308" s="15" t="n"/>
      <c r="F308" s="3" t="n"/>
    </row>
    <row r="309">
      <c r="A309" s="4">
        <f>SE(B309="";"";LIN()-2)</f>
        <v/>
      </c>
      <c r="B309" s="3" t="n"/>
      <c r="C309" s="3" t="n"/>
      <c r="D309" s="3" t="n"/>
      <c r="E309" s="15" t="n"/>
      <c r="F309" s="3" t="n"/>
    </row>
    <row r="310">
      <c r="A310" s="4">
        <f>SE(B310="";"";LIN()-2)</f>
        <v/>
      </c>
      <c r="B310" s="3" t="n"/>
      <c r="C310" s="3" t="n"/>
      <c r="D310" s="3" t="n"/>
      <c r="E310" s="15" t="n"/>
      <c r="F310" s="3" t="n"/>
    </row>
    <row r="311">
      <c r="A311" s="4">
        <f>SE(B311="";"";LIN()-2)</f>
        <v/>
      </c>
      <c r="B311" s="3" t="n"/>
      <c r="C311" s="3" t="n"/>
      <c r="D311" s="3" t="n"/>
      <c r="E311" s="15" t="n"/>
      <c r="F311" s="3" t="n"/>
    </row>
    <row r="312">
      <c r="A312" s="4">
        <f>SE(B312="";"";LIN()-2)</f>
        <v/>
      </c>
      <c r="B312" s="3" t="n"/>
      <c r="C312" s="3" t="n"/>
      <c r="D312" s="3" t="n"/>
      <c r="E312" s="15" t="n"/>
      <c r="F312" s="3" t="n"/>
    </row>
    <row r="313">
      <c r="A313" s="4">
        <f>SE(B313="";"";LIN()-2)</f>
        <v/>
      </c>
      <c r="B313" s="3" t="n"/>
      <c r="C313" s="3" t="n"/>
      <c r="D313" s="3" t="n"/>
      <c r="E313" s="15" t="n"/>
      <c r="F313" s="3" t="n"/>
    </row>
    <row r="314">
      <c r="A314" s="4">
        <f>SE(B314="";"";LIN()-2)</f>
        <v/>
      </c>
      <c r="B314" s="3" t="n"/>
      <c r="C314" s="3" t="n"/>
      <c r="D314" s="3" t="n"/>
      <c r="E314" s="15" t="n"/>
      <c r="F314" s="3" t="n"/>
    </row>
    <row r="315">
      <c r="A315" s="4">
        <f>SE(B315="";"";LIN()-2)</f>
        <v/>
      </c>
      <c r="B315" s="3" t="n"/>
      <c r="C315" s="3" t="n"/>
      <c r="D315" s="3" t="n"/>
      <c r="E315" s="15" t="n"/>
      <c r="F315" s="3" t="n"/>
    </row>
    <row r="316">
      <c r="A316" s="4">
        <f>SE(B316="";"";LIN()-2)</f>
        <v/>
      </c>
      <c r="B316" s="3" t="n"/>
      <c r="C316" s="3" t="n"/>
      <c r="D316" s="3" t="n"/>
      <c r="E316" s="15" t="n"/>
      <c r="F316" s="3" t="n"/>
    </row>
    <row r="317">
      <c r="A317" s="4">
        <f>SE(B317="";"";LIN()-2)</f>
        <v/>
      </c>
      <c r="B317" s="3" t="n"/>
      <c r="C317" s="3" t="n"/>
      <c r="D317" s="3" t="n"/>
      <c r="E317" s="15" t="n"/>
      <c r="F317" s="3" t="n"/>
    </row>
    <row r="318">
      <c r="A318" s="4">
        <f>SE(B318="";"";LIN()-2)</f>
        <v/>
      </c>
      <c r="B318" s="3" t="n"/>
      <c r="C318" s="3" t="n"/>
      <c r="D318" s="3" t="n"/>
      <c r="E318" s="15" t="n"/>
      <c r="F318" s="3" t="n"/>
    </row>
    <row r="319">
      <c r="A319" s="4">
        <f>SE(B319="";"";LIN()-2)</f>
        <v/>
      </c>
      <c r="B319" s="3" t="n"/>
      <c r="C319" s="3" t="n"/>
      <c r="D319" s="3" t="n"/>
      <c r="E319" s="15" t="n"/>
      <c r="F319" s="3" t="n"/>
    </row>
    <row r="320">
      <c r="A320" s="4">
        <f>SE(B320="";"";LIN()-2)</f>
        <v/>
      </c>
      <c r="B320" s="3" t="n"/>
      <c r="C320" s="3" t="n"/>
      <c r="D320" s="3" t="n"/>
      <c r="E320" s="15" t="n"/>
      <c r="F320" s="3" t="n"/>
    </row>
    <row r="321">
      <c r="A321" s="4">
        <f>SE(B321="";"";LIN()-2)</f>
        <v/>
      </c>
      <c r="B321" s="3" t="n"/>
      <c r="C321" s="3" t="n"/>
      <c r="D321" s="3" t="n"/>
      <c r="E321" s="15" t="n"/>
      <c r="F321" s="3" t="n"/>
    </row>
    <row r="322">
      <c r="A322" s="4">
        <f>SE(B322="";"";LIN()-2)</f>
        <v/>
      </c>
      <c r="B322" s="3" t="n"/>
      <c r="C322" s="3" t="n"/>
      <c r="D322" s="3" t="n"/>
      <c r="E322" s="15" t="n"/>
      <c r="F322" s="3" t="n"/>
    </row>
    <row r="323">
      <c r="A323" s="4">
        <f>SE(B323="";"";LIN()-2)</f>
        <v/>
      </c>
      <c r="B323" s="3" t="n"/>
      <c r="C323" s="3" t="n"/>
      <c r="D323" s="3" t="n"/>
      <c r="E323" s="15" t="n"/>
      <c r="F323" s="3" t="n"/>
    </row>
    <row r="324">
      <c r="A324" s="4">
        <f>SE(B324="";"";LIN()-2)</f>
        <v/>
      </c>
      <c r="B324" s="3" t="n"/>
      <c r="C324" s="3" t="n"/>
      <c r="D324" s="3" t="n"/>
      <c r="E324" s="15" t="n"/>
      <c r="F324" s="3" t="n"/>
    </row>
    <row r="325">
      <c r="A325" s="4">
        <f>SE(B325="";"";LIN()-2)</f>
        <v/>
      </c>
      <c r="B325" s="3" t="n"/>
      <c r="C325" s="3" t="n"/>
      <c r="D325" s="3" t="n"/>
      <c r="E325" s="15" t="n"/>
      <c r="F325" s="3" t="n"/>
    </row>
    <row r="326">
      <c r="A326" s="4">
        <f>SE(B326="";"";LIN()-2)</f>
        <v/>
      </c>
      <c r="B326" s="3" t="n"/>
      <c r="C326" s="3" t="n"/>
      <c r="D326" s="3" t="n"/>
      <c r="E326" s="15" t="n"/>
      <c r="F326" s="3" t="n"/>
    </row>
    <row r="327">
      <c r="A327" s="4">
        <f>SE(B327="";"";LIN()-2)</f>
        <v/>
      </c>
      <c r="B327" s="3" t="n"/>
      <c r="C327" s="3" t="n"/>
      <c r="D327" s="3" t="n"/>
      <c r="E327" s="15" t="n"/>
      <c r="F327" s="3" t="n"/>
    </row>
    <row r="328">
      <c r="A328" s="4">
        <f>SE(B328="";"";LIN()-2)</f>
        <v/>
      </c>
      <c r="B328" s="3" t="n"/>
      <c r="C328" s="3" t="n"/>
      <c r="D328" s="3" t="n"/>
      <c r="E328" s="15" t="n"/>
      <c r="F328" s="3" t="n"/>
    </row>
    <row r="329">
      <c r="A329" s="4">
        <f>SE(B329="";"";LIN()-2)</f>
        <v/>
      </c>
      <c r="B329" s="3" t="n"/>
      <c r="C329" s="3" t="n"/>
      <c r="D329" s="3" t="n"/>
      <c r="E329" s="15" t="n"/>
      <c r="F329" s="3" t="n"/>
    </row>
    <row r="330">
      <c r="A330" s="4">
        <f>SE(B330="";"";LIN()-2)</f>
        <v/>
      </c>
      <c r="B330" s="3" t="n"/>
      <c r="C330" s="3" t="n"/>
      <c r="D330" s="3" t="n"/>
      <c r="E330" s="15" t="n"/>
      <c r="F330" s="3" t="n"/>
    </row>
    <row r="331">
      <c r="A331" s="4">
        <f>SE(B331="";"";LIN()-2)</f>
        <v/>
      </c>
      <c r="B331" s="3" t="n"/>
      <c r="C331" s="3" t="n"/>
      <c r="D331" s="3" t="n"/>
      <c r="E331" s="15" t="n"/>
      <c r="F331" s="3" t="n"/>
    </row>
    <row r="332">
      <c r="A332" s="4">
        <f>SE(B332="";"";LIN()-2)</f>
        <v/>
      </c>
      <c r="B332" s="3" t="n"/>
      <c r="C332" s="3" t="n"/>
      <c r="D332" s="3" t="n"/>
      <c r="E332" s="15" t="n"/>
      <c r="F332" s="3" t="n"/>
    </row>
    <row r="333">
      <c r="A333" s="4">
        <f>SE(B333="";"";LIN()-2)</f>
        <v/>
      </c>
      <c r="B333" s="3" t="n"/>
      <c r="C333" s="3" t="n"/>
      <c r="D333" s="3" t="n"/>
      <c r="E333" s="15" t="n"/>
      <c r="F333" s="3" t="n"/>
    </row>
    <row r="334">
      <c r="A334" s="4">
        <f>SE(B334="";"";LIN()-2)</f>
        <v/>
      </c>
      <c r="B334" s="3" t="n"/>
      <c r="C334" s="3" t="n"/>
      <c r="D334" s="3" t="n"/>
      <c r="E334" s="15" t="n"/>
      <c r="F334" s="3" t="n"/>
    </row>
    <row r="335">
      <c r="A335" s="4">
        <f>SE(B335="";"";LIN()-2)</f>
        <v/>
      </c>
      <c r="B335" s="3" t="n"/>
      <c r="C335" s="3" t="n"/>
      <c r="D335" s="3" t="n"/>
      <c r="E335" s="15" t="n"/>
      <c r="F335" s="3" t="n"/>
    </row>
    <row r="336">
      <c r="A336" s="4">
        <f>SE(B336="";"";LIN()-2)</f>
        <v/>
      </c>
      <c r="B336" s="3" t="n"/>
      <c r="C336" s="3" t="n"/>
      <c r="D336" s="3" t="n"/>
      <c r="E336" s="15" t="n"/>
      <c r="F336" s="3" t="n"/>
    </row>
    <row r="337">
      <c r="A337" s="4">
        <f>SE(B337="";"";LIN()-2)</f>
        <v/>
      </c>
      <c r="B337" s="3" t="n"/>
      <c r="C337" s="3" t="n"/>
      <c r="D337" s="3" t="n"/>
      <c r="E337" s="15" t="n"/>
      <c r="F337" s="3" t="n"/>
    </row>
    <row r="338">
      <c r="A338" s="4">
        <f>SE(B338="";"";LIN()-2)</f>
        <v/>
      </c>
      <c r="B338" s="3" t="n"/>
      <c r="C338" s="3" t="n"/>
      <c r="D338" s="3" t="n"/>
      <c r="E338" s="15" t="n"/>
      <c r="F338" s="3" t="n"/>
    </row>
    <row r="339">
      <c r="A339" s="4">
        <f>SE(B339="";"";LIN()-2)</f>
        <v/>
      </c>
      <c r="B339" s="3" t="n"/>
      <c r="C339" s="3" t="n"/>
      <c r="D339" s="3" t="n"/>
      <c r="E339" s="15" t="n"/>
      <c r="F339" s="3" t="n"/>
    </row>
    <row r="340">
      <c r="A340" s="4">
        <f>SE(B340="";"";LIN()-2)</f>
        <v/>
      </c>
      <c r="B340" s="3" t="n"/>
      <c r="C340" s="3" t="n"/>
      <c r="D340" s="3" t="n"/>
      <c r="E340" s="15" t="n"/>
      <c r="F340" s="3" t="n"/>
    </row>
    <row r="341">
      <c r="A341" s="4">
        <f>SE(B341="";"";LIN()-2)</f>
        <v/>
      </c>
      <c r="B341" s="3" t="n"/>
      <c r="C341" s="3" t="n"/>
      <c r="D341" s="3" t="n"/>
      <c r="E341" s="15" t="n"/>
      <c r="F341" s="3" t="n"/>
    </row>
    <row r="342">
      <c r="A342" s="4">
        <f>SE(B342="";"";LIN()-2)</f>
        <v/>
      </c>
      <c r="B342" s="3" t="n"/>
      <c r="C342" s="3" t="n"/>
      <c r="D342" s="3" t="n"/>
      <c r="E342" s="15" t="n"/>
      <c r="F342" s="3" t="n"/>
    </row>
    <row r="343">
      <c r="A343" s="4">
        <f>SE(B343="";"";LIN()-2)</f>
        <v/>
      </c>
      <c r="B343" s="3" t="n"/>
      <c r="C343" s="3" t="n"/>
      <c r="D343" s="3" t="n"/>
      <c r="E343" s="15" t="n"/>
      <c r="F343" s="3" t="n"/>
    </row>
    <row r="344">
      <c r="A344" s="4">
        <f>SE(B344="";"";LIN()-2)</f>
        <v/>
      </c>
      <c r="B344" s="3" t="n"/>
      <c r="C344" s="3" t="n"/>
      <c r="D344" s="3" t="n"/>
      <c r="E344" s="15" t="n"/>
      <c r="F344" s="3" t="n"/>
    </row>
    <row r="345">
      <c r="A345" s="4">
        <f>SE(B345="";"";LIN()-2)</f>
        <v/>
      </c>
      <c r="B345" s="3" t="n"/>
      <c r="C345" s="3" t="n"/>
      <c r="D345" s="3" t="n"/>
      <c r="E345" s="15" t="n"/>
      <c r="F345" s="3" t="n"/>
    </row>
    <row r="346">
      <c r="A346" s="4">
        <f>SE(B346="";"";LIN()-2)</f>
        <v/>
      </c>
      <c r="B346" s="3" t="n"/>
      <c r="C346" s="3" t="n"/>
      <c r="D346" s="3" t="n"/>
      <c r="E346" s="15" t="n"/>
      <c r="F346" s="3" t="n"/>
    </row>
    <row r="347">
      <c r="A347" s="4">
        <f>SE(B347="";"";LIN()-2)</f>
        <v/>
      </c>
      <c r="B347" s="3" t="n"/>
      <c r="C347" s="3" t="n"/>
      <c r="D347" s="3" t="n"/>
      <c r="E347" s="15" t="n"/>
      <c r="F347" s="3" t="n"/>
    </row>
    <row r="348">
      <c r="A348" s="4">
        <f>SE(B348="";"";LIN()-2)</f>
        <v/>
      </c>
      <c r="B348" s="3" t="n"/>
      <c r="C348" s="3" t="n"/>
      <c r="D348" s="3" t="n"/>
      <c r="E348" s="15" t="n"/>
      <c r="F348" s="3" t="n"/>
    </row>
    <row r="349">
      <c r="A349" s="4">
        <f>SE(B349="";"";LIN()-2)</f>
        <v/>
      </c>
      <c r="B349" s="3" t="n"/>
      <c r="C349" s="3" t="n"/>
      <c r="D349" s="3" t="n"/>
      <c r="E349" s="15" t="n"/>
      <c r="F349" s="3" t="n"/>
    </row>
    <row r="350">
      <c r="A350" s="4">
        <f>SE(B350="";"";LIN()-2)</f>
        <v/>
      </c>
      <c r="B350" s="3" t="n"/>
      <c r="C350" s="3" t="n"/>
      <c r="D350" s="3" t="n"/>
      <c r="E350" s="15" t="n"/>
      <c r="F350" s="3" t="n"/>
    </row>
    <row r="351">
      <c r="A351" s="4">
        <f>SE(B351="";"";LIN()-2)</f>
        <v/>
      </c>
      <c r="B351" s="3" t="n"/>
      <c r="C351" s="3" t="n"/>
      <c r="D351" s="3" t="n"/>
      <c r="E351" s="15" t="n"/>
      <c r="F351" s="3" t="n"/>
    </row>
    <row r="352">
      <c r="A352" s="4">
        <f>SE(B352="";"";LIN()-2)</f>
        <v/>
      </c>
      <c r="B352" s="3" t="n"/>
      <c r="C352" s="3" t="n"/>
      <c r="D352" s="3" t="n"/>
      <c r="E352" s="15" t="n"/>
      <c r="F352" s="3" t="n"/>
    </row>
    <row r="353">
      <c r="A353" s="4">
        <f>SE(B353="";"";LIN()-2)</f>
        <v/>
      </c>
      <c r="B353" s="3" t="n"/>
      <c r="C353" s="3" t="n"/>
      <c r="D353" s="3" t="n"/>
      <c r="E353" s="15" t="n"/>
      <c r="F353" s="3" t="n"/>
    </row>
    <row r="354">
      <c r="A354" s="4">
        <f>SE(B354="";"";LIN()-2)</f>
        <v/>
      </c>
      <c r="B354" s="3" t="n"/>
      <c r="C354" s="3" t="n"/>
      <c r="D354" s="3" t="n"/>
      <c r="E354" s="15" t="n"/>
      <c r="F354" s="3" t="n"/>
    </row>
    <row r="355">
      <c r="A355" s="4">
        <f>SE(B355="";"";LIN()-2)</f>
        <v/>
      </c>
      <c r="B355" s="3" t="n"/>
      <c r="C355" s="3" t="n"/>
      <c r="D355" s="3" t="n"/>
      <c r="E355" s="15" t="n"/>
      <c r="F355" s="3" t="n"/>
    </row>
    <row r="356">
      <c r="A356" s="4">
        <f>SE(B356="";"";LIN()-2)</f>
        <v/>
      </c>
      <c r="B356" s="3" t="n"/>
      <c r="C356" s="3" t="n"/>
      <c r="D356" s="3" t="n"/>
      <c r="E356" s="15" t="n"/>
      <c r="F356" s="3" t="n"/>
    </row>
    <row r="357">
      <c r="A357" s="4">
        <f>SE(B357="";"";LIN()-2)</f>
        <v/>
      </c>
      <c r="B357" s="3" t="n"/>
      <c r="C357" s="3" t="n"/>
      <c r="D357" s="3" t="n"/>
      <c r="E357" s="15" t="n"/>
      <c r="F357" s="3" t="n"/>
    </row>
    <row r="358">
      <c r="A358" s="4">
        <f>SE(B358="";"";LIN()-2)</f>
        <v/>
      </c>
      <c r="B358" s="3" t="n"/>
      <c r="C358" s="3" t="n"/>
      <c r="D358" s="3" t="n"/>
      <c r="E358" s="15" t="n"/>
      <c r="F358" s="3" t="n"/>
    </row>
    <row r="359">
      <c r="A359" s="4">
        <f>SE(B359="";"";LIN()-2)</f>
        <v/>
      </c>
      <c r="B359" s="3" t="n"/>
      <c r="C359" s="3" t="n"/>
      <c r="D359" s="3" t="n"/>
      <c r="E359" s="15" t="n"/>
      <c r="F359" s="3" t="n"/>
    </row>
    <row r="360">
      <c r="A360" s="4">
        <f>SE(B360="";"";LIN()-2)</f>
        <v/>
      </c>
      <c r="B360" s="3" t="n"/>
      <c r="C360" s="3" t="n"/>
      <c r="D360" s="3" t="n"/>
      <c r="E360" s="15" t="n"/>
      <c r="F360" s="3" t="n"/>
    </row>
    <row r="361">
      <c r="A361" s="4">
        <f>SE(B361="";"";LIN()-2)</f>
        <v/>
      </c>
      <c r="B361" s="3" t="n"/>
      <c r="C361" s="3" t="n"/>
      <c r="D361" s="3" t="n"/>
      <c r="E361" s="15" t="n"/>
      <c r="F361" s="3" t="n"/>
    </row>
    <row r="362">
      <c r="A362" s="4">
        <f>SE(B362="";"";LIN()-2)</f>
        <v/>
      </c>
      <c r="B362" s="3" t="n"/>
      <c r="C362" s="3" t="n"/>
      <c r="D362" s="3" t="n"/>
      <c r="E362" s="15" t="n"/>
      <c r="F362" s="3" t="n"/>
    </row>
    <row r="363">
      <c r="A363" s="4">
        <f>SE(B363="";"";LIN()-2)</f>
        <v/>
      </c>
      <c r="B363" s="3" t="n"/>
      <c r="C363" s="3" t="n"/>
      <c r="D363" s="3" t="n"/>
      <c r="E363" s="15" t="n"/>
      <c r="F363" s="3" t="n"/>
    </row>
    <row r="364">
      <c r="A364" s="4">
        <f>SE(B364="";"";LIN()-2)</f>
        <v/>
      </c>
      <c r="B364" s="3" t="n"/>
      <c r="C364" s="3" t="n"/>
      <c r="D364" s="3" t="n"/>
      <c r="E364" s="15" t="n"/>
      <c r="F364" s="3" t="n"/>
    </row>
    <row r="365">
      <c r="A365" s="4">
        <f>SE(B365="";"";LIN()-2)</f>
        <v/>
      </c>
      <c r="B365" s="3" t="n"/>
      <c r="C365" s="3" t="n"/>
      <c r="D365" s="3" t="n"/>
      <c r="E365" s="15" t="n"/>
      <c r="F365" s="3" t="n"/>
    </row>
    <row r="366">
      <c r="A366" s="4">
        <f>SE(B366="";"";LIN()-2)</f>
        <v/>
      </c>
      <c r="B366" s="3" t="n"/>
      <c r="C366" s="3" t="n"/>
      <c r="D366" s="3" t="n"/>
      <c r="E366" s="15" t="n"/>
      <c r="F366" s="3" t="n"/>
    </row>
    <row r="367">
      <c r="A367" s="4">
        <f>SE(B367="";"";LIN()-2)</f>
        <v/>
      </c>
      <c r="B367" s="3" t="n"/>
      <c r="C367" s="3" t="n"/>
      <c r="D367" s="3" t="n"/>
      <c r="E367" s="15" t="n"/>
      <c r="F367" s="3" t="n"/>
    </row>
    <row r="368">
      <c r="A368" s="4">
        <f>SE(B368="";"";LIN()-2)</f>
        <v/>
      </c>
      <c r="B368" s="3" t="n"/>
      <c r="C368" s="3" t="n"/>
      <c r="D368" s="3" t="n"/>
      <c r="E368" s="15" t="n"/>
      <c r="F368" s="3" t="n"/>
    </row>
    <row r="369">
      <c r="A369" s="4">
        <f>SE(B369="";"";LIN()-2)</f>
        <v/>
      </c>
      <c r="B369" s="3" t="n"/>
      <c r="C369" s="3" t="n"/>
      <c r="D369" s="3" t="n"/>
      <c r="E369" s="15" t="n"/>
      <c r="F369" s="3" t="n"/>
    </row>
    <row r="370">
      <c r="A370" s="4">
        <f>SE(B370="";"";LIN()-2)</f>
        <v/>
      </c>
      <c r="B370" s="3" t="n"/>
      <c r="C370" s="3" t="n"/>
      <c r="D370" s="3" t="n"/>
      <c r="E370" s="15" t="n"/>
      <c r="F370" s="3" t="n"/>
    </row>
    <row r="371">
      <c r="A371" s="4">
        <f>SE(B371="";"";LIN()-2)</f>
        <v/>
      </c>
      <c r="B371" s="3" t="n"/>
      <c r="C371" s="3" t="n"/>
      <c r="D371" s="3" t="n"/>
      <c r="E371" s="15" t="n"/>
      <c r="F371" s="3" t="n"/>
    </row>
    <row r="372">
      <c r="A372" s="4">
        <f>SE(B372="";"";LIN()-2)</f>
        <v/>
      </c>
      <c r="B372" s="3" t="n"/>
      <c r="C372" s="3" t="n"/>
      <c r="D372" s="3" t="n"/>
      <c r="E372" s="15" t="n"/>
      <c r="F372" s="3" t="n"/>
    </row>
    <row r="373">
      <c r="A373" s="4">
        <f>SE(B373="";"";LIN()-2)</f>
        <v/>
      </c>
      <c r="B373" s="3" t="n"/>
      <c r="C373" s="3" t="n"/>
      <c r="D373" s="3" t="n"/>
      <c r="E373" s="15" t="n"/>
      <c r="F373" s="3" t="n"/>
    </row>
    <row r="374">
      <c r="A374" s="4">
        <f>SE(B374="";"";LIN()-2)</f>
        <v/>
      </c>
      <c r="B374" s="3" t="n"/>
      <c r="C374" s="3" t="n"/>
      <c r="D374" s="3" t="n"/>
      <c r="E374" s="15" t="n"/>
      <c r="F374" s="3" t="n"/>
    </row>
    <row r="375">
      <c r="A375" s="4">
        <f>SE(B375="";"";LIN()-2)</f>
        <v/>
      </c>
      <c r="B375" s="3" t="n"/>
      <c r="C375" s="3" t="n"/>
      <c r="D375" s="3" t="n"/>
      <c r="E375" s="15" t="n"/>
      <c r="F375" s="3" t="n"/>
    </row>
    <row r="376">
      <c r="A376" s="4">
        <f>SE(B376="";"";LIN()-2)</f>
        <v/>
      </c>
      <c r="B376" s="3" t="n"/>
      <c r="C376" s="3" t="n"/>
      <c r="D376" s="3" t="n"/>
      <c r="E376" s="15" t="n"/>
      <c r="F376" s="3" t="n"/>
    </row>
    <row r="377">
      <c r="A377" s="4">
        <f>SE(B377="";"";LIN()-2)</f>
        <v/>
      </c>
      <c r="B377" s="3" t="n"/>
      <c r="C377" s="3" t="n"/>
      <c r="D377" s="3" t="n"/>
      <c r="E377" s="15" t="n"/>
      <c r="F377" s="3" t="n"/>
    </row>
    <row r="378">
      <c r="A378" s="4">
        <f>SE(B378="";"";LIN()-2)</f>
        <v/>
      </c>
      <c r="B378" s="3" t="n"/>
      <c r="C378" s="3" t="n"/>
      <c r="D378" s="3" t="n"/>
      <c r="E378" s="15" t="n"/>
      <c r="F378" s="3" t="n"/>
    </row>
    <row r="379">
      <c r="A379" s="4">
        <f>SE(B379="";"";LIN()-2)</f>
        <v/>
      </c>
      <c r="B379" s="3" t="n"/>
      <c r="C379" s="3" t="n"/>
      <c r="D379" s="3" t="n"/>
      <c r="E379" s="15" t="n"/>
      <c r="F379" s="3" t="n"/>
    </row>
    <row r="380">
      <c r="A380" s="4">
        <f>SE(B380="";"";LIN()-2)</f>
        <v/>
      </c>
      <c r="B380" s="3" t="n"/>
      <c r="C380" s="3" t="n"/>
      <c r="D380" s="3" t="n"/>
      <c r="E380" s="15" t="n"/>
      <c r="F380" s="3" t="n"/>
    </row>
    <row r="381">
      <c r="A381" s="4">
        <f>SE(B381="";"";LIN()-2)</f>
        <v/>
      </c>
      <c r="B381" s="3" t="n"/>
      <c r="C381" s="3" t="n"/>
      <c r="D381" s="3" t="n"/>
      <c r="E381" s="15" t="n"/>
      <c r="F381" s="3" t="n"/>
    </row>
    <row r="382">
      <c r="A382" s="4">
        <f>SE(B382="";"";LIN()-2)</f>
        <v/>
      </c>
      <c r="B382" s="3" t="n"/>
      <c r="C382" s="3" t="n"/>
      <c r="D382" s="3" t="n"/>
      <c r="E382" s="15" t="n"/>
      <c r="F382" s="3" t="n"/>
    </row>
    <row r="383">
      <c r="A383" s="4">
        <f>SE(B383="";"";LIN()-2)</f>
        <v/>
      </c>
      <c r="B383" s="3" t="n"/>
      <c r="C383" s="3" t="n"/>
      <c r="D383" s="3" t="n"/>
      <c r="E383" s="15" t="n"/>
      <c r="F383" s="3" t="n"/>
    </row>
    <row r="384">
      <c r="A384" s="4">
        <f>SE(B384="";"";LIN()-2)</f>
        <v/>
      </c>
      <c r="B384" s="3" t="n"/>
      <c r="C384" s="3" t="n"/>
      <c r="D384" s="3" t="n"/>
      <c r="E384" s="15" t="n"/>
      <c r="F384" s="3" t="n"/>
    </row>
    <row r="385">
      <c r="A385" s="4">
        <f>SE(B385="";"";LIN()-2)</f>
        <v/>
      </c>
      <c r="B385" s="3" t="n"/>
      <c r="C385" s="3" t="n"/>
      <c r="D385" s="3" t="n"/>
      <c r="E385" s="15" t="n"/>
      <c r="F385" s="3" t="n"/>
    </row>
    <row r="386">
      <c r="A386" s="4">
        <f>SE(B386="";"";LIN()-2)</f>
        <v/>
      </c>
      <c r="B386" s="3" t="n"/>
      <c r="C386" s="3" t="n"/>
      <c r="D386" s="3" t="n"/>
      <c r="E386" s="15" t="n"/>
      <c r="F386" s="3" t="n"/>
    </row>
    <row r="387">
      <c r="A387" s="4">
        <f>SE(B387="";"";LIN()-2)</f>
        <v/>
      </c>
      <c r="B387" s="3" t="n"/>
      <c r="C387" s="3" t="n"/>
      <c r="D387" s="3" t="n"/>
      <c r="E387" s="15" t="n"/>
      <c r="F387" s="3" t="n"/>
    </row>
    <row r="388">
      <c r="A388" s="4">
        <f>SE(B388="";"";LIN()-2)</f>
        <v/>
      </c>
      <c r="B388" s="3" t="n"/>
      <c r="C388" s="3" t="n"/>
      <c r="D388" s="3" t="n"/>
      <c r="E388" s="15" t="n"/>
      <c r="F388" s="3" t="n"/>
    </row>
    <row r="389">
      <c r="A389" s="4">
        <f>SE(B389="";"";LIN()-2)</f>
        <v/>
      </c>
      <c r="B389" s="3" t="n"/>
      <c r="C389" s="3" t="n"/>
      <c r="D389" s="3" t="n"/>
      <c r="E389" s="15" t="n"/>
      <c r="F389" s="3" t="n"/>
    </row>
    <row r="390">
      <c r="A390" s="4">
        <f>SE(B390="";"";LIN()-2)</f>
        <v/>
      </c>
      <c r="B390" s="3" t="n"/>
      <c r="C390" s="3" t="n"/>
      <c r="D390" s="3" t="n"/>
      <c r="E390" s="15" t="n"/>
      <c r="F390" s="3" t="n"/>
    </row>
    <row r="391">
      <c r="A391" s="4">
        <f>SE(B391="";"";LIN()-2)</f>
        <v/>
      </c>
      <c r="B391" s="3" t="n"/>
      <c r="C391" s="3" t="n"/>
      <c r="D391" s="3" t="n"/>
      <c r="E391" s="15" t="n"/>
      <c r="F391" s="3" t="n"/>
    </row>
    <row r="392">
      <c r="A392" s="4">
        <f>SE(B392="";"";LIN()-2)</f>
        <v/>
      </c>
      <c r="B392" s="3" t="n"/>
      <c r="C392" s="3" t="n"/>
      <c r="D392" s="3" t="n"/>
      <c r="E392" s="15" t="n"/>
      <c r="F392" s="3" t="n"/>
    </row>
    <row r="393">
      <c r="A393" s="4">
        <f>SE(B393="";"";LIN()-2)</f>
        <v/>
      </c>
      <c r="B393" s="3" t="n"/>
      <c r="C393" s="3" t="n"/>
      <c r="D393" s="3" t="n"/>
      <c r="E393" s="15" t="n"/>
      <c r="F393" s="3" t="n"/>
    </row>
    <row r="394">
      <c r="A394" s="4">
        <f>SE(B394="";"";LIN()-2)</f>
        <v/>
      </c>
      <c r="B394" s="3" t="n"/>
      <c r="C394" s="3" t="n"/>
      <c r="D394" s="3" t="n"/>
      <c r="E394" s="15" t="n"/>
      <c r="F394" s="3" t="n"/>
    </row>
    <row r="395">
      <c r="A395" s="4">
        <f>SE(B395="";"";LIN()-2)</f>
        <v/>
      </c>
      <c r="B395" s="3" t="n"/>
      <c r="C395" s="3" t="n"/>
      <c r="D395" s="3" t="n"/>
      <c r="E395" s="15" t="n"/>
      <c r="F395" s="3" t="n"/>
    </row>
    <row r="396">
      <c r="A396" s="4">
        <f>SE(B396="";"";LIN()-2)</f>
        <v/>
      </c>
      <c r="B396" s="3" t="n"/>
      <c r="C396" s="3" t="n"/>
      <c r="D396" s="3" t="n"/>
      <c r="E396" s="15" t="n"/>
      <c r="F396" s="3" t="n"/>
    </row>
    <row r="397">
      <c r="A397" s="4">
        <f>SE(B397="";"";LIN()-2)</f>
        <v/>
      </c>
      <c r="B397" s="3" t="n"/>
      <c r="C397" s="3" t="n"/>
      <c r="D397" s="3" t="n"/>
      <c r="E397" s="15" t="n"/>
      <c r="F397" s="3" t="n"/>
    </row>
    <row r="398">
      <c r="A398" s="4">
        <f>SE(B398="";"";LIN()-2)</f>
        <v/>
      </c>
      <c r="B398" s="3" t="n"/>
      <c r="C398" s="3" t="n"/>
      <c r="D398" s="3" t="n"/>
      <c r="E398" s="15" t="n"/>
      <c r="F398" s="3" t="n"/>
    </row>
    <row r="399">
      <c r="A399" s="4">
        <f>SE(B399="";"";LIN()-2)</f>
        <v/>
      </c>
      <c r="B399" s="3" t="n"/>
      <c r="C399" s="3" t="n"/>
      <c r="D399" s="3" t="n"/>
      <c r="E399" s="15" t="n"/>
      <c r="F399" s="3" t="n"/>
    </row>
    <row r="400">
      <c r="A400" s="4">
        <f>SE(B400="";"";LIN()-2)</f>
        <v/>
      </c>
      <c r="B400" s="3" t="n"/>
      <c r="C400" s="3" t="n"/>
      <c r="D400" s="3" t="n"/>
      <c r="E400" s="15" t="n"/>
      <c r="F400" s="3" t="n"/>
    </row>
    <row r="401">
      <c r="A401" s="4">
        <f>SE(B401="";"";LIN()-2)</f>
        <v/>
      </c>
      <c r="B401" s="3" t="n"/>
      <c r="C401" s="3" t="n"/>
      <c r="D401" s="3" t="n"/>
      <c r="E401" s="15" t="n"/>
      <c r="F401" s="3" t="n"/>
    </row>
    <row r="402">
      <c r="A402" s="4">
        <f>SE(B402="";"";LIN()-2)</f>
        <v/>
      </c>
      <c r="B402" s="3" t="n"/>
      <c r="C402" s="3" t="n"/>
      <c r="D402" s="3" t="n"/>
      <c r="E402" s="15" t="n"/>
      <c r="F402" s="3" t="n"/>
    </row>
    <row r="403">
      <c r="A403" s="4">
        <f>SE(B403="";"";LIN()-2)</f>
        <v/>
      </c>
      <c r="B403" s="3" t="n"/>
      <c r="C403" s="3" t="n"/>
      <c r="D403" s="3" t="n"/>
      <c r="E403" s="15" t="n"/>
      <c r="F403" s="3" t="n"/>
    </row>
    <row r="404">
      <c r="A404" s="4">
        <f>SE(B404="";"";LIN()-2)</f>
        <v/>
      </c>
      <c r="B404" s="3" t="n"/>
      <c r="C404" s="3" t="n"/>
      <c r="D404" s="3" t="n"/>
      <c r="E404" s="15" t="n"/>
      <c r="F404" s="3" t="n"/>
    </row>
    <row r="405">
      <c r="A405" s="4">
        <f>SE(B405="";"";LIN()-2)</f>
        <v/>
      </c>
      <c r="B405" s="3" t="n"/>
      <c r="C405" s="3" t="n"/>
      <c r="D405" s="3" t="n"/>
      <c r="E405" s="15" t="n"/>
      <c r="F405" s="3" t="n"/>
    </row>
    <row r="406">
      <c r="A406" s="4">
        <f>SE(B406="";"";LIN()-2)</f>
        <v/>
      </c>
      <c r="B406" s="3" t="n"/>
      <c r="C406" s="3" t="n"/>
      <c r="D406" s="3" t="n"/>
      <c r="E406" s="15" t="n"/>
      <c r="F406" s="3" t="n"/>
    </row>
    <row r="407">
      <c r="A407" s="4">
        <f>SE(B407="";"";LIN()-2)</f>
        <v/>
      </c>
      <c r="B407" s="3" t="n"/>
      <c r="C407" s="3" t="n"/>
      <c r="D407" s="3" t="n"/>
      <c r="E407" s="15" t="n"/>
      <c r="F407" s="3" t="n"/>
    </row>
    <row r="408">
      <c r="A408" s="4">
        <f>SE(B408="";"";LIN()-2)</f>
        <v/>
      </c>
      <c r="B408" s="3" t="n"/>
      <c r="C408" s="3" t="n"/>
      <c r="D408" s="3" t="n"/>
      <c r="E408" s="15" t="n"/>
      <c r="F408" s="3" t="n"/>
    </row>
    <row r="409">
      <c r="A409" s="4">
        <f>SE(B409="";"";LIN()-2)</f>
        <v/>
      </c>
      <c r="B409" s="3" t="n"/>
      <c r="C409" s="3" t="n"/>
      <c r="D409" s="3" t="n"/>
      <c r="E409" s="15" t="n"/>
      <c r="F409" s="3" t="n"/>
    </row>
    <row r="410">
      <c r="A410" s="4">
        <f>SE(B410="";"";LIN()-2)</f>
        <v/>
      </c>
      <c r="B410" s="3" t="n"/>
      <c r="C410" s="3" t="n"/>
      <c r="D410" s="3" t="n"/>
      <c r="E410" s="15" t="n"/>
      <c r="F410" s="3" t="n"/>
    </row>
    <row r="411">
      <c r="A411" s="4">
        <f>SE(B411="";"";LIN()-2)</f>
        <v/>
      </c>
      <c r="B411" s="3" t="n"/>
      <c r="C411" s="3" t="n"/>
      <c r="D411" s="3" t="n"/>
      <c r="E411" s="15" t="n"/>
      <c r="F411" s="3" t="n"/>
    </row>
    <row r="412">
      <c r="A412" s="4">
        <f>SE(B412="";"";LIN()-2)</f>
        <v/>
      </c>
      <c r="B412" s="3" t="n"/>
      <c r="C412" s="3" t="n"/>
      <c r="D412" s="3" t="n"/>
      <c r="E412" s="15" t="n"/>
      <c r="F412" s="3" t="n"/>
    </row>
    <row r="413">
      <c r="A413" s="4">
        <f>SE(B413="";"";LIN()-2)</f>
        <v/>
      </c>
      <c r="B413" s="3" t="n"/>
      <c r="C413" s="3" t="n"/>
      <c r="D413" s="3" t="n"/>
      <c r="E413" s="15" t="n"/>
      <c r="F413" s="3" t="n"/>
    </row>
    <row r="414">
      <c r="A414" s="4">
        <f>SE(B414="";"";LIN()-2)</f>
        <v/>
      </c>
      <c r="B414" s="3" t="n"/>
      <c r="C414" s="3" t="n"/>
      <c r="D414" s="3" t="n"/>
      <c r="E414" s="15" t="n"/>
      <c r="F414" s="3" t="n"/>
    </row>
    <row r="415">
      <c r="A415" s="4">
        <f>SE(B415="";"";LIN()-2)</f>
        <v/>
      </c>
      <c r="B415" s="3" t="n"/>
      <c r="C415" s="3" t="n"/>
      <c r="D415" s="3" t="n"/>
      <c r="E415" s="15" t="n"/>
      <c r="F415" s="3" t="n"/>
    </row>
    <row r="416">
      <c r="A416" s="4">
        <f>SE(B416="";"";LIN()-2)</f>
        <v/>
      </c>
      <c r="B416" s="3" t="n"/>
      <c r="C416" s="3" t="n"/>
      <c r="D416" s="3" t="n"/>
      <c r="E416" s="15" t="n"/>
      <c r="F416" s="3" t="n"/>
    </row>
    <row r="417">
      <c r="A417" s="4">
        <f>SE(B417="";"";LIN()-2)</f>
        <v/>
      </c>
      <c r="B417" s="3" t="n"/>
      <c r="C417" s="3" t="n"/>
      <c r="D417" s="3" t="n"/>
      <c r="E417" s="15" t="n"/>
      <c r="F417" s="3" t="n"/>
    </row>
    <row r="418">
      <c r="A418" s="4">
        <f>SE(B418="";"";LIN()-2)</f>
        <v/>
      </c>
      <c r="B418" s="3" t="n"/>
      <c r="C418" s="3" t="n"/>
      <c r="D418" s="3" t="n"/>
      <c r="E418" s="15" t="n"/>
      <c r="F418" s="3" t="n"/>
    </row>
    <row r="419">
      <c r="A419" s="4">
        <f>SE(B419="";"";LIN()-2)</f>
        <v/>
      </c>
      <c r="B419" s="3" t="n"/>
      <c r="C419" s="3" t="n"/>
      <c r="D419" s="3" t="n"/>
      <c r="E419" s="15" t="n"/>
      <c r="F419" s="3" t="n"/>
    </row>
    <row r="420">
      <c r="A420" s="4">
        <f>SE(B420="";"";LIN()-2)</f>
        <v/>
      </c>
      <c r="B420" s="3" t="n"/>
      <c r="C420" s="3" t="n"/>
      <c r="D420" s="3" t="n"/>
      <c r="E420" s="15" t="n"/>
      <c r="F420" s="3" t="n"/>
    </row>
    <row r="421">
      <c r="A421" s="4">
        <f>SE(B421="";"";LIN()-2)</f>
        <v/>
      </c>
      <c r="B421" s="3" t="n"/>
      <c r="C421" s="3" t="n"/>
      <c r="D421" s="3" t="n"/>
      <c r="E421" s="15" t="n"/>
      <c r="F421" s="3" t="n"/>
    </row>
    <row r="422">
      <c r="A422" s="4">
        <f>SE(B422="";"";LIN()-2)</f>
        <v/>
      </c>
      <c r="B422" s="3" t="n"/>
      <c r="C422" s="3" t="n"/>
      <c r="D422" s="3" t="n"/>
      <c r="E422" s="15" t="n"/>
      <c r="F422" s="3" t="n"/>
    </row>
    <row r="423">
      <c r="A423" s="4">
        <f>SE(B423="";"";LIN()-2)</f>
        <v/>
      </c>
      <c r="B423" s="3" t="n"/>
      <c r="C423" s="3" t="n"/>
      <c r="D423" s="3" t="n"/>
      <c r="E423" s="15" t="n"/>
      <c r="F423" s="3" t="n"/>
    </row>
    <row r="424">
      <c r="A424" s="4">
        <f>SE(B424="";"";LIN()-2)</f>
        <v/>
      </c>
      <c r="B424" s="3" t="n"/>
      <c r="C424" s="3" t="n"/>
      <c r="D424" s="3" t="n"/>
      <c r="E424" s="15" t="n"/>
      <c r="F424" s="3" t="n"/>
    </row>
    <row r="425">
      <c r="A425" s="4">
        <f>SE(B425="";"";LIN()-2)</f>
        <v/>
      </c>
      <c r="B425" s="3" t="n"/>
      <c r="C425" s="3" t="n"/>
      <c r="D425" s="3" t="n"/>
      <c r="E425" s="15" t="n"/>
      <c r="F425" s="3" t="n"/>
    </row>
    <row r="426">
      <c r="A426" s="4">
        <f>SE(B426="";"";LIN()-2)</f>
        <v/>
      </c>
      <c r="B426" s="3" t="n"/>
      <c r="C426" s="3" t="n"/>
      <c r="D426" s="3" t="n"/>
      <c r="E426" s="15" t="n"/>
      <c r="F426" s="3" t="n"/>
    </row>
    <row r="427">
      <c r="A427" s="4">
        <f>SE(B427="";"";LIN()-2)</f>
        <v/>
      </c>
      <c r="B427" s="3" t="n"/>
      <c r="C427" s="3" t="n"/>
      <c r="D427" s="3" t="n"/>
      <c r="E427" s="15" t="n"/>
      <c r="F427" s="3" t="n"/>
    </row>
    <row r="428">
      <c r="A428" s="4">
        <f>SE(B428="";"";LIN()-2)</f>
        <v/>
      </c>
      <c r="B428" s="3" t="n"/>
      <c r="C428" s="3" t="n"/>
      <c r="D428" s="3" t="n"/>
      <c r="E428" s="15" t="n"/>
      <c r="F428" s="3" t="n"/>
    </row>
    <row r="429">
      <c r="A429" s="4">
        <f>SE(B429="";"";LIN()-2)</f>
        <v/>
      </c>
      <c r="B429" s="3" t="n"/>
      <c r="C429" s="3" t="n"/>
      <c r="D429" s="3" t="n"/>
      <c r="E429" s="15" t="n"/>
      <c r="F429" s="3" t="n"/>
    </row>
    <row r="430">
      <c r="A430" s="4">
        <f>SE(B430="";"";LIN()-2)</f>
        <v/>
      </c>
      <c r="B430" s="3" t="n"/>
      <c r="C430" s="3" t="n"/>
      <c r="D430" s="3" t="n"/>
      <c r="E430" s="15" t="n"/>
      <c r="F430" s="3" t="n"/>
    </row>
    <row r="431">
      <c r="A431" s="4">
        <f>SE(B431="";"";LIN()-2)</f>
        <v/>
      </c>
      <c r="B431" s="3" t="n"/>
      <c r="C431" s="3" t="n"/>
      <c r="D431" s="3" t="n"/>
      <c r="E431" s="15" t="n"/>
      <c r="F431" s="3" t="n"/>
    </row>
    <row r="432">
      <c r="A432" s="4">
        <f>SE(B432="";"";LIN()-2)</f>
        <v/>
      </c>
      <c r="B432" s="3" t="n"/>
      <c r="C432" s="3" t="n"/>
      <c r="D432" s="3" t="n"/>
      <c r="E432" s="15" t="n"/>
      <c r="F432" s="3" t="n"/>
    </row>
    <row r="433">
      <c r="A433" s="4">
        <f>SE(B433="";"";LIN()-2)</f>
        <v/>
      </c>
      <c r="B433" s="3" t="n"/>
      <c r="C433" s="3" t="n"/>
      <c r="D433" s="3" t="n"/>
      <c r="E433" s="15" t="n"/>
      <c r="F433" s="3" t="n"/>
    </row>
    <row r="434">
      <c r="A434" s="4">
        <f>SE(B434="";"";LIN()-2)</f>
        <v/>
      </c>
      <c r="B434" s="3" t="n"/>
      <c r="C434" s="3" t="n"/>
      <c r="D434" s="3" t="n"/>
      <c r="E434" s="15" t="n"/>
      <c r="F434" s="3" t="n"/>
    </row>
    <row r="435">
      <c r="A435" s="4">
        <f>SE(B435="";"";LIN()-2)</f>
        <v/>
      </c>
      <c r="B435" s="3" t="n"/>
      <c r="C435" s="3" t="n"/>
      <c r="D435" s="3" t="n"/>
      <c r="E435" s="15" t="n"/>
      <c r="F435" s="3" t="n"/>
    </row>
    <row r="436">
      <c r="A436" s="4">
        <f>SE(B436="";"";LIN()-2)</f>
        <v/>
      </c>
      <c r="B436" s="3" t="n"/>
      <c r="C436" s="3" t="n"/>
      <c r="D436" s="3" t="n"/>
      <c r="E436" s="15" t="n"/>
      <c r="F436" s="3" t="n"/>
    </row>
    <row r="437">
      <c r="A437" s="4">
        <f>SE(B437="";"";LIN()-2)</f>
        <v/>
      </c>
      <c r="B437" s="3" t="n"/>
      <c r="C437" s="3" t="n"/>
      <c r="D437" s="3" t="n"/>
      <c r="E437" s="15" t="n"/>
      <c r="F437" s="3" t="n"/>
    </row>
    <row r="438">
      <c r="A438" s="4">
        <f>SE(B438="";"";LIN()-2)</f>
        <v/>
      </c>
      <c r="B438" s="3" t="n"/>
      <c r="C438" s="3" t="n"/>
      <c r="D438" s="3" t="n"/>
      <c r="E438" s="15" t="n"/>
      <c r="F438" s="3" t="n"/>
    </row>
    <row r="439">
      <c r="A439" s="4">
        <f>SE(B439="";"";LIN()-2)</f>
        <v/>
      </c>
      <c r="B439" s="3" t="n"/>
      <c r="C439" s="3" t="n"/>
      <c r="D439" s="3" t="n"/>
      <c r="E439" s="15" t="n"/>
      <c r="F439" s="3" t="n"/>
    </row>
    <row r="440">
      <c r="A440" s="4">
        <f>SE(B440="";"";LIN()-2)</f>
        <v/>
      </c>
      <c r="B440" s="3" t="n"/>
      <c r="C440" s="3" t="n"/>
      <c r="D440" s="3" t="n"/>
      <c r="E440" s="15" t="n"/>
      <c r="F440" s="3" t="n"/>
    </row>
    <row r="441">
      <c r="A441" s="4">
        <f>SE(B441="";"";LIN()-2)</f>
        <v/>
      </c>
      <c r="B441" s="3" t="n"/>
      <c r="C441" s="3" t="n"/>
      <c r="D441" s="3" t="n"/>
      <c r="E441" s="15" t="n"/>
      <c r="F441" s="3" t="n"/>
    </row>
    <row r="442">
      <c r="A442" s="4">
        <f>SE(B442="";"";LIN()-2)</f>
        <v/>
      </c>
      <c r="B442" s="3" t="n"/>
      <c r="C442" s="3" t="n"/>
      <c r="D442" s="3" t="n"/>
      <c r="E442" s="15" t="n"/>
      <c r="F442" s="3" t="n"/>
    </row>
    <row r="443">
      <c r="A443" s="4">
        <f>SE(B443="";"";LIN()-2)</f>
        <v/>
      </c>
      <c r="B443" s="3" t="n"/>
      <c r="C443" s="3" t="n"/>
      <c r="D443" s="3" t="n"/>
      <c r="E443" s="15" t="n"/>
      <c r="F443" s="3" t="n"/>
    </row>
    <row r="444">
      <c r="A444" s="4">
        <f>SE(B444="";"";LIN()-2)</f>
        <v/>
      </c>
      <c r="B444" s="3" t="n"/>
      <c r="C444" s="3" t="n"/>
      <c r="D444" s="3" t="n"/>
      <c r="E444" s="15" t="n"/>
      <c r="F444" s="3" t="n"/>
    </row>
    <row r="445">
      <c r="A445" s="4">
        <f>SE(B445="";"";LIN()-2)</f>
        <v/>
      </c>
      <c r="B445" s="3" t="n"/>
      <c r="C445" s="3" t="n"/>
      <c r="D445" s="3" t="n"/>
      <c r="E445" s="15" t="n"/>
      <c r="F445" s="3" t="n"/>
    </row>
    <row r="446">
      <c r="A446" s="4">
        <f>SE(B446="";"";LIN()-2)</f>
        <v/>
      </c>
      <c r="B446" s="3" t="n"/>
      <c r="C446" s="3" t="n"/>
      <c r="D446" s="3" t="n"/>
      <c r="E446" s="15" t="n"/>
      <c r="F446" s="3" t="n"/>
    </row>
    <row r="447">
      <c r="A447" s="4">
        <f>SE(B447="";"";LIN()-2)</f>
        <v/>
      </c>
      <c r="B447" s="3" t="n"/>
      <c r="C447" s="3" t="n"/>
      <c r="D447" s="3" t="n"/>
      <c r="E447" s="15" t="n"/>
      <c r="F447" s="3" t="n"/>
    </row>
    <row r="448">
      <c r="A448" s="4">
        <f>SE(B448="";"";LIN()-2)</f>
        <v/>
      </c>
      <c r="B448" s="3" t="n"/>
      <c r="C448" s="3" t="n"/>
      <c r="D448" s="3" t="n"/>
      <c r="E448" s="15" t="n"/>
      <c r="F448" s="3" t="n"/>
    </row>
    <row r="449">
      <c r="A449" s="4">
        <f>SE(B449="";"";LIN()-2)</f>
        <v/>
      </c>
      <c r="B449" s="3" t="n"/>
      <c r="C449" s="3" t="n"/>
      <c r="D449" s="3" t="n"/>
      <c r="E449" s="15" t="n"/>
      <c r="F449" s="3" t="n"/>
    </row>
    <row r="450">
      <c r="A450" s="4">
        <f>SE(B450="";"";LIN()-2)</f>
        <v/>
      </c>
      <c r="B450" s="3" t="n"/>
      <c r="C450" s="3" t="n"/>
      <c r="D450" s="3" t="n"/>
      <c r="E450" s="15" t="n"/>
      <c r="F450" s="3" t="n"/>
    </row>
    <row r="451">
      <c r="A451" s="4">
        <f>SE(B451="";"";LIN()-2)</f>
        <v/>
      </c>
      <c r="B451" s="3" t="n"/>
      <c r="C451" s="3" t="n"/>
      <c r="D451" s="3" t="n"/>
      <c r="E451" s="15" t="n"/>
      <c r="F451" s="3" t="n"/>
    </row>
    <row r="452">
      <c r="A452" s="4">
        <f>SE(B452="";"";LIN()-2)</f>
        <v/>
      </c>
      <c r="B452" s="3" t="n"/>
      <c r="C452" s="3" t="n"/>
      <c r="D452" s="3" t="n"/>
      <c r="E452" s="15" t="n"/>
      <c r="F452" s="3" t="n"/>
    </row>
    <row r="453">
      <c r="A453" s="4">
        <f>SE(B453="";"";LIN()-2)</f>
        <v/>
      </c>
      <c r="B453" s="3" t="n"/>
      <c r="C453" s="3" t="n"/>
      <c r="D453" s="3" t="n"/>
      <c r="E453" s="15" t="n"/>
      <c r="F453" s="3" t="n"/>
    </row>
    <row r="454">
      <c r="A454" s="4">
        <f>SE(B454="";"";LIN()-2)</f>
        <v/>
      </c>
      <c r="B454" s="3" t="n"/>
      <c r="C454" s="3" t="n"/>
      <c r="D454" s="3" t="n"/>
      <c r="E454" s="15" t="n"/>
      <c r="F454" s="3" t="n"/>
    </row>
    <row r="455">
      <c r="A455" s="4">
        <f>SE(B455="";"";LIN()-2)</f>
        <v/>
      </c>
      <c r="B455" s="3" t="n"/>
      <c r="C455" s="3" t="n"/>
      <c r="D455" s="3" t="n"/>
      <c r="E455" s="15" t="n"/>
      <c r="F455" s="3" t="n"/>
    </row>
    <row r="456">
      <c r="A456" s="4">
        <f>SE(B456="";"";LIN()-2)</f>
        <v/>
      </c>
      <c r="B456" s="3" t="n"/>
      <c r="C456" s="3" t="n"/>
      <c r="D456" s="3" t="n"/>
      <c r="E456" s="15" t="n"/>
      <c r="F456" s="3" t="n"/>
    </row>
    <row r="457">
      <c r="A457" s="4">
        <f>SE(B457="";"";LIN()-2)</f>
        <v/>
      </c>
      <c r="B457" s="3" t="n"/>
      <c r="C457" s="3" t="n"/>
      <c r="D457" s="3" t="n"/>
      <c r="E457" s="15" t="n"/>
      <c r="F457" s="3" t="n"/>
    </row>
    <row r="458">
      <c r="A458" s="4">
        <f>SE(B458="";"";LIN()-2)</f>
        <v/>
      </c>
      <c r="B458" s="3" t="n"/>
      <c r="C458" s="3" t="n"/>
      <c r="D458" s="3" t="n"/>
      <c r="E458" s="15" t="n"/>
      <c r="F458" s="3" t="n"/>
    </row>
    <row r="459">
      <c r="A459" s="4">
        <f>SE(B459="";"";LIN()-2)</f>
        <v/>
      </c>
      <c r="B459" s="3" t="n"/>
      <c r="C459" s="3" t="n"/>
      <c r="D459" s="3" t="n"/>
      <c r="E459" s="15" t="n"/>
      <c r="F459" s="3" t="n"/>
    </row>
    <row r="460">
      <c r="A460" s="4">
        <f>SE(B460="";"";LIN()-2)</f>
        <v/>
      </c>
      <c r="B460" s="3" t="n"/>
      <c r="C460" s="3" t="n"/>
      <c r="D460" s="3" t="n"/>
      <c r="E460" s="15" t="n"/>
      <c r="F460" s="3" t="n"/>
    </row>
    <row r="461">
      <c r="A461" s="4">
        <f>SE(B461="";"";LIN()-2)</f>
        <v/>
      </c>
      <c r="B461" s="3" t="n"/>
      <c r="C461" s="3" t="n"/>
      <c r="D461" s="3" t="n"/>
      <c r="E461" s="15" t="n"/>
      <c r="F461" s="3" t="n"/>
    </row>
    <row r="462">
      <c r="A462" s="4">
        <f>SE(B462="";"";LIN()-2)</f>
        <v/>
      </c>
      <c r="B462" s="3" t="n"/>
      <c r="C462" s="3" t="n"/>
      <c r="D462" s="3" t="n"/>
      <c r="E462" s="15" t="n"/>
      <c r="F462" s="3" t="n"/>
    </row>
    <row r="463">
      <c r="A463" s="4">
        <f>SE(B463="";"";LIN()-2)</f>
        <v/>
      </c>
      <c r="B463" s="3" t="n"/>
      <c r="C463" s="3" t="n"/>
      <c r="D463" s="3" t="n"/>
      <c r="E463" s="15" t="n"/>
      <c r="F463" s="3" t="n"/>
    </row>
    <row r="464">
      <c r="A464" s="4">
        <f>SE(B464="";"";LIN()-2)</f>
        <v/>
      </c>
      <c r="B464" s="3" t="n"/>
      <c r="C464" s="3" t="n"/>
      <c r="D464" s="3" t="n"/>
      <c r="E464" s="15" t="n"/>
      <c r="F464" s="3" t="n"/>
    </row>
    <row r="465">
      <c r="A465" s="4">
        <f>SE(B465="";"";LIN()-2)</f>
        <v/>
      </c>
      <c r="B465" s="3" t="n"/>
      <c r="C465" s="3" t="n"/>
      <c r="D465" s="3" t="n"/>
      <c r="E465" s="15" t="n"/>
      <c r="F465" s="3" t="n"/>
    </row>
    <row r="466">
      <c r="A466" s="4">
        <f>SE(B466="";"";LIN()-2)</f>
        <v/>
      </c>
      <c r="B466" s="3" t="n"/>
      <c r="C466" s="3" t="n"/>
      <c r="D466" s="3" t="n"/>
      <c r="E466" s="15" t="n"/>
      <c r="F466" s="3" t="n"/>
    </row>
    <row r="467">
      <c r="A467" s="4">
        <f>SE(B467="";"";LIN()-2)</f>
        <v/>
      </c>
      <c r="B467" s="3" t="n"/>
      <c r="C467" s="3" t="n"/>
      <c r="D467" s="3" t="n"/>
      <c r="E467" s="15" t="n"/>
      <c r="F467" s="3" t="n"/>
    </row>
    <row r="468">
      <c r="A468" s="4">
        <f>SE(B468="";"";LIN()-2)</f>
        <v/>
      </c>
      <c r="B468" s="3" t="n"/>
      <c r="C468" s="3" t="n"/>
      <c r="D468" s="3" t="n"/>
      <c r="E468" s="15" t="n"/>
      <c r="F468" s="3" t="n"/>
    </row>
    <row r="469">
      <c r="A469" s="4">
        <f>SE(B469="";"";LIN()-2)</f>
        <v/>
      </c>
      <c r="B469" s="3" t="n"/>
      <c r="C469" s="3" t="n"/>
      <c r="D469" s="3" t="n"/>
      <c r="E469" s="15" t="n"/>
      <c r="F469" s="3" t="n"/>
    </row>
    <row r="470">
      <c r="A470" s="4">
        <f>SE(B470="";"";LIN()-2)</f>
        <v/>
      </c>
      <c r="B470" s="3" t="n"/>
      <c r="C470" s="3" t="n"/>
      <c r="D470" s="3" t="n"/>
      <c r="E470" s="15" t="n"/>
      <c r="F470" s="3" t="n"/>
    </row>
    <row r="471">
      <c r="A471" s="4">
        <f>SE(B471="";"";LIN()-2)</f>
        <v/>
      </c>
      <c r="B471" s="3" t="n"/>
      <c r="C471" s="3" t="n"/>
      <c r="D471" s="3" t="n"/>
      <c r="E471" s="15" t="n"/>
      <c r="F471" s="3" t="n"/>
    </row>
    <row r="472">
      <c r="A472" s="4">
        <f>SE(B472="";"";LIN()-2)</f>
        <v/>
      </c>
      <c r="B472" s="3" t="n"/>
      <c r="C472" s="3" t="n"/>
      <c r="D472" s="3" t="n"/>
      <c r="E472" s="15" t="n"/>
      <c r="F472" s="3" t="n"/>
    </row>
    <row r="473">
      <c r="A473" s="4">
        <f>SE(B473="";"";LIN()-2)</f>
        <v/>
      </c>
      <c r="B473" s="3" t="n"/>
      <c r="C473" s="3" t="n"/>
      <c r="D473" s="3" t="n"/>
      <c r="E473" s="15" t="n"/>
      <c r="F473" s="3" t="n"/>
    </row>
    <row r="474">
      <c r="A474" s="4">
        <f>SE(B474="";"";LIN()-2)</f>
        <v/>
      </c>
      <c r="B474" s="3" t="n"/>
      <c r="C474" s="3" t="n"/>
      <c r="D474" s="3" t="n"/>
      <c r="E474" s="15" t="n"/>
      <c r="F474" s="3" t="n"/>
    </row>
    <row r="475">
      <c r="A475" s="4">
        <f>SE(B475="";"";LIN()-2)</f>
        <v/>
      </c>
      <c r="B475" s="3" t="n"/>
      <c r="C475" s="3" t="n"/>
      <c r="D475" s="3" t="n"/>
      <c r="E475" s="15" t="n"/>
      <c r="F475" s="3" t="n"/>
    </row>
    <row r="476">
      <c r="A476" s="4">
        <f>SE(B476="";"";LIN()-2)</f>
        <v/>
      </c>
      <c r="B476" s="3" t="n"/>
      <c r="C476" s="3" t="n"/>
      <c r="D476" s="3" t="n"/>
      <c r="E476" s="15" t="n"/>
      <c r="F476" s="3" t="n"/>
    </row>
    <row r="477">
      <c r="A477" s="4">
        <f>SE(B477="";"";LIN()-2)</f>
        <v/>
      </c>
      <c r="B477" s="3" t="n"/>
      <c r="C477" s="3" t="n"/>
      <c r="D477" s="3" t="n"/>
      <c r="E477" s="15" t="n"/>
      <c r="F477" s="3" t="n"/>
    </row>
    <row r="478">
      <c r="A478" s="4">
        <f>SE(B478="";"";LIN()-2)</f>
        <v/>
      </c>
      <c r="B478" s="3" t="n"/>
      <c r="C478" s="3" t="n"/>
      <c r="D478" s="3" t="n"/>
      <c r="E478" s="15" t="n"/>
      <c r="F478" s="3" t="n"/>
    </row>
    <row r="479">
      <c r="A479" s="4">
        <f>SE(B479="";"";LIN()-2)</f>
        <v/>
      </c>
      <c r="B479" s="3" t="n"/>
      <c r="C479" s="3" t="n"/>
      <c r="D479" s="3" t="n"/>
      <c r="E479" s="15" t="n"/>
      <c r="F479" s="3" t="n"/>
    </row>
    <row r="480">
      <c r="A480" s="4">
        <f>SE(B480="";"";LIN()-2)</f>
        <v/>
      </c>
      <c r="B480" s="3" t="n"/>
      <c r="C480" s="3" t="n"/>
      <c r="D480" s="3" t="n"/>
      <c r="E480" s="15" t="n"/>
      <c r="F480" s="3" t="n"/>
    </row>
    <row r="481">
      <c r="A481" s="4">
        <f>SE(B481="";"";LIN()-2)</f>
        <v/>
      </c>
      <c r="B481" s="3" t="n"/>
      <c r="C481" s="3" t="n"/>
      <c r="D481" s="3" t="n"/>
      <c r="E481" s="15" t="n"/>
      <c r="F481" s="3" t="n"/>
    </row>
    <row r="482">
      <c r="A482" s="4">
        <f>SE(B482="";"";LIN()-2)</f>
        <v/>
      </c>
      <c r="B482" s="3" t="n"/>
      <c r="C482" s="3" t="n"/>
      <c r="D482" s="3" t="n"/>
      <c r="E482" s="15" t="n"/>
      <c r="F482" s="3" t="n"/>
    </row>
    <row r="483">
      <c r="A483" s="4">
        <f>SE(B483="";"";LIN()-2)</f>
        <v/>
      </c>
      <c r="B483" s="3" t="n"/>
      <c r="C483" s="3" t="n"/>
      <c r="D483" s="3" t="n"/>
      <c r="E483" s="15" t="n"/>
      <c r="F483" s="3" t="n"/>
    </row>
    <row r="484">
      <c r="A484" s="4">
        <f>SE(B484="";"";LIN()-2)</f>
        <v/>
      </c>
      <c r="B484" s="3" t="n"/>
      <c r="C484" s="3" t="n"/>
      <c r="D484" s="3" t="n"/>
      <c r="E484" s="15" t="n"/>
      <c r="F484" s="3" t="n"/>
    </row>
    <row r="485">
      <c r="A485" s="4">
        <f>SE(B485="";"";LIN()-2)</f>
        <v/>
      </c>
      <c r="B485" s="3" t="n"/>
      <c r="C485" s="3" t="n"/>
      <c r="D485" s="3" t="n"/>
      <c r="E485" s="15" t="n"/>
      <c r="F485" s="3" t="n"/>
    </row>
    <row r="486">
      <c r="A486" s="4">
        <f>SE(B486="";"";LIN()-2)</f>
        <v/>
      </c>
      <c r="B486" s="3" t="n"/>
      <c r="C486" s="3" t="n"/>
      <c r="D486" s="3" t="n"/>
      <c r="E486" s="15" t="n"/>
      <c r="F486" s="3" t="n"/>
    </row>
    <row r="487">
      <c r="A487" s="4">
        <f>SE(B487="";"";LIN()-2)</f>
        <v/>
      </c>
      <c r="B487" s="3" t="n"/>
      <c r="C487" s="3" t="n"/>
      <c r="D487" s="3" t="n"/>
      <c r="E487" s="15" t="n"/>
      <c r="F487" s="3" t="n"/>
    </row>
    <row r="488">
      <c r="A488" s="4">
        <f>SE(B488="";"";LIN()-2)</f>
        <v/>
      </c>
      <c r="B488" s="3" t="n"/>
      <c r="C488" s="3" t="n"/>
      <c r="D488" s="3" t="n"/>
      <c r="E488" s="15" t="n"/>
      <c r="F488" s="3" t="n"/>
    </row>
    <row r="489">
      <c r="A489" s="4">
        <f>SE(B489="";"";LIN()-2)</f>
        <v/>
      </c>
      <c r="B489" s="3" t="n"/>
      <c r="C489" s="3" t="n"/>
      <c r="D489" s="3" t="n"/>
      <c r="E489" s="15" t="n"/>
      <c r="F489" s="3" t="n"/>
    </row>
    <row r="490">
      <c r="A490" s="4">
        <f>SE(B490="";"";LIN()-2)</f>
        <v/>
      </c>
      <c r="B490" s="3" t="n"/>
      <c r="C490" s="3" t="n"/>
      <c r="D490" s="3" t="n"/>
      <c r="E490" s="15" t="n"/>
      <c r="F490" s="3" t="n"/>
    </row>
    <row r="491">
      <c r="A491" s="4">
        <f>SE(B491="";"";LIN()-2)</f>
        <v/>
      </c>
      <c r="B491" s="3" t="n"/>
      <c r="C491" s="3" t="n"/>
      <c r="D491" s="3" t="n"/>
      <c r="E491" s="15" t="n"/>
      <c r="F491" s="3" t="n"/>
    </row>
    <row r="492">
      <c r="A492" s="4">
        <f>SE(B492="";"";LIN()-2)</f>
        <v/>
      </c>
      <c r="B492" s="3" t="n"/>
      <c r="C492" s="3" t="n"/>
      <c r="D492" s="3" t="n"/>
      <c r="E492" s="15" t="n"/>
      <c r="F492" s="3" t="n"/>
    </row>
    <row r="493">
      <c r="A493" s="4">
        <f>SE(B493="";"";LIN()-2)</f>
        <v/>
      </c>
      <c r="B493" s="3" t="n"/>
      <c r="C493" s="3" t="n"/>
      <c r="D493" s="3" t="n"/>
      <c r="E493" s="15" t="n"/>
      <c r="F493" s="3" t="n"/>
    </row>
    <row r="494">
      <c r="A494" s="4">
        <f>SE(B494="";"";LIN()-2)</f>
        <v/>
      </c>
      <c r="B494" s="3" t="n"/>
      <c r="C494" s="3" t="n"/>
      <c r="D494" s="3" t="n"/>
      <c r="E494" s="15" t="n"/>
      <c r="F494" s="3" t="n"/>
    </row>
    <row r="495">
      <c r="A495" s="4">
        <f>SE(B495="";"";LIN()-2)</f>
        <v/>
      </c>
      <c r="B495" s="3" t="n"/>
      <c r="C495" s="3" t="n"/>
      <c r="D495" s="3" t="n"/>
      <c r="E495" s="15" t="n"/>
      <c r="F495" s="3" t="n"/>
    </row>
    <row r="496">
      <c r="A496" s="4">
        <f>SE(B496="";"";LIN()-2)</f>
        <v/>
      </c>
      <c r="B496" s="3" t="n"/>
      <c r="C496" s="3" t="n"/>
      <c r="D496" s="3" t="n"/>
      <c r="E496" s="15" t="n"/>
      <c r="F496" s="3" t="n"/>
    </row>
    <row r="497">
      <c r="A497" s="4">
        <f>SE(B497="";"";LIN()-2)</f>
        <v/>
      </c>
      <c r="B497" s="3" t="n"/>
      <c r="C497" s="3" t="n"/>
      <c r="D497" s="3" t="n"/>
      <c r="E497" s="15" t="n"/>
      <c r="F497" s="3" t="n"/>
    </row>
    <row r="498">
      <c r="A498" s="4">
        <f>SE(B498="";"";LIN()-2)</f>
        <v/>
      </c>
      <c r="B498" s="3" t="n"/>
      <c r="C498" s="3" t="n"/>
      <c r="D498" s="3" t="n"/>
      <c r="E498" s="15" t="n"/>
      <c r="F498" s="3" t="n"/>
    </row>
    <row r="499">
      <c r="A499" s="4">
        <f>SE(B499="";"";LIN()-2)</f>
        <v/>
      </c>
      <c r="B499" s="3" t="n"/>
      <c r="C499" s="3" t="n"/>
      <c r="D499" s="3" t="n"/>
      <c r="E499" s="15" t="n"/>
      <c r="F499" s="3" t="n"/>
    </row>
    <row r="500">
      <c r="A500" s="4">
        <f>SE(B500="";"";LIN()-2)</f>
        <v/>
      </c>
      <c r="B500" s="3" t="n"/>
      <c r="C500" s="3" t="n"/>
      <c r="D500" s="3" t="n"/>
      <c r="E500" s="15" t="n"/>
      <c r="F500" s="3" t="n"/>
    </row>
    <row r="501">
      <c r="A501" s="4">
        <f>SE(B501="";"";LIN()-2)</f>
        <v/>
      </c>
      <c r="B501" s="3" t="n"/>
      <c r="C501" s="3" t="n"/>
      <c r="D501" s="3" t="n"/>
      <c r="E501" s="15" t="n"/>
      <c r="F501" s="3" t="n"/>
    </row>
    <row r="502">
      <c r="A502" s="4">
        <f>SE(B502="";"";LIN()-2)</f>
        <v/>
      </c>
      <c r="B502" s="3" t="n"/>
      <c r="C502" s="3" t="n"/>
      <c r="D502" s="3" t="n"/>
      <c r="E502" s="15" t="n"/>
      <c r="F50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F2"/>
  <mergeCells count="1">
    <mergeCell ref="A1:F1"/>
  </mergeCells>
  <dataValidations count="1">
    <dataValidation sqref="E3:E502" showDropDown="0" showInputMessage="0" showErrorMessage="0" allowBlank="1" error="Informe uma data válida (dd/mm/aaaa).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8" customWidth="1" min="4" max="4"/>
    <col width="12" customWidth="1" min="5" max="5"/>
    <col width="30" customWidth="1" min="6" max="6"/>
    <col width="14" customWidth="1" min="7" max="7"/>
  </cols>
  <sheetData>
    <row r="1" ht="40" customHeight="1">
      <c r="A1" s="1" t="inlineStr">
        <is>
          <t>🔎  Pesquisa Rápida de Dizimista</t>
        </is>
      </c>
    </row>
    <row r="3">
      <c r="A3" s="2" t="inlineStr">
        <is>
          <t>Nome do Dizimista:</t>
        </is>
      </c>
      <c r="B3" s="3" t="n"/>
    </row>
    <row r="4">
      <c r="A4" s="2" t="inlineStr">
        <is>
          <t>Telefone:</t>
        </is>
      </c>
      <c r="B4" s="4">
        <f>SEERRO(PROCV(B3;'Cadastro Dizimistas'!$B$3:$C$502;2;FALSO);"")</f>
        <v/>
      </c>
    </row>
    <row r="5">
      <c r="A5" s="2" t="inlineStr">
        <is>
          <t>Endereço:</t>
        </is>
      </c>
      <c r="B5" s="4">
        <f>SEERRO(PROCV(B3;'Cadastro Dizimistas'!$B$3:$D$502;3;FALSO);"")</f>
        <v/>
      </c>
    </row>
    <row r="7" ht="28" customHeight="1">
      <c r="A7" s="14" t="inlineStr">
        <is>
          <t>Data</t>
        </is>
      </c>
      <c r="B7" s="14" t="inlineStr">
        <is>
          <t>Nome</t>
        </is>
      </c>
      <c r="C7" s="14" t="inlineStr">
        <is>
          <t>Valor</t>
        </is>
      </c>
      <c r="D7" s="14" t="inlineStr">
        <is>
          <t>Forma Pagamento</t>
        </is>
      </c>
      <c r="E7" s="14" t="inlineStr">
        <is>
          <t>Conta</t>
        </is>
      </c>
      <c r="F7" s="14" t="inlineStr">
        <is>
          <t>Observação</t>
        </is>
      </c>
    </row>
    <row r="8">
      <c r="A8">
        <f>SE(B3="";"";FILTRAR('Dízimos Mensais'!A3:G502;'Dízimos Mensais'!B3:B502=B3))</f>
        <v/>
      </c>
    </row>
    <row r="9">
      <c r="A9" s="16" t="inlineStr">
        <is>
          <t>ℹ️ Requer Excel 365 (função FILTRAR). Use o filtro na aba Dízimos em versões anteriores.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A1:G1"/>
    <mergeCell ref="A9:G9"/>
  </mergeCells>
  <dataValidations count="1">
    <dataValidation sqref="B3" showDropDown="0" showInputMessage="0" showErrorMessage="0" allowBlank="1" errorTitle="Valor inválido" error="Selecione um valor da lista." type="list">
      <formula1>='Cadastro Dizimistas'!$B$3:$B$502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20" customWidth="1" min="6" max="6"/>
    <col width="12" customWidth="1" min="7" max="7"/>
    <col width="28" customWidth="1" min="8" max="8"/>
  </cols>
  <sheetData>
    <row r="1" ht="40" customHeight="1">
      <c r="A1" s="1" t="inlineStr">
        <is>
          <t>💰  Dízimos Mensais</t>
        </is>
      </c>
    </row>
    <row r="2" ht="28" customHeight="1">
      <c r="A2" s="14" t="inlineStr">
        <is>
          <t>Data</t>
        </is>
      </c>
      <c r="B2" s="14" t="inlineStr">
        <is>
          <t>Nome</t>
        </is>
      </c>
      <c r="C2" s="14" t="inlineStr">
        <is>
          <t>Telefone</t>
        </is>
      </c>
      <c r="D2" s="14" t="inlineStr">
        <is>
          <t>Mês</t>
        </is>
      </c>
      <c r="E2" s="14" t="inlineStr">
        <is>
          <t>Valor</t>
        </is>
      </c>
      <c r="F2" s="14" t="inlineStr">
        <is>
          <t>Forma de Pagamento</t>
        </is>
      </c>
      <c r="G2" s="14" t="inlineStr">
        <is>
          <t>Conta</t>
        </is>
      </c>
      <c r="H2" s="14" t="inlineStr">
        <is>
          <t>Observação</t>
        </is>
      </c>
    </row>
    <row r="3">
      <c r="A3" s="15" t="n"/>
      <c r="B3" s="3" t="n"/>
      <c r="C3" s="4">
        <f>SE(B3="";"";SEERRO(PROCV(B3;'Cadastro Dizimistas'!$B$3:$C$502;2;FALSO);""))</f>
        <v/>
      </c>
      <c r="D3" s="4">
        <f>SE(A3="";"";ÍNDICE(Configurações!$B$35:$B$46;MÊS(A3)))</f>
        <v/>
      </c>
      <c r="E3" s="17" t="n"/>
      <c r="F3" s="3" t="n"/>
      <c r="G3" s="3" t="n"/>
      <c r="H3" s="3" t="n"/>
    </row>
    <row r="4">
      <c r="A4" s="15" t="n"/>
      <c r="B4" s="3" t="n"/>
      <c r="C4" s="4">
        <f>SE(B4="";"";SEERRO(PROCV(B4;'Cadastro Dizimistas'!$B$3:$C$502;2;FALSO);""))</f>
        <v/>
      </c>
      <c r="D4" s="4">
        <f>SE(A4="";"";ÍNDICE(Configurações!$B$35:$B$46;MÊS(A4)))</f>
        <v/>
      </c>
      <c r="E4" s="17" t="n"/>
      <c r="F4" s="3" t="n"/>
      <c r="G4" s="3" t="n"/>
      <c r="H4" s="3" t="n"/>
    </row>
    <row r="5">
      <c r="A5" s="15" t="n"/>
      <c r="B5" s="3" t="n"/>
      <c r="C5" s="4">
        <f>SE(B5="";"";SEERRO(PROCV(B5;'Cadastro Dizimistas'!$B$3:$C$502;2;FALSO);""))</f>
        <v/>
      </c>
      <c r="D5" s="4">
        <f>SE(A5="";"";ÍNDICE(Configurações!$B$35:$B$46;MÊS(A5)))</f>
        <v/>
      </c>
      <c r="E5" s="17" t="n"/>
      <c r="F5" s="3" t="n"/>
      <c r="G5" s="3" t="n"/>
      <c r="H5" s="3" t="n"/>
    </row>
    <row r="6">
      <c r="A6" s="15" t="n"/>
      <c r="B6" s="3" t="n"/>
      <c r="C6" s="4">
        <f>SE(B6="";"";SEERRO(PROCV(B6;'Cadastro Dizimistas'!$B$3:$C$502;2;FALSO);""))</f>
        <v/>
      </c>
      <c r="D6" s="4">
        <f>SE(A6="";"";ÍNDICE(Configurações!$B$35:$B$46;MÊS(A6)))</f>
        <v/>
      </c>
      <c r="E6" s="17" t="n"/>
      <c r="F6" s="3" t="n"/>
      <c r="G6" s="3" t="n"/>
      <c r="H6" s="3" t="n"/>
    </row>
    <row r="7">
      <c r="A7" s="15" t="n"/>
      <c r="B7" s="3" t="n"/>
      <c r="C7" s="4">
        <f>SE(B7="";"";SEERRO(PROCV(B7;'Cadastro Dizimistas'!$B$3:$C$502;2;FALSO);""))</f>
        <v/>
      </c>
      <c r="D7" s="4">
        <f>SE(A7="";"";ÍNDICE(Configurações!$B$35:$B$46;MÊS(A7)))</f>
        <v/>
      </c>
      <c r="E7" s="17" t="n"/>
      <c r="F7" s="3" t="n"/>
      <c r="G7" s="3" t="n"/>
      <c r="H7" s="3" t="n"/>
    </row>
    <row r="8">
      <c r="A8" s="15" t="n"/>
      <c r="B8" s="3" t="n"/>
      <c r="C8" s="4">
        <f>SE(B8="";"";SEERRO(PROCV(B8;'Cadastro Dizimistas'!$B$3:$C$502;2;FALSO);""))</f>
        <v/>
      </c>
      <c r="D8" s="4">
        <f>SE(A8="";"";ÍNDICE(Configurações!$B$35:$B$46;MÊS(A8)))</f>
        <v/>
      </c>
      <c r="E8" s="17" t="n"/>
      <c r="F8" s="3" t="n"/>
      <c r="G8" s="3" t="n"/>
      <c r="H8" s="3" t="n"/>
    </row>
    <row r="9">
      <c r="A9" s="15" t="n"/>
      <c r="B9" s="3" t="n"/>
      <c r="C9" s="4">
        <f>SE(B9="";"";SEERRO(PROCV(B9;'Cadastro Dizimistas'!$B$3:$C$502;2;FALSO);""))</f>
        <v/>
      </c>
      <c r="D9" s="4">
        <f>SE(A9="";"";ÍNDICE(Configurações!$B$35:$B$46;MÊS(A9)))</f>
        <v/>
      </c>
      <c r="E9" s="17" t="n"/>
      <c r="F9" s="3" t="n"/>
      <c r="G9" s="3" t="n"/>
      <c r="H9" s="3" t="n"/>
    </row>
    <row r="10">
      <c r="A10" s="15" t="n"/>
      <c r="B10" s="3" t="n"/>
      <c r="C10" s="4">
        <f>SE(B10="";"";SEERRO(PROCV(B10;'Cadastro Dizimistas'!$B$3:$C$502;2;FALSO);""))</f>
        <v/>
      </c>
      <c r="D10" s="4">
        <f>SE(A10="";"";ÍNDICE(Configurações!$B$35:$B$46;MÊS(A10)))</f>
        <v/>
      </c>
      <c r="E10" s="17" t="n"/>
      <c r="F10" s="3" t="n"/>
      <c r="G10" s="3" t="n"/>
      <c r="H10" s="3" t="n"/>
    </row>
    <row r="11">
      <c r="A11" s="15" t="n"/>
      <c r="B11" s="3" t="n"/>
      <c r="C11" s="4">
        <f>SE(B11="";"";SEERRO(PROCV(B11;'Cadastro Dizimistas'!$B$3:$C$502;2;FALSO);""))</f>
        <v/>
      </c>
      <c r="D11" s="4">
        <f>SE(A11="";"";ÍNDICE(Configurações!$B$35:$B$46;MÊS(A11)))</f>
        <v/>
      </c>
      <c r="E11" s="17" t="n"/>
      <c r="F11" s="3" t="n"/>
      <c r="G11" s="3" t="n"/>
      <c r="H11" s="3" t="n"/>
    </row>
    <row r="12">
      <c r="A12" s="15" t="n"/>
      <c r="B12" s="3" t="n"/>
      <c r="C12" s="4">
        <f>SE(B12="";"";SEERRO(PROCV(B12;'Cadastro Dizimistas'!$B$3:$C$502;2;FALSO);""))</f>
        <v/>
      </c>
      <c r="D12" s="4">
        <f>SE(A12="";"";ÍNDICE(Configurações!$B$35:$B$46;MÊS(A12)))</f>
        <v/>
      </c>
      <c r="E12" s="17" t="n"/>
      <c r="F12" s="3" t="n"/>
      <c r="G12" s="3" t="n"/>
      <c r="H12" s="3" t="n"/>
    </row>
    <row r="13">
      <c r="A13" s="15" t="n"/>
      <c r="B13" s="3" t="n"/>
      <c r="C13" s="4">
        <f>SE(B13="";"";SEERRO(PROCV(B13;'Cadastro Dizimistas'!$B$3:$C$502;2;FALSO);""))</f>
        <v/>
      </c>
      <c r="D13" s="4">
        <f>SE(A13="";"";ÍNDICE(Configurações!$B$35:$B$46;MÊS(A13)))</f>
        <v/>
      </c>
      <c r="E13" s="17" t="n"/>
      <c r="F13" s="3" t="n"/>
      <c r="G13" s="3" t="n"/>
      <c r="H13" s="3" t="n"/>
    </row>
    <row r="14">
      <c r="A14" s="15" t="n"/>
      <c r="B14" s="3" t="n"/>
      <c r="C14" s="4">
        <f>SE(B14="";"";SEERRO(PROCV(B14;'Cadastro Dizimistas'!$B$3:$C$502;2;FALSO);""))</f>
        <v/>
      </c>
      <c r="D14" s="4">
        <f>SE(A14="";"";ÍNDICE(Configurações!$B$35:$B$46;MÊS(A14)))</f>
        <v/>
      </c>
      <c r="E14" s="17" t="n"/>
      <c r="F14" s="3" t="n"/>
      <c r="G14" s="3" t="n"/>
      <c r="H14" s="3" t="n"/>
    </row>
    <row r="15">
      <c r="A15" s="15" t="n"/>
      <c r="B15" s="3" t="n"/>
      <c r="C15" s="4">
        <f>SE(B15="";"";SEERRO(PROCV(B15;'Cadastro Dizimistas'!$B$3:$C$502;2;FALSO);""))</f>
        <v/>
      </c>
      <c r="D15" s="4">
        <f>SE(A15="";"";ÍNDICE(Configurações!$B$35:$B$46;MÊS(A15)))</f>
        <v/>
      </c>
      <c r="E15" s="17" t="n"/>
      <c r="F15" s="3" t="n"/>
      <c r="G15" s="3" t="n"/>
      <c r="H15" s="3" t="n"/>
    </row>
    <row r="16">
      <c r="A16" s="15" t="n"/>
      <c r="B16" s="3" t="n"/>
      <c r="C16" s="4">
        <f>SE(B16="";"";SEERRO(PROCV(B16;'Cadastro Dizimistas'!$B$3:$C$502;2;FALSO);""))</f>
        <v/>
      </c>
      <c r="D16" s="4">
        <f>SE(A16="";"";ÍNDICE(Configurações!$B$35:$B$46;MÊS(A16)))</f>
        <v/>
      </c>
      <c r="E16" s="17" t="n"/>
      <c r="F16" s="3" t="n"/>
      <c r="G16" s="3" t="n"/>
      <c r="H16" s="3" t="n"/>
    </row>
    <row r="17">
      <c r="A17" s="15" t="n"/>
      <c r="B17" s="3" t="n"/>
      <c r="C17" s="4">
        <f>SE(B17="";"";SEERRO(PROCV(B17;'Cadastro Dizimistas'!$B$3:$C$502;2;FALSO);""))</f>
        <v/>
      </c>
      <c r="D17" s="4">
        <f>SE(A17="";"";ÍNDICE(Configurações!$B$35:$B$46;MÊS(A17)))</f>
        <v/>
      </c>
      <c r="E17" s="17" t="n"/>
      <c r="F17" s="3" t="n"/>
      <c r="G17" s="3" t="n"/>
      <c r="H17" s="3" t="n"/>
    </row>
    <row r="18">
      <c r="A18" s="15" t="n"/>
      <c r="B18" s="3" t="n"/>
      <c r="C18" s="4">
        <f>SE(B18="";"";SEERRO(PROCV(B18;'Cadastro Dizimistas'!$B$3:$C$502;2;FALSO);""))</f>
        <v/>
      </c>
      <c r="D18" s="4">
        <f>SE(A18="";"";ÍNDICE(Configurações!$B$35:$B$46;MÊS(A18)))</f>
        <v/>
      </c>
      <c r="E18" s="17" t="n"/>
      <c r="F18" s="3" t="n"/>
      <c r="G18" s="3" t="n"/>
      <c r="H18" s="3" t="n"/>
    </row>
    <row r="19">
      <c r="A19" s="15" t="n"/>
      <c r="B19" s="3" t="n"/>
      <c r="C19" s="4">
        <f>SE(B19="";"";SEERRO(PROCV(B19;'Cadastro Dizimistas'!$B$3:$C$502;2;FALSO);""))</f>
        <v/>
      </c>
      <c r="D19" s="4">
        <f>SE(A19="";"";ÍNDICE(Configurações!$B$35:$B$46;MÊS(A19)))</f>
        <v/>
      </c>
      <c r="E19" s="17" t="n"/>
      <c r="F19" s="3" t="n"/>
      <c r="G19" s="3" t="n"/>
      <c r="H19" s="3" t="n"/>
    </row>
    <row r="20">
      <c r="A20" s="15" t="n"/>
      <c r="B20" s="3" t="n"/>
      <c r="C20" s="4">
        <f>SE(B20="";"";SEERRO(PROCV(B20;'Cadastro Dizimistas'!$B$3:$C$502;2;FALSO);""))</f>
        <v/>
      </c>
      <c r="D20" s="4">
        <f>SE(A20="";"";ÍNDICE(Configurações!$B$35:$B$46;MÊS(A20)))</f>
        <v/>
      </c>
      <c r="E20" s="17" t="n"/>
      <c r="F20" s="3" t="n"/>
      <c r="G20" s="3" t="n"/>
      <c r="H20" s="3" t="n"/>
    </row>
    <row r="21">
      <c r="A21" s="15" t="n"/>
      <c r="B21" s="3" t="n"/>
      <c r="C21" s="4">
        <f>SE(B21="";"";SEERRO(PROCV(B21;'Cadastro Dizimistas'!$B$3:$C$502;2;FALSO);""))</f>
        <v/>
      </c>
      <c r="D21" s="4">
        <f>SE(A21="";"";ÍNDICE(Configurações!$B$35:$B$46;MÊS(A21)))</f>
        <v/>
      </c>
      <c r="E21" s="17" t="n"/>
      <c r="F21" s="3" t="n"/>
      <c r="G21" s="3" t="n"/>
      <c r="H21" s="3" t="n"/>
    </row>
    <row r="22">
      <c r="A22" s="15" t="n"/>
      <c r="B22" s="3" t="n"/>
      <c r="C22" s="4">
        <f>SE(B22="";"";SEERRO(PROCV(B22;'Cadastro Dizimistas'!$B$3:$C$502;2;FALSO);""))</f>
        <v/>
      </c>
      <c r="D22" s="4">
        <f>SE(A22="";"";ÍNDICE(Configurações!$B$35:$B$46;MÊS(A22)))</f>
        <v/>
      </c>
      <c r="E22" s="17" t="n"/>
      <c r="F22" s="3" t="n"/>
      <c r="G22" s="3" t="n"/>
      <c r="H22" s="3" t="n"/>
    </row>
    <row r="23">
      <c r="A23" s="15" t="n"/>
      <c r="B23" s="3" t="n"/>
      <c r="C23" s="4">
        <f>SE(B23="";"";SEERRO(PROCV(B23;'Cadastro Dizimistas'!$B$3:$C$502;2;FALSO);""))</f>
        <v/>
      </c>
      <c r="D23" s="4">
        <f>SE(A23="";"";ÍNDICE(Configurações!$B$35:$B$46;MÊS(A23)))</f>
        <v/>
      </c>
      <c r="E23" s="17" t="n"/>
      <c r="F23" s="3" t="n"/>
      <c r="G23" s="3" t="n"/>
      <c r="H23" s="3" t="n"/>
    </row>
    <row r="24">
      <c r="A24" s="15" t="n"/>
      <c r="B24" s="3" t="n"/>
      <c r="C24" s="4">
        <f>SE(B24="";"";SEERRO(PROCV(B24;'Cadastro Dizimistas'!$B$3:$C$502;2;FALSO);""))</f>
        <v/>
      </c>
      <c r="D24" s="4">
        <f>SE(A24="";"";ÍNDICE(Configurações!$B$35:$B$46;MÊS(A24)))</f>
        <v/>
      </c>
      <c r="E24" s="17" t="n"/>
      <c r="F24" s="3" t="n"/>
      <c r="G24" s="3" t="n"/>
      <c r="H24" s="3" t="n"/>
    </row>
    <row r="25">
      <c r="A25" s="15" t="n"/>
      <c r="B25" s="3" t="n"/>
      <c r="C25" s="4">
        <f>SE(B25="";"";SEERRO(PROCV(B25;'Cadastro Dizimistas'!$B$3:$C$502;2;FALSO);""))</f>
        <v/>
      </c>
      <c r="D25" s="4">
        <f>SE(A25="";"";ÍNDICE(Configurações!$B$35:$B$46;MÊS(A25)))</f>
        <v/>
      </c>
      <c r="E25" s="17" t="n"/>
      <c r="F25" s="3" t="n"/>
      <c r="G25" s="3" t="n"/>
      <c r="H25" s="3" t="n"/>
    </row>
    <row r="26">
      <c r="A26" s="15" t="n"/>
      <c r="B26" s="3" t="n"/>
      <c r="C26" s="4">
        <f>SE(B26="";"";SEERRO(PROCV(B26;'Cadastro Dizimistas'!$B$3:$C$502;2;FALSO);""))</f>
        <v/>
      </c>
      <c r="D26" s="4">
        <f>SE(A26="";"";ÍNDICE(Configurações!$B$35:$B$46;MÊS(A26)))</f>
        <v/>
      </c>
      <c r="E26" s="17" t="n"/>
      <c r="F26" s="3" t="n"/>
      <c r="G26" s="3" t="n"/>
      <c r="H26" s="3" t="n"/>
    </row>
    <row r="27">
      <c r="A27" s="15" t="n"/>
      <c r="B27" s="3" t="n"/>
      <c r="C27" s="4">
        <f>SE(B27="";"";SEERRO(PROCV(B27;'Cadastro Dizimistas'!$B$3:$C$502;2;FALSO);""))</f>
        <v/>
      </c>
      <c r="D27" s="4">
        <f>SE(A27="";"";ÍNDICE(Configurações!$B$35:$B$46;MÊS(A27)))</f>
        <v/>
      </c>
      <c r="E27" s="17" t="n"/>
      <c r="F27" s="3" t="n"/>
      <c r="G27" s="3" t="n"/>
      <c r="H27" s="3" t="n"/>
    </row>
    <row r="28">
      <c r="A28" s="15" t="n"/>
      <c r="B28" s="3" t="n"/>
      <c r="C28" s="4">
        <f>SE(B28="";"";SEERRO(PROCV(B28;'Cadastro Dizimistas'!$B$3:$C$502;2;FALSO);""))</f>
        <v/>
      </c>
      <c r="D28" s="4">
        <f>SE(A28="";"";ÍNDICE(Configurações!$B$35:$B$46;MÊS(A28)))</f>
        <v/>
      </c>
      <c r="E28" s="17" t="n"/>
      <c r="F28" s="3" t="n"/>
      <c r="G28" s="3" t="n"/>
      <c r="H28" s="3" t="n"/>
    </row>
    <row r="29">
      <c r="A29" s="15" t="n"/>
      <c r="B29" s="3" t="n"/>
      <c r="C29" s="4">
        <f>SE(B29="";"";SEERRO(PROCV(B29;'Cadastro Dizimistas'!$B$3:$C$502;2;FALSO);""))</f>
        <v/>
      </c>
      <c r="D29" s="4">
        <f>SE(A29="";"";ÍNDICE(Configurações!$B$35:$B$46;MÊS(A29)))</f>
        <v/>
      </c>
      <c r="E29" s="17" t="n"/>
      <c r="F29" s="3" t="n"/>
      <c r="G29" s="3" t="n"/>
      <c r="H29" s="3" t="n"/>
    </row>
    <row r="30">
      <c r="A30" s="15" t="n"/>
      <c r="B30" s="3" t="n"/>
      <c r="C30" s="4">
        <f>SE(B30="";"";SEERRO(PROCV(B30;'Cadastro Dizimistas'!$B$3:$C$502;2;FALSO);""))</f>
        <v/>
      </c>
      <c r="D30" s="4">
        <f>SE(A30="";"";ÍNDICE(Configurações!$B$35:$B$46;MÊS(A30)))</f>
        <v/>
      </c>
      <c r="E30" s="17" t="n"/>
      <c r="F30" s="3" t="n"/>
      <c r="G30" s="3" t="n"/>
      <c r="H30" s="3" t="n"/>
    </row>
    <row r="31">
      <c r="A31" s="15" t="n"/>
      <c r="B31" s="3" t="n"/>
      <c r="C31" s="4">
        <f>SE(B31="";"";SEERRO(PROCV(B31;'Cadastro Dizimistas'!$B$3:$C$502;2;FALSO);""))</f>
        <v/>
      </c>
      <c r="D31" s="4">
        <f>SE(A31="";"";ÍNDICE(Configurações!$B$35:$B$46;MÊS(A31)))</f>
        <v/>
      </c>
      <c r="E31" s="17" t="n"/>
      <c r="F31" s="3" t="n"/>
      <c r="G31" s="3" t="n"/>
      <c r="H31" s="3" t="n"/>
    </row>
    <row r="32">
      <c r="A32" s="15" t="n"/>
      <c r="B32" s="3" t="n"/>
      <c r="C32" s="4">
        <f>SE(B32="";"";SEERRO(PROCV(B32;'Cadastro Dizimistas'!$B$3:$C$502;2;FALSO);""))</f>
        <v/>
      </c>
      <c r="D32" s="4">
        <f>SE(A32="";"";ÍNDICE(Configurações!$B$35:$B$46;MÊS(A32)))</f>
        <v/>
      </c>
      <c r="E32" s="17" t="n"/>
      <c r="F32" s="3" t="n"/>
      <c r="G32" s="3" t="n"/>
      <c r="H32" s="3" t="n"/>
    </row>
    <row r="33">
      <c r="A33" s="15" t="n"/>
      <c r="B33" s="3" t="n"/>
      <c r="C33" s="4">
        <f>SE(B33="";"";SEERRO(PROCV(B33;'Cadastro Dizimistas'!$B$3:$C$502;2;FALSO);""))</f>
        <v/>
      </c>
      <c r="D33" s="4">
        <f>SE(A33="";"";ÍNDICE(Configurações!$B$35:$B$46;MÊS(A33)))</f>
        <v/>
      </c>
      <c r="E33" s="17" t="n"/>
      <c r="F33" s="3" t="n"/>
      <c r="G33" s="3" t="n"/>
      <c r="H33" s="3" t="n"/>
    </row>
    <row r="34">
      <c r="A34" s="15" t="n"/>
      <c r="B34" s="3" t="n"/>
      <c r="C34" s="4">
        <f>SE(B34="";"";SEERRO(PROCV(B34;'Cadastro Dizimistas'!$B$3:$C$502;2;FALSO);""))</f>
        <v/>
      </c>
      <c r="D34" s="4">
        <f>SE(A34="";"";ÍNDICE(Configurações!$B$35:$B$46;MÊS(A34)))</f>
        <v/>
      </c>
      <c r="E34" s="17" t="n"/>
      <c r="F34" s="3" t="n"/>
      <c r="G34" s="3" t="n"/>
      <c r="H34" s="3" t="n"/>
    </row>
    <row r="35">
      <c r="A35" s="15" t="n"/>
      <c r="B35" s="3" t="n"/>
      <c r="C35" s="4">
        <f>SE(B35="";"";SEERRO(PROCV(B35;'Cadastro Dizimistas'!$B$3:$C$502;2;FALSO);""))</f>
        <v/>
      </c>
      <c r="D35" s="4">
        <f>SE(A35="";"";ÍNDICE(Configurações!$B$35:$B$46;MÊS(A35)))</f>
        <v/>
      </c>
      <c r="E35" s="17" t="n"/>
      <c r="F35" s="3" t="n"/>
      <c r="G35" s="3" t="n"/>
      <c r="H35" s="3" t="n"/>
    </row>
    <row r="36">
      <c r="A36" s="15" t="n"/>
      <c r="B36" s="3" t="n"/>
      <c r="C36" s="4">
        <f>SE(B36="";"";SEERRO(PROCV(B36;'Cadastro Dizimistas'!$B$3:$C$502;2;FALSO);""))</f>
        <v/>
      </c>
      <c r="D36" s="4">
        <f>SE(A36="";"";ÍNDICE(Configurações!$B$35:$B$46;MÊS(A36)))</f>
        <v/>
      </c>
      <c r="E36" s="17" t="n"/>
      <c r="F36" s="3" t="n"/>
      <c r="G36" s="3" t="n"/>
      <c r="H36" s="3" t="n"/>
    </row>
    <row r="37">
      <c r="A37" s="15" t="n"/>
      <c r="B37" s="3" t="n"/>
      <c r="C37" s="4">
        <f>SE(B37="";"";SEERRO(PROCV(B37;'Cadastro Dizimistas'!$B$3:$C$502;2;FALSO);""))</f>
        <v/>
      </c>
      <c r="D37" s="4">
        <f>SE(A37="";"";ÍNDICE(Configurações!$B$35:$B$46;MÊS(A37)))</f>
        <v/>
      </c>
      <c r="E37" s="17" t="n"/>
      <c r="F37" s="3" t="n"/>
      <c r="G37" s="3" t="n"/>
      <c r="H37" s="3" t="n"/>
    </row>
    <row r="38">
      <c r="A38" s="15" t="n"/>
      <c r="B38" s="3" t="n"/>
      <c r="C38" s="4">
        <f>SE(B38="";"";SEERRO(PROCV(B38;'Cadastro Dizimistas'!$B$3:$C$502;2;FALSO);""))</f>
        <v/>
      </c>
      <c r="D38" s="4">
        <f>SE(A38="";"";ÍNDICE(Configurações!$B$35:$B$46;MÊS(A38)))</f>
        <v/>
      </c>
      <c r="E38" s="17" t="n"/>
      <c r="F38" s="3" t="n"/>
      <c r="G38" s="3" t="n"/>
      <c r="H38" s="3" t="n"/>
    </row>
    <row r="39">
      <c r="A39" s="15" t="n"/>
      <c r="B39" s="3" t="n"/>
      <c r="C39" s="4">
        <f>SE(B39="";"";SEERRO(PROCV(B39;'Cadastro Dizimistas'!$B$3:$C$502;2;FALSO);""))</f>
        <v/>
      </c>
      <c r="D39" s="4">
        <f>SE(A39="";"";ÍNDICE(Configurações!$B$35:$B$46;MÊS(A39)))</f>
        <v/>
      </c>
      <c r="E39" s="17" t="n"/>
      <c r="F39" s="3" t="n"/>
      <c r="G39" s="3" t="n"/>
      <c r="H39" s="3" t="n"/>
    </row>
    <row r="40">
      <c r="A40" s="15" t="n"/>
      <c r="B40" s="3" t="n"/>
      <c r="C40" s="4">
        <f>SE(B40="";"";SEERRO(PROCV(B40;'Cadastro Dizimistas'!$B$3:$C$502;2;FALSO);""))</f>
        <v/>
      </c>
      <c r="D40" s="4">
        <f>SE(A40="";"";ÍNDICE(Configurações!$B$35:$B$46;MÊS(A40)))</f>
        <v/>
      </c>
      <c r="E40" s="17" t="n"/>
      <c r="F40" s="3" t="n"/>
      <c r="G40" s="3" t="n"/>
      <c r="H40" s="3" t="n"/>
    </row>
    <row r="41">
      <c r="A41" s="15" t="n"/>
      <c r="B41" s="3" t="n"/>
      <c r="C41" s="4">
        <f>SE(B41="";"";SEERRO(PROCV(B41;'Cadastro Dizimistas'!$B$3:$C$502;2;FALSO);""))</f>
        <v/>
      </c>
      <c r="D41" s="4">
        <f>SE(A41="";"";ÍNDICE(Configurações!$B$35:$B$46;MÊS(A41)))</f>
        <v/>
      </c>
      <c r="E41" s="17" t="n"/>
      <c r="F41" s="3" t="n"/>
      <c r="G41" s="3" t="n"/>
      <c r="H41" s="3" t="n"/>
    </row>
    <row r="42">
      <c r="A42" s="15" t="n"/>
      <c r="B42" s="3" t="n"/>
      <c r="C42" s="4">
        <f>SE(B42="";"";SEERRO(PROCV(B42;'Cadastro Dizimistas'!$B$3:$C$502;2;FALSO);""))</f>
        <v/>
      </c>
      <c r="D42" s="4">
        <f>SE(A42="";"";ÍNDICE(Configurações!$B$35:$B$46;MÊS(A42)))</f>
        <v/>
      </c>
      <c r="E42" s="17" t="n"/>
      <c r="F42" s="3" t="n"/>
      <c r="G42" s="3" t="n"/>
      <c r="H42" s="3" t="n"/>
    </row>
    <row r="43">
      <c r="A43" s="15" t="n"/>
      <c r="B43" s="3" t="n"/>
      <c r="C43" s="4">
        <f>SE(B43="";"";SEERRO(PROCV(B43;'Cadastro Dizimistas'!$B$3:$C$502;2;FALSO);""))</f>
        <v/>
      </c>
      <c r="D43" s="4">
        <f>SE(A43="";"";ÍNDICE(Configurações!$B$35:$B$46;MÊS(A43)))</f>
        <v/>
      </c>
      <c r="E43" s="17" t="n"/>
      <c r="F43" s="3" t="n"/>
      <c r="G43" s="3" t="n"/>
      <c r="H43" s="3" t="n"/>
    </row>
    <row r="44">
      <c r="A44" s="15" t="n"/>
      <c r="B44" s="3" t="n"/>
      <c r="C44" s="4">
        <f>SE(B44="";"";SEERRO(PROCV(B44;'Cadastro Dizimistas'!$B$3:$C$502;2;FALSO);""))</f>
        <v/>
      </c>
      <c r="D44" s="4">
        <f>SE(A44="";"";ÍNDICE(Configurações!$B$35:$B$46;MÊS(A44)))</f>
        <v/>
      </c>
      <c r="E44" s="17" t="n"/>
      <c r="F44" s="3" t="n"/>
      <c r="G44" s="3" t="n"/>
      <c r="H44" s="3" t="n"/>
    </row>
    <row r="45">
      <c r="A45" s="15" t="n"/>
      <c r="B45" s="3" t="n"/>
      <c r="C45" s="4">
        <f>SE(B45="";"";SEERRO(PROCV(B45;'Cadastro Dizimistas'!$B$3:$C$502;2;FALSO);""))</f>
        <v/>
      </c>
      <c r="D45" s="4">
        <f>SE(A45="";"";ÍNDICE(Configurações!$B$35:$B$46;MÊS(A45)))</f>
        <v/>
      </c>
      <c r="E45" s="17" t="n"/>
      <c r="F45" s="3" t="n"/>
      <c r="G45" s="3" t="n"/>
      <c r="H45" s="3" t="n"/>
    </row>
    <row r="46">
      <c r="A46" s="15" t="n"/>
      <c r="B46" s="3" t="n"/>
      <c r="C46" s="4">
        <f>SE(B46="";"";SEERRO(PROCV(B46;'Cadastro Dizimistas'!$B$3:$C$502;2;FALSO);""))</f>
        <v/>
      </c>
      <c r="D46" s="4">
        <f>SE(A46="";"";ÍNDICE(Configurações!$B$35:$B$46;MÊS(A46)))</f>
        <v/>
      </c>
      <c r="E46" s="17" t="n"/>
      <c r="F46" s="3" t="n"/>
      <c r="G46" s="3" t="n"/>
      <c r="H46" s="3" t="n"/>
    </row>
    <row r="47">
      <c r="A47" s="15" t="n"/>
      <c r="B47" s="3" t="n"/>
      <c r="C47" s="4">
        <f>SE(B47="";"";SEERRO(PROCV(B47;'Cadastro Dizimistas'!$B$3:$C$502;2;FALSO);""))</f>
        <v/>
      </c>
      <c r="D47" s="4">
        <f>SE(A47="";"";ÍNDICE(Configurações!$B$35:$B$46;MÊS(A47)))</f>
        <v/>
      </c>
      <c r="E47" s="17" t="n"/>
      <c r="F47" s="3" t="n"/>
      <c r="G47" s="3" t="n"/>
      <c r="H47" s="3" t="n"/>
    </row>
    <row r="48">
      <c r="A48" s="15" t="n"/>
      <c r="B48" s="3" t="n"/>
      <c r="C48" s="4">
        <f>SE(B48="";"";SEERRO(PROCV(B48;'Cadastro Dizimistas'!$B$3:$C$502;2;FALSO);""))</f>
        <v/>
      </c>
      <c r="D48" s="4">
        <f>SE(A48="";"";ÍNDICE(Configurações!$B$35:$B$46;MÊS(A48)))</f>
        <v/>
      </c>
      <c r="E48" s="17" t="n"/>
      <c r="F48" s="3" t="n"/>
      <c r="G48" s="3" t="n"/>
      <c r="H48" s="3" t="n"/>
    </row>
    <row r="49">
      <c r="A49" s="15" t="n"/>
      <c r="B49" s="3" t="n"/>
      <c r="C49" s="4">
        <f>SE(B49="";"";SEERRO(PROCV(B49;'Cadastro Dizimistas'!$B$3:$C$502;2;FALSO);""))</f>
        <v/>
      </c>
      <c r="D49" s="4">
        <f>SE(A49="";"";ÍNDICE(Configurações!$B$35:$B$46;MÊS(A49)))</f>
        <v/>
      </c>
      <c r="E49" s="17" t="n"/>
      <c r="F49" s="3" t="n"/>
      <c r="G49" s="3" t="n"/>
      <c r="H49" s="3" t="n"/>
    </row>
    <row r="50">
      <c r="A50" s="15" t="n"/>
      <c r="B50" s="3" t="n"/>
      <c r="C50" s="4">
        <f>SE(B50="";"";SEERRO(PROCV(B50;'Cadastro Dizimistas'!$B$3:$C$502;2;FALSO);""))</f>
        <v/>
      </c>
      <c r="D50" s="4">
        <f>SE(A50="";"";ÍNDICE(Configurações!$B$35:$B$46;MÊS(A50)))</f>
        <v/>
      </c>
      <c r="E50" s="17" t="n"/>
      <c r="F50" s="3" t="n"/>
      <c r="G50" s="3" t="n"/>
      <c r="H50" s="3" t="n"/>
    </row>
    <row r="51">
      <c r="A51" s="15" t="n"/>
      <c r="B51" s="3" t="n"/>
      <c r="C51" s="4">
        <f>SE(B51="";"";SEERRO(PROCV(B51;'Cadastro Dizimistas'!$B$3:$C$502;2;FALSO);""))</f>
        <v/>
      </c>
      <c r="D51" s="4">
        <f>SE(A51="";"";ÍNDICE(Configurações!$B$35:$B$46;MÊS(A51)))</f>
        <v/>
      </c>
      <c r="E51" s="17" t="n"/>
      <c r="F51" s="3" t="n"/>
      <c r="G51" s="3" t="n"/>
      <c r="H51" s="3" t="n"/>
    </row>
    <row r="52">
      <c r="A52" s="15" t="n"/>
      <c r="B52" s="3" t="n"/>
      <c r="C52" s="4">
        <f>SE(B52="";"";SEERRO(PROCV(B52;'Cadastro Dizimistas'!$B$3:$C$502;2;FALSO);""))</f>
        <v/>
      </c>
      <c r="D52" s="4">
        <f>SE(A52="";"";ÍNDICE(Configurações!$B$35:$B$46;MÊS(A52)))</f>
        <v/>
      </c>
      <c r="E52" s="17" t="n"/>
      <c r="F52" s="3" t="n"/>
      <c r="G52" s="3" t="n"/>
      <c r="H52" s="3" t="n"/>
    </row>
    <row r="53">
      <c r="A53" s="15" t="n"/>
      <c r="B53" s="3" t="n"/>
      <c r="C53" s="4">
        <f>SE(B53="";"";SEERRO(PROCV(B53;'Cadastro Dizimistas'!$B$3:$C$502;2;FALSO);""))</f>
        <v/>
      </c>
      <c r="D53" s="4">
        <f>SE(A53="";"";ÍNDICE(Configurações!$B$35:$B$46;MÊS(A53)))</f>
        <v/>
      </c>
      <c r="E53" s="17" t="n"/>
      <c r="F53" s="3" t="n"/>
      <c r="G53" s="3" t="n"/>
      <c r="H53" s="3" t="n"/>
    </row>
    <row r="54">
      <c r="A54" s="15" t="n"/>
      <c r="B54" s="3" t="n"/>
      <c r="C54" s="4">
        <f>SE(B54="";"";SEERRO(PROCV(B54;'Cadastro Dizimistas'!$B$3:$C$502;2;FALSO);""))</f>
        <v/>
      </c>
      <c r="D54" s="4">
        <f>SE(A54="";"";ÍNDICE(Configurações!$B$35:$B$46;MÊS(A54)))</f>
        <v/>
      </c>
      <c r="E54" s="17" t="n"/>
      <c r="F54" s="3" t="n"/>
      <c r="G54" s="3" t="n"/>
      <c r="H54" s="3" t="n"/>
    </row>
    <row r="55">
      <c r="A55" s="15" t="n"/>
      <c r="B55" s="3" t="n"/>
      <c r="C55" s="4">
        <f>SE(B55="";"";SEERRO(PROCV(B55;'Cadastro Dizimistas'!$B$3:$C$502;2;FALSO);""))</f>
        <v/>
      </c>
      <c r="D55" s="4">
        <f>SE(A55="";"";ÍNDICE(Configurações!$B$35:$B$46;MÊS(A55)))</f>
        <v/>
      </c>
      <c r="E55" s="17" t="n"/>
      <c r="F55" s="3" t="n"/>
      <c r="G55" s="3" t="n"/>
      <c r="H55" s="3" t="n"/>
    </row>
    <row r="56">
      <c r="A56" s="15" t="n"/>
      <c r="B56" s="3" t="n"/>
      <c r="C56" s="4">
        <f>SE(B56="";"";SEERRO(PROCV(B56;'Cadastro Dizimistas'!$B$3:$C$502;2;FALSO);""))</f>
        <v/>
      </c>
      <c r="D56" s="4">
        <f>SE(A56="";"";ÍNDICE(Configurações!$B$35:$B$46;MÊS(A56)))</f>
        <v/>
      </c>
      <c r="E56" s="17" t="n"/>
      <c r="F56" s="3" t="n"/>
      <c r="G56" s="3" t="n"/>
      <c r="H56" s="3" t="n"/>
    </row>
    <row r="57">
      <c r="A57" s="15" t="n"/>
      <c r="B57" s="3" t="n"/>
      <c r="C57" s="4">
        <f>SE(B57="";"";SEERRO(PROCV(B57;'Cadastro Dizimistas'!$B$3:$C$502;2;FALSO);""))</f>
        <v/>
      </c>
      <c r="D57" s="4">
        <f>SE(A57="";"";ÍNDICE(Configurações!$B$35:$B$46;MÊS(A57)))</f>
        <v/>
      </c>
      <c r="E57" s="17" t="n"/>
      <c r="F57" s="3" t="n"/>
      <c r="G57" s="3" t="n"/>
      <c r="H57" s="3" t="n"/>
    </row>
    <row r="58">
      <c r="A58" s="15" t="n"/>
      <c r="B58" s="3" t="n"/>
      <c r="C58" s="4">
        <f>SE(B58="";"";SEERRO(PROCV(B58;'Cadastro Dizimistas'!$B$3:$C$502;2;FALSO);""))</f>
        <v/>
      </c>
      <c r="D58" s="4">
        <f>SE(A58="";"";ÍNDICE(Configurações!$B$35:$B$46;MÊS(A58)))</f>
        <v/>
      </c>
      <c r="E58" s="17" t="n"/>
      <c r="F58" s="3" t="n"/>
      <c r="G58" s="3" t="n"/>
      <c r="H58" s="3" t="n"/>
    </row>
    <row r="59">
      <c r="A59" s="15" t="n"/>
      <c r="B59" s="3" t="n"/>
      <c r="C59" s="4">
        <f>SE(B59="";"";SEERRO(PROCV(B59;'Cadastro Dizimistas'!$B$3:$C$502;2;FALSO);""))</f>
        <v/>
      </c>
      <c r="D59" s="4">
        <f>SE(A59="";"";ÍNDICE(Configurações!$B$35:$B$46;MÊS(A59)))</f>
        <v/>
      </c>
      <c r="E59" s="17" t="n"/>
      <c r="F59" s="3" t="n"/>
      <c r="G59" s="3" t="n"/>
      <c r="H59" s="3" t="n"/>
    </row>
    <row r="60">
      <c r="A60" s="15" t="n"/>
      <c r="B60" s="3" t="n"/>
      <c r="C60" s="4">
        <f>SE(B60="";"";SEERRO(PROCV(B60;'Cadastro Dizimistas'!$B$3:$C$502;2;FALSO);""))</f>
        <v/>
      </c>
      <c r="D60" s="4">
        <f>SE(A60="";"";ÍNDICE(Configurações!$B$35:$B$46;MÊS(A60)))</f>
        <v/>
      </c>
      <c r="E60" s="17" t="n"/>
      <c r="F60" s="3" t="n"/>
      <c r="G60" s="3" t="n"/>
      <c r="H60" s="3" t="n"/>
    </row>
    <row r="61">
      <c r="A61" s="15" t="n"/>
      <c r="B61" s="3" t="n"/>
      <c r="C61" s="4">
        <f>SE(B61="";"";SEERRO(PROCV(B61;'Cadastro Dizimistas'!$B$3:$C$502;2;FALSO);""))</f>
        <v/>
      </c>
      <c r="D61" s="4">
        <f>SE(A61="";"";ÍNDICE(Configurações!$B$35:$B$46;MÊS(A61)))</f>
        <v/>
      </c>
      <c r="E61" s="17" t="n"/>
      <c r="F61" s="3" t="n"/>
      <c r="G61" s="3" t="n"/>
      <c r="H61" s="3" t="n"/>
    </row>
    <row r="62">
      <c r="A62" s="15" t="n"/>
      <c r="B62" s="3" t="n"/>
      <c r="C62" s="4">
        <f>SE(B62="";"";SEERRO(PROCV(B62;'Cadastro Dizimistas'!$B$3:$C$502;2;FALSO);""))</f>
        <v/>
      </c>
      <c r="D62" s="4">
        <f>SE(A62="";"";ÍNDICE(Configurações!$B$35:$B$46;MÊS(A62)))</f>
        <v/>
      </c>
      <c r="E62" s="17" t="n"/>
      <c r="F62" s="3" t="n"/>
      <c r="G62" s="3" t="n"/>
      <c r="H62" s="3" t="n"/>
    </row>
    <row r="63">
      <c r="A63" s="15" t="n"/>
      <c r="B63" s="3" t="n"/>
      <c r="C63" s="4">
        <f>SE(B63="";"";SEERRO(PROCV(B63;'Cadastro Dizimistas'!$B$3:$C$502;2;FALSO);""))</f>
        <v/>
      </c>
      <c r="D63" s="4">
        <f>SE(A63="";"";ÍNDICE(Configurações!$B$35:$B$46;MÊS(A63)))</f>
        <v/>
      </c>
      <c r="E63" s="17" t="n"/>
      <c r="F63" s="3" t="n"/>
      <c r="G63" s="3" t="n"/>
      <c r="H63" s="3" t="n"/>
    </row>
    <row r="64">
      <c r="A64" s="15" t="n"/>
      <c r="B64" s="3" t="n"/>
      <c r="C64" s="4">
        <f>SE(B64="";"";SEERRO(PROCV(B64;'Cadastro Dizimistas'!$B$3:$C$502;2;FALSO);""))</f>
        <v/>
      </c>
      <c r="D64" s="4">
        <f>SE(A64="";"";ÍNDICE(Configurações!$B$35:$B$46;MÊS(A64)))</f>
        <v/>
      </c>
      <c r="E64" s="17" t="n"/>
      <c r="F64" s="3" t="n"/>
      <c r="G64" s="3" t="n"/>
      <c r="H64" s="3" t="n"/>
    </row>
    <row r="65">
      <c r="A65" s="15" t="n"/>
      <c r="B65" s="3" t="n"/>
      <c r="C65" s="4">
        <f>SE(B65="";"";SEERRO(PROCV(B65;'Cadastro Dizimistas'!$B$3:$C$502;2;FALSO);""))</f>
        <v/>
      </c>
      <c r="D65" s="4">
        <f>SE(A65="";"";ÍNDICE(Configurações!$B$35:$B$46;MÊS(A65)))</f>
        <v/>
      </c>
      <c r="E65" s="17" t="n"/>
      <c r="F65" s="3" t="n"/>
      <c r="G65" s="3" t="n"/>
      <c r="H65" s="3" t="n"/>
    </row>
    <row r="66">
      <c r="A66" s="15" t="n"/>
      <c r="B66" s="3" t="n"/>
      <c r="C66" s="4">
        <f>SE(B66="";"";SEERRO(PROCV(B66;'Cadastro Dizimistas'!$B$3:$C$502;2;FALSO);""))</f>
        <v/>
      </c>
      <c r="D66" s="4">
        <f>SE(A66="";"";ÍNDICE(Configurações!$B$35:$B$46;MÊS(A66)))</f>
        <v/>
      </c>
      <c r="E66" s="17" t="n"/>
      <c r="F66" s="3" t="n"/>
      <c r="G66" s="3" t="n"/>
      <c r="H66" s="3" t="n"/>
    </row>
    <row r="67">
      <c r="A67" s="15" t="n"/>
      <c r="B67" s="3" t="n"/>
      <c r="C67" s="4">
        <f>SE(B67="";"";SEERRO(PROCV(B67;'Cadastro Dizimistas'!$B$3:$C$502;2;FALSO);""))</f>
        <v/>
      </c>
      <c r="D67" s="4">
        <f>SE(A67="";"";ÍNDICE(Configurações!$B$35:$B$46;MÊS(A67)))</f>
        <v/>
      </c>
      <c r="E67" s="17" t="n"/>
      <c r="F67" s="3" t="n"/>
      <c r="G67" s="3" t="n"/>
      <c r="H67" s="3" t="n"/>
    </row>
    <row r="68">
      <c r="A68" s="15" t="n"/>
      <c r="B68" s="3" t="n"/>
      <c r="C68" s="4">
        <f>SE(B68="";"";SEERRO(PROCV(B68;'Cadastro Dizimistas'!$B$3:$C$502;2;FALSO);""))</f>
        <v/>
      </c>
      <c r="D68" s="4">
        <f>SE(A68="";"";ÍNDICE(Configurações!$B$35:$B$46;MÊS(A68)))</f>
        <v/>
      </c>
      <c r="E68" s="17" t="n"/>
      <c r="F68" s="3" t="n"/>
      <c r="G68" s="3" t="n"/>
      <c r="H68" s="3" t="n"/>
    </row>
    <row r="69">
      <c r="A69" s="15" t="n"/>
      <c r="B69" s="3" t="n"/>
      <c r="C69" s="4">
        <f>SE(B69="";"";SEERRO(PROCV(B69;'Cadastro Dizimistas'!$B$3:$C$502;2;FALSO);""))</f>
        <v/>
      </c>
      <c r="D69" s="4">
        <f>SE(A69="";"";ÍNDICE(Configurações!$B$35:$B$46;MÊS(A69)))</f>
        <v/>
      </c>
      <c r="E69" s="17" t="n"/>
      <c r="F69" s="3" t="n"/>
      <c r="G69" s="3" t="n"/>
      <c r="H69" s="3" t="n"/>
    </row>
    <row r="70">
      <c r="A70" s="15" t="n"/>
      <c r="B70" s="3" t="n"/>
      <c r="C70" s="4">
        <f>SE(B70="";"";SEERRO(PROCV(B70;'Cadastro Dizimistas'!$B$3:$C$502;2;FALSO);""))</f>
        <v/>
      </c>
      <c r="D70" s="4">
        <f>SE(A70="";"";ÍNDICE(Configurações!$B$35:$B$46;MÊS(A70)))</f>
        <v/>
      </c>
      <c r="E70" s="17" t="n"/>
      <c r="F70" s="3" t="n"/>
      <c r="G70" s="3" t="n"/>
      <c r="H70" s="3" t="n"/>
    </row>
    <row r="71">
      <c r="A71" s="15" t="n"/>
      <c r="B71" s="3" t="n"/>
      <c r="C71" s="4">
        <f>SE(B71="";"";SEERRO(PROCV(B71;'Cadastro Dizimistas'!$B$3:$C$502;2;FALSO);""))</f>
        <v/>
      </c>
      <c r="D71" s="4">
        <f>SE(A71="";"";ÍNDICE(Configurações!$B$35:$B$46;MÊS(A71)))</f>
        <v/>
      </c>
      <c r="E71" s="17" t="n"/>
      <c r="F71" s="3" t="n"/>
      <c r="G71" s="3" t="n"/>
      <c r="H71" s="3" t="n"/>
    </row>
    <row r="72">
      <c r="A72" s="15" t="n"/>
      <c r="B72" s="3" t="n"/>
      <c r="C72" s="4">
        <f>SE(B72="";"";SEERRO(PROCV(B72;'Cadastro Dizimistas'!$B$3:$C$502;2;FALSO);""))</f>
        <v/>
      </c>
      <c r="D72" s="4">
        <f>SE(A72="";"";ÍNDICE(Configurações!$B$35:$B$46;MÊS(A72)))</f>
        <v/>
      </c>
      <c r="E72" s="17" t="n"/>
      <c r="F72" s="3" t="n"/>
      <c r="G72" s="3" t="n"/>
      <c r="H72" s="3" t="n"/>
    </row>
    <row r="73">
      <c r="A73" s="15" t="n"/>
      <c r="B73" s="3" t="n"/>
      <c r="C73" s="4">
        <f>SE(B73="";"";SEERRO(PROCV(B73;'Cadastro Dizimistas'!$B$3:$C$502;2;FALSO);""))</f>
        <v/>
      </c>
      <c r="D73" s="4">
        <f>SE(A73="";"";ÍNDICE(Configurações!$B$35:$B$46;MÊS(A73)))</f>
        <v/>
      </c>
      <c r="E73" s="17" t="n"/>
      <c r="F73" s="3" t="n"/>
      <c r="G73" s="3" t="n"/>
      <c r="H73" s="3" t="n"/>
    </row>
    <row r="74">
      <c r="A74" s="15" t="n"/>
      <c r="B74" s="3" t="n"/>
      <c r="C74" s="4">
        <f>SE(B74="";"";SEERRO(PROCV(B74;'Cadastro Dizimistas'!$B$3:$C$502;2;FALSO);""))</f>
        <v/>
      </c>
      <c r="D74" s="4">
        <f>SE(A74="";"";ÍNDICE(Configurações!$B$35:$B$46;MÊS(A74)))</f>
        <v/>
      </c>
      <c r="E74" s="17" t="n"/>
      <c r="F74" s="3" t="n"/>
      <c r="G74" s="3" t="n"/>
      <c r="H74" s="3" t="n"/>
    </row>
    <row r="75">
      <c r="A75" s="15" t="n"/>
      <c r="B75" s="3" t="n"/>
      <c r="C75" s="4">
        <f>SE(B75="";"";SEERRO(PROCV(B75;'Cadastro Dizimistas'!$B$3:$C$502;2;FALSO);""))</f>
        <v/>
      </c>
      <c r="D75" s="4">
        <f>SE(A75="";"";ÍNDICE(Configurações!$B$35:$B$46;MÊS(A75)))</f>
        <v/>
      </c>
      <c r="E75" s="17" t="n"/>
      <c r="F75" s="3" t="n"/>
      <c r="G75" s="3" t="n"/>
      <c r="H75" s="3" t="n"/>
    </row>
    <row r="76">
      <c r="A76" s="15" t="n"/>
      <c r="B76" s="3" t="n"/>
      <c r="C76" s="4">
        <f>SE(B76="";"";SEERRO(PROCV(B76;'Cadastro Dizimistas'!$B$3:$C$502;2;FALSO);""))</f>
        <v/>
      </c>
      <c r="D76" s="4">
        <f>SE(A76="";"";ÍNDICE(Configurações!$B$35:$B$46;MÊS(A76)))</f>
        <v/>
      </c>
      <c r="E76" s="17" t="n"/>
      <c r="F76" s="3" t="n"/>
      <c r="G76" s="3" t="n"/>
      <c r="H76" s="3" t="n"/>
    </row>
    <row r="77">
      <c r="A77" s="15" t="n"/>
      <c r="B77" s="3" t="n"/>
      <c r="C77" s="4">
        <f>SE(B77="";"";SEERRO(PROCV(B77;'Cadastro Dizimistas'!$B$3:$C$502;2;FALSO);""))</f>
        <v/>
      </c>
      <c r="D77" s="4">
        <f>SE(A77="";"";ÍNDICE(Configurações!$B$35:$B$46;MÊS(A77)))</f>
        <v/>
      </c>
      <c r="E77" s="17" t="n"/>
      <c r="F77" s="3" t="n"/>
      <c r="G77" s="3" t="n"/>
      <c r="H77" s="3" t="n"/>
    </row>
    <row r="78">
      <c r="A78" s="15" t="n"/>
      <c r="B78" s="3" t="n"/>
      <c r="C78" s="4">
        <f>SE(B78="";"";SEERRO(PROCV(B78;'Cadastro Dizimistas'!$B$3:$C$502;2;FALSO);""))</f>
        <v/>
      </c>
      <c r="D78" s="4">
        <f>SE(A78="";"";ÍNDICE(Configurações!$B$35:$B$46;MÊS(A78)))</f>
        <v/>
      </c>
      <c r="E78" s="17" t="n"/>
      <c r="F78" s="3" t="n"/>
      <c r="G78" s="3" t="n"/>
      <c r="H78" s="3" t="n"/>
    </row>
    <row r="79">
      <c r="A79" s="15" t="n"/>
      <c r="B79" s="3" t="n"/>
      <c r="C79" s="4">
        <f>SE(B79="";"";SEERRO(PROCV(B79;'Cadastro Dizimistas'!$B$3:$C$502;2;FALSO);""))</f>
        <v/>
      </c>
      <c r="D79" s="4">
        <f>SE(A79="";"";ÍNDICE(Configurações!$B$35:$B$46;MÊS(A79)))</f>
        <v/>
      </c>
      <c r="E79" s="17" t="n"/>
      <c r="F79" s="3" t="n"/>
      <c r="G79" s="3" t="n"/>
      <c r="H79" s="3" t="n"/>
    </row>
    <row r="80">
      <c r="A80" s="15" t="n"/>
      <c r="B80" s="3" t="n"/>
      <c r="C80" s="4">
        <f>SE(B80="";"";SEERRO(PROCV(B80;'Cadastro Dizimistas'!$B$3:$C$502;2;FALSO);""))</f>
        <v/>
      </c>
      <c r="D80" s="4">
        <f>SE(A80="";"";ÍNDICE(Configurações!$B$35:$B$46;MÊS(A80)))</f>
        <v/>
      </c>
      <c r="E80" s="17" t="n"/>
      <c r="F80" s="3" t="n"/>
      <c r="G80" s="3" t="n"/>
      <c r="H80" s="3" t="n"/>
    </row>
    <row r="81">
      <c r="A81" s="15" t="n"/>
      <c r="B81" s="3" t="n"/>
      <c r="C81" s="4">
        <f>SE(B81="";"";SEERRO(PROCV(B81;'Cadastro Dizimistas'!$B$3:$C$502;2;FALSO);""))</f>
        <v/>
      </c>
      <c r="D81" s="4">
        <f>SE(A81="";"";ÍNDICE(Configurações!$B$35:$B$46;MÊS(A81)))</f>
        <v/>
      </c>
      <c r="E81" s="17" t="n"/>
      <c r="F81" s="3" t="n"/>
      <c r="G81" s="3" t="n"/>
      <c r="H81" s="3" t="n"/>
    </row>
    <row r="82">
      <c r="A82" s="15" t="n"/>
      <c r="B82" s="3" t="n"/>
      <c r="C82" s="4">
        <f>SE(B82="";"";SEERRO(PROCV(B82;'Cadastro Dizimistas'!$B$3:$C$502;2;FALSO);""))</f>
        <v/>
      </c>
      <c r="D82" s="4">
        <f>SE(A82="";"";ÍNDICE(Configurações!$B$35:$B$46;MÊS(A82)))</f>
        <v/>
      </c>
      <c r="E82" s="17" t="n"/>
      <c r="F82" s="3" t="n"/>
      <c r="G82" s="3" t="n"/>
      <c r="H82" s="3" t="n"/>
    </row>
    <row r="83">
      <c r="A83" s="15" t="n"/>
      <c r="B83" s="3" t="n"/>
      <c r="C83" s="4">
        <f>SE(B83="";"";SEERRO(PROCV(B83;'Cadastro Dizimistas'!$B$3:$C$502;2;FALSO);""))</f>
        <v/>
      </c>
      <c r="D83" s="4">
        <f>SE(A83="";"";ÍNDICE(Configurações!$B$35:$B$46;MÊS(A83)))</f>
        <v/>
      </c>
      <c r="E83" s="17" t="n"/>
      <c r="F83" s="3" t="n"/>
      <c r="G83" s="3" t="n"/>
      <c r="H83" s="3" t="n"/>
    </row>
    <row r="84">
      <c r="A84" s="15" t="n"/>
      <c r="B84" s="3" t="n"/>
      <c r="C84" s="4">
        <f>SE(B84="";"";SEERRO(PROCV(B84;'Cadastro Dizimistas'!$B$3:$C$502;2;FALSO);""))</f>
        <v/>
      </c>
      <c r="D84" s="4">
        <f>SE(A84="";"";ÍNDICE(Configurações!$B$35:$B$46;MÊS(A84)))</f>
        <v/>
      </c>
      <c r="E84" s="17" t="n"/>
      <c r="F84" s="3" t="n"/>
      <c r="G84" s="3" t="n"/>
      <c r="H84" s="3" t="n"/>
    </row>
    <row r="85">
      <c r="A85" s="15" t="n"/>
      <c r="B85" s="3" t="n"/>
      <c r="C85" s="4">
        <f>SE(B85="";"";SEERRO(PROCV(B85;'Cadastro Dizimistas'!$B$3:$C$502;2;FALSO);""))</f>
        <v/>
      </c>
      <c r="D85" s="4">
        <f>SE(A85="";"";ÍNDICE(Configurações!$B$35:$B$46;MÊS(A85)))</f>
        <v/>
      </c>
      <c r="E85" s="17" t="n"/>
      <c r="F85" s="3" t="n"/>
      <c r="G85" s="3" t="n"/>
      <c r="H85" s="3" t="n"/>
    </row>
    <row r="86">
      <c r="A86" s="15" t="n"/>
      <c r="B86" s="3" t="n"/>
      <c r="C86" s="4">
        <f>SE(B86="";"";SEERRO(PROCV(B86;'Cadastro Dizimistas'!$B$3:$C$502;2;FALSO);""))</f>
        <v/>
      </c>
      <c r="D86" s="4">
        <f>SE(A86="";"";ÍNDICE(Configurações!$B$35:$B$46;MÊS(A86)))</f>
        <v/>
      </c>
      <c r="E86" s="17" t="n"/>
      <c r="F86" s="3" t="n"/>
      <c r="G86" s="3" t="n"/>
      <c r="H86" s="3" t="n"/>
    </row>
    <row r="87">
      <c r="A87" s="15" t="n"/>
      <c r="B87" s="3" t="n"/>
      <c r="C87" s="4">
        <f>SE(B87="";"";SEERRO(PROCV(B87;'Cadastro Dizimistas'!$B$3:$C$502;2;FALSO);""))</f>
        <v/>
      </c>
      <c r="D87" s="4">
        <f>SE(A87="";"";ÍNDICE(Configurações!$B$35:$B$46;MÊS(A87)))</f>
        <v/>
      </c>
      <c r="E87" s="17" t="n"/>
      <c r="F87" s="3" t="n"/>
      <c r="G87" s="3" t="n"/>
      <c r="H87" s="3" t="n"/>
    </row>
    <row r="88">
      <c r="A88" s="15" t="n"/>
      <c r="B88" s="3" t="n"/>
      <c r="C88" s="4">
        <f>SE(B88="";"";SEERRO(PROCV(B88;'Cadastro Dizimistas'!$B$3:$C$502;2;FALSO);""))</f>
        <v/>
      </c>
      <c r="D88" s="4">
        <f>SE(A88="";"";ÍNDICE(Configurações!$B$35:$B$46;MÊS(A88)))</f>
        <v/>
      </c>
      <c r="E88" s="17" t="n"/>
      <c r="F88" s="3" t="n"/>
      <c r="G88" s="3" t="n"/>
      <c r="H88" s="3" t="n"/>
    </row>
    <row r="89">
      <c r="A89" s="15" t="n"/>
      <c r="B89" s="3" t="n"/>
      <c r="C89" s="4">
        <f>SE(B89="";"";SEERRO(PROCV(B89;'Cadastro Dizimistas'!$B$3:$C$502;2;FALSO);""))</f>
        <v/>
      </c>
      <c r="D89" s="4">
        <f>SE(A89="";"";ÍNDICE(Configurações!$B$35:$B$46;MÊS(A89)))</f>
        <v/>
      </c>
      <c r="E89" s="17" t="n"/>
      <c r="F89" s="3" t="n"/>
      <c r="G89" s="3" t="n"/>
      <c r="H89" s="3" t="n"/>
    </row>
    <row r="90">
      <c r="A90" s="15" t="n"/>
      <c r="B90" s="3" t="n"/>
      <c r="C90" s="4">
        <f>SE(B90="";"";SEERRO(PROCV(B90;'Cadastro Dizimistas'!$B$3:$C$502;2;FALSO);""))</f>
        <v/>
      </c>
      <c r="D90" s="4">
        <f>SE(A90="";"";ÍNDICE(Configurações!$B$35:$B$46;MÊS(A90)))</f>
        <v/>
      </c>
      <c r="E90" s="17" t="n"/>
      <c r="F90" s="3" t="n"/>
      <c r="G90" s="3" t="n"/>
      <c r="H90" s="3" t="n"/>
    </row>
    <row r="91">
      <c r="A91" s="15" t="n"/>
      <c r="B91" s="3" t="n"/>
      <c r="C91" s="4">
        <f>SE(B91="";"";SEERRO(PROCV(B91;'Cadastro Dizimistas'!$B$3:$C$502;2;FALSO);""))</f>
        <v/>
      </c>
      <c r="D91" s="4">
        <f>SE(A91="";"";ÍNDICE(Configurações!$B$35:$B$46;MÊS(A91)))</f>
        <v/>
      </c>
      <c r="E91" s="17" t="n"/>
      <c r="F91" s="3" t="n"/>
      <c r="G91" s="3" t="n"/>
      <c r="H91" s="3" t="n"/>
    </row>
    <row r="92">
      <c r="A92" s="15" t="n"/>
      <c r="B92" s="3" t="n"/>
      <c r="C92" s="4">
        <f>SE(B92="";"";SEERRO(PROCV(B92;'Cadastro Dizimistas'!$B$3:$C$502;2;FALSO);""))</f>
        <v/>
      </c>
      <c r="D92" s="4">
        <f>SE(A92="";"";ÍNDICE(Configurações!$B$35:$B$46;MÊS(A92)))</f>
        <v/>
      </c>
      <c r="E92" s="17" t="n"/>
      <c r="F92" s="3" t="n"/>
      <c r="G92" s="3" t="n"/>
      <c r="H92" s="3" t="n"/>
    </row>
    <row r="93">
      <c r="A93" s="15" t="n"/>
      <c r="B93" s="3" t="n"/>
      <c r="C93" s="4">
        <f>SE(B93="";"";SEERRO(PROCV(B93;'Cadastro Dizimistas'!$B$3:$C$502;2;FALSO);""))</f>
        <v/>
      </c>
      <c r="D93" s="4">
        <f>SE(A93="";"";ÍNDICE(Configurações!$B$35:$B$46;MÊS(A93)))</f>
        <v/>
      </c>
      <c r="E93" s="17" t="n"/>
      <c r="F93" s="3" t="n"/>
      <c r="G93" s="3" t="n"/>
      <c r="H93" s="3" t="n"/>
    </row>
    <row r="94">
      <c r="A94" s="15" t="n"/>
      <c r="B94" s="3" t="n"/>
      <c r="C94" s="4">
        <f>SE(B94="";"";SEERRO(PROCV(B94;'Cadastro Dizimistas'!$B$3:$C$502;2;FALSO);""))</f>
        <v/>
      </c>
      <c r="D94" s="4">
        <f>SE(A94="";"";ÍNDICE(Configurações!$B$35:$B$46;MÊS(A94)))</f>
        <v/>
      </c>
      <c r="E94" s="17" t="n"/>
      <c r="F94" s="3" t="n"/>
      <c r="G94" s="3" t="n"/>
      <c r="H94" s="3" t="n"/>
    </row>
    <row r="95">
      <c r="A95" s="15" t="n"/>
      <c r="B95" s="3" t="n"/>
      <c r="C95" s="4">
        <f>SE(B95="";"";SEERRO(PROCV(B95;'Cadastro Dizimistas'!$B$3:$C$502;2;FALSO);""))</f>
        <v/>
      </c>
      <c r="D95" s="4">
        <f>SE(A95="";"";ÍNDICE(Configurações!$B$35:$B$46;MÊS(A95)))</f>
        <v/>
      </c>
      <c r="E95" s="17" t="n"/>
      <c r="F95" s="3" t="n"/>
      <c r="G95" s="3" t="n"/>
      <c r="H95" s="3" t="n"/>
    </row>
    <row r="96">
      <c r="A96" s="15" t="n"/>
      <c r="B96" s="3" t="n"/>
      <c r="C96" s="4">
        <f>SE(B96="";"";SEERRO(PROCV(B96;'Cadastro Dizimistas'!$B$3:$C$502;2;FALSO);""))</f>
        <v/>
      </c>
      <c r="D96" s="4">
        <f>SE(A96="";"";ÍNDICE(Configurações!$B$35:$B$46;MÊS(A96)))</f>
        <v/>
      </c>
      <c r="E96" s="17" t="n"/>
      <c r="F96" s="3" t="n"/>
      <c r="G96" s="3" t="n"/>
      <c r="H96" s="3" t="n"/>
    </row>
    <row r="97">
      <c r="A97" s="15" t="n"/>
      <c r="B97" s="3" t="n"/>
      <c r="C97" s="4">
        <f>SE(B97="";"";SEERRO(PROCV(B97;'Cadastro Dizimistas'!$B$3:$C$502;2;FALSO);""))</f>
        <v/>
      </c>
      <c r="D97" s="4">
        <f>SE(A97="";"";ÍNDICE(Configurações!$B$35:$B$46;MÊS(A97)))</f>
        <v/>
      </c>
      <c r="E97" s="17" t="n"/>
      <c r="F97" s="3" t="n"/>
      <c r="G97" s="3" t="n"/>
      <c r="H97" s="3" t="n"/>
    </row>
    <row r="98">
      <c r="A98" s="15" t="n"/>
      <c r="B98" s="3" t="n"/>
      <c r="C98" s="4">
        <f>SE(B98="";"";SEERRO(PROCV(B98;'Cadastro Dizimistas'!$B$3:$C$502;2;FALSO);""))</f>
        <v/>
      </c>
      <c r="D98" s="4">
        <f>SE(A98="";"";ÍNDICE(Configurações!$B$35:$B$46;MÊS(A98)))</f>
        <v/>
      </c>
      <c r="E98" s="17" t="n"/>
      <c r="F98" s="3" t="n"/>
      <c r="G98" s="3" t="n"/>
      <c r="H98" s="3" t="n"/>
    </row>
    <row r="99">
      <c r="A99" s="15" t="n"/>
      <c r="B99" s="3" t="n"/>
      <c r="C99" s="4">
        <f>SE(B99="";"";SEERRO(PROCV(B99;'Cadastro Dizimistas'!$B$3:$C$502;2;FALSO);""))</f>
        <v/>
      </c>
      <c r="D99" s="4">
        <f>SE(A99="";"";ÍNDICE(Configurações!$B$35:$B$46;MÊS(A99)))</f>
        <v/>
      </c>
      <c r="E99" s="17" t="n"/>
      <c r="F99" s="3" t="n"/>
      <c r="G99" s="3" t="n"/>
      <c r="H99" s="3" t="n"/>
    </row>
    <row r="100">
      <c r="A100" s="15" t="n"/>
      <c r="B100" s="3" t="n"/>
      <c r="C100" s="4">
        <f>SE(B100="";"";SEERRO(PROCV(B100;'Cadastro Dizimistas'!$B$3:$C$502;2;FALSO);""))</f>
        <v/>
      </c>
      <c r="D100" s="4">
        <f>SE(A100="";"";ÍNDICE(Configurações!$B$35:$B$46;MÊS(A100)))</f>
        <v/>
      </c>
      <c r="E100" s="17" t="n"/>
      <c r="F100" s="3" t="n"/>
      <c r="G100" s="3" t="n"/>
      <c r="H100" s="3" t="n"/>
    </row>
    <row r="101">
      <c r="A101" s="15" t="n"/>
      <c r="B101" s="3" t="n"/>
      <c r="C101" s="4">
        <f>SE(B101="";"";SEERRO(PROCV(B101;'Cadastro Dizimistas'!$B$3:$C$502;2;FALSO);""))</f>
        <v/>
      </c>
      <c r="D101" s="4">
        <f>SE(A101="";"";ÍNDICE(Configurações!$B$35:$B$46;MÊS(A101)))</f>
        <v/>
      </c>
      <c r="E101" s="17" t="n"/>
      <c r="F101" s="3" t="n"/>
      <c r="G101" s="3" t="n"/>
      <c r="H101" s="3" t="n"/>
    </row>
    <row r="102">
      <c r="A102" s="15" t="n"/>
      <c r="B102" s="3" t="n"/>
      <c r="C102" s="4">
        <f>SE(B102="";"";SEERRO(PROCV(B102;'Cadastro Dizimistas'!$B$3:$C$502;2;FALSO);""))</f>
        <v/>
      </c>
      <c r="D102" s="4">
        <f>SE(A102="";"";ÍNDICE(Configurações!$B$35:$B$46;MÊS(A102)))</f>
        <v/>
      </c>
      <c r="E102" s="17" t="n"/>
      <c r="F102" s="3" t="n"/>
      <c r="G102" s="3" t="n"/>
      <c r="H102" s="3" t="n"/>
    </row>
    <row r="103">
      <c r="A103" s="15" t="n"/>
      <c r="B103" s="3" t="n"/>
      <c r="C103" s="4">
        <f>SE(B103="";"";SEERRO(PROCV(B103;'Cadastro Dizimistas'!$B$3:$C$502;2;FALSO);""))</f>
        <v/>
      </c>
      <c r="D103" s="4">
        <f>SE(A103="";"";ÍNDICE(Configurações!$B$35:$B$46;MÊS(A103)))</f>
        <v/>
      </c>
      <c r="E103" s="17" t="n"/>
      <c r="F103" s="3" t="n"/>
      <c r="G103" s="3" t="n"/>
      <c r="H103" s="3" t="n"/>
    </row>
    <row r="104">
      <c r="A104" s="15" t="n"/>
      <c r="B104" s="3" t="n"/>
      <c r="C104" s="4">
        <f>SE(B104="";"";SEERRO(PROCV(B104;'Cadastro Dizimistas'!$B$3:$C$502;2;FALSO);""))</f>
        <v/>
      </c>
      <c r="D104" s="4">
        <f>SE(A104="";"";ÍNDICE(Configurações!$B$35:$B$46;MÊS(A104)))</f>
        <v/>
      </c>
      <c r="E104" s="17" t="n"/>
      <c r="F104" s="3" t="n"/>
      <c r="G104" s="3" t="n"/>
      <c r="H104" s="3" t="n"/>
    </row>
    <row r="105">
      <c r="A105" s="15" t="n"/>
      <c r="B105" s="3" t="n"/>
      <c r="C105" s="4">
        <f>SE(B105="";"";SEERRO(PROCV(B105;'Cadastro Dizimistas'!$B$3:$C$502;2;FALSO);""))</f>
        <v/>
      </c>
      <c r="D105" s="4">
        <f>SE(A105="";"";ÍNDICE(Configurações!$B$35:$B$46;MÊS(A105)))</f>
        <v/>
      </c>
      <c r="E105" s="17" t="n"/>
      <c r="F105" s="3" t="n"/>
      <c r="G105" s="3" t="n"/>
      <c r="H105" s="3" t="n"/>
    </row>
    <row r="106">
      <c r="A106" s="15" t="n"/>
      <c r="B106" s="3" t="n"/>
      <c r="C106" s="4">
        <f>SE(B106="";"";SEERRO(PROCV(B106;'Cadastro Dizimistas'!$B$3:$C$502;2;FALSO);""))</f>
        <v/>
      </c>
      <c r="D106" s="4">
        <f>SE(A106="";"";ÍNDICE(Configurações!$B$35:$B$46;MÊS(A106)))</f>
        <v/>
      </c>
      <c r="E106" s="17" t="n"/>
      <c r="F106" s="3" t="n"/>
      <c r="G106" s="3" t="n"/>
      <c r="H106" s="3" t="n"/>
    </row>
    <row r="107">
      <c r="A107" s="15" t="n"/>
      <c r="B107" s="3" t="n"/>
      <c r="C107" s="4">
        <f>SE(B107="";"";SEERRO(PROCV(B107;'Cadastro Dizimistas'!$B$3:$C$502;2;FALSO);""))</f>
        <v/>
      </c>
      <c r="D107" s="4">
        <f>SE(A107="";"";ÍNDICE(Configurações!$B$35:$B$46;MÊS(A107)))</f>
        <v/>
      </c>
      <c r="E107" s="17" t="n"/>
      <c r="F107" s="3" t="n"/>
      <c r="G107" s="3" t="n"/>
      <c r="H107" s="3" t="n"/>
    </row>
    <row r="108">
      <c r="A108" s="15" t="n"/>
      <c r="B108" s="3" t="n"/>
      <c r="C108" s="4">
        <f>SE(B108="";"";SEERRO(PROCV(B108;'Cadastro Dizimistas'!$B$3:$C$502;2;FALSO);""))</f>
        <v/>
      </c>
      <c r="D108" s="4">
        <f>SE(A108="";"";ÍNDICE(Configurações!$B$35:$B$46;MÊS(A108)))</f>
        <v/>
      </c>
      <c r="E108" s="17" t="n"/>
      <c r="F108" s="3" t="n"/>
      <c r="G108" s="3" t="n"/>
      <c r="H108" s="3" t="n"/>
    </row>
    <row r="109">
      <c r="A109" s="15" t="n"/>
      <c r="B109" s="3" t="n"/>
      <c r="C109" s="4">
        <f>SE(B109="";"";SEERRO(PROCV(B109;'Cadastro Dizimistas'!$B$3:$C$502;2;FALSO);""))</f>
        <v/>
      </c>
      <c r="D109" s="4">
        <f>SE(A109="";"";ÍNDICE(Configurações!$B$35:$B$46;MÊS(A109)))</f>
        <v/>
      </c>
      <c r="E109" s="17" t="n"/>
      <c r="F109" s="3" t="n"/>
      <c r="G109" s="3" t="n"/>
      <c r="H109" s="3" t="n"/>
    </row>
    <row r="110">
      <c r="A110" s="15" t="n"/>
      <c r="B110" s="3" t="n"/>
      <c r="C110" s="4">
        <f>SE(B110="";"";SEERRO(PROCV(B110;'Cadastro Dizimistas'!$B$3:$C$502;2;FALSO);""))</f>
        <v/>
      </c>
      <c r="D110" s="4">
        <f>SE(A110="";"";ÍNDICE(Configurações!$B$35:$B$46;MÊS(A110)))</f>
        <v/>
      </c>
      <c r="E110" s="17" t="n"/>
      <c r="F110" s="3" t="n"/>
      <c r="G110" s="3" t="n"/>
      <c r="H110" s="3" t="n"/>
    </row>
    <row r="111">
      <c r="A111" s="15" t="n"/>
      <c r="B111" s="3" t="n"/>
      <c r="C111" s="4">
        <f>SE(B111="";"";SEERRO(PROCV(B111;'Cadastro Dizimistas'!$B$3:$C$502;2;FALSO);""))</f>
        <v/>
      </c>
      <c r="D111" s="4">
        <f>SE(A111="";"";ÍNDICE(Configurações!$B$35:$B$46;MÊS(A111)))</f>
        <v/>
      </c>
      <c r="E111" s="17" t="n"/>
      <c r="F111" s="3" t="n"/>
      <c r="G111" s="3" t="n"/>
      <c r="H111" s="3" t="n"/>
    </row>
    <row r="112">
      <c r="A112" s="15" t="n"/>
      <c r="B112" s="3" t="n"/>
      <c r="C112" s="4">
        <f>SE(B112="";"";SEERRO(PROCV(B112;'Cadastro Dizimistas'!$B$3:$C$502;2;FALSO);""))</f>
        <v/>
      </c>
      <c r="D112" s="4">
        <f>SE(A112="";"";ÍNDICE(Configurações!$B$35:$B$46;MÊS(A112)))</f>
        <v/>
      </c>
      <c r="E112" s="17" t="n"/>
      <c r="F112" s="3" t="n"/>
      <c r="G112" s="3" t="n"/>
      <c r="H112" s="3" t="n"/>
    </row>
    <row r="113">
      <c r="A113" s="15" t="n"/>
      <c r="B113" s="3" t="n"/>
      <c r="C113" s="4">
        <f>SE(B113="";"";SEERRO(PROCV(B113;'Cadastro Dizimistas'!$B$3:$C$502;2;FALSO);""))</f>
        <v/>
      </c>
      <c r="D113" s="4">
        <f>SE(A113="";"";ÍNDICE(Configurações!$B$35:$B$46;MÊS(A113)))</f>
        <v/>
      </c>
      <c r="E113" s="17" t="n"/>
      <c r="F113" s="3" t="n"/>
      <c r="G113" s="3" t="n"/>
      <c r="H113" s="3" t="n"/>
    </row>
    <row r="114">
      <c r="A114" s="15" t="n"/>
      <c r="B114" s="3" t="n"/>
      <c r="C114" s="4">
        <f>SE(B114="";"";SEERRO(PROCV(B114;'Cadastro Dizimistas'!$B$3:$C$502;2;FALSO);""))</f>
        <v/>
      </c>
      <c r="D114" s="4">
        <f>SE(A114="";"";ÍNDICE(Configurações!$B$35:$B$46;MÊS(A114)))</f>
        <v/>
      </c>
      <c r="E114" s="17" t="n"/>
      <c r="F114" s="3" t="n"/>
      <c r="G114" s="3" t="n"/>
      <c r="H114" s="3" t="n"/>
    </row>
    <row r="115">
      <c r="A115" s="15" t="n"/>
      <c r="B115" s="3" t="n"/>
      <c r="C115" s="4">
        <f>SE(B115="";"";SEERRO(PROCV(B115;'Cadastro Dizimistas'!$B$3:$C$502;2;FALSO);""))</f>
        <v/>
      </c>
      <c r="D115" s="4">
        <f>SE(A115="";"";ÍNDICE(Configurações!$B$35:$B$46;MÊS(A115)))</f>
        <v/>
      </c>
      <c r="E115" s="17" t="n"/>
      <c r="F115" s="3" t="n"/>
      <c r="G115" s="3" t="n"/>
      <c r="H115" s="3" t="n"/>
    </row>
    <row r="116">
      <c r="A116" s="15" t="n"/>
      <c r="B116" s="3" t="n"/>
      <c r="C116" s="4">
        <f>SE(B116="";"";SEERRO(PROCV(B116;'Cadastro Dizimistas'!$B$3:$C$502;2;FALSO);""))</f>
        <v/>
      </c>
      <c r="D116" s="4">
        <f>SE(A116="";"";ÍNDICE(Configurações!$B$35:$B$46;MÊS(A116)))</f>
        <v/>
      </c>
      <c r="E116" s="17" t="n"/>
      <c r="F116" s="3" t="n"/>
      <c r="G116" s="3" t="n"/>
      <c r="H116" s="3" t="n"/>
    </row>
    <row r="117">
      <c r="A117" s="15" t="n"/>
      <c r="B117" s="3" t="n"/>
      <c r="C117" s="4">
        <f>SE(B117="";"";SEERRO(PROCV(B117;'Cadastro Dizimistas'!$B$3:$C$502;2;FALSO);""))</f>
        <v/>
      </c>
      <c r="D117" s="4">
        <f>SE(A117="";"";ÍNDICE(Configurações!$B$35:$B$46;MÊS(A117)))</f>
        <v/>
      </c>
      <c r="E117" s="17" t="n"/>
      <c r="F117" s="3" t="n"/>
      <c r="G117" s="3" t="n"/>
      <c r="H117" s="3" t="n"/>
    </row>
    <row r="118">
      <c r="A118" s="15" t="n"/>
      <c r="B118" s="3" t="n"/>
      <c r="C118" s="4">
        <f>SE(B118="";"";SEERRO(PROCV(B118;'Cadastro Dizimistas'!$B$3:$C$502;2;FALSO);""))</f>
        <v/>
      </c>
      <c r="D118" s="4">
        <f>SE(A118="";"";ÍNDICE(Configurações!$B$35:$B$46;MÊS(A118)))</f>
        <v/>
      </c>
      <c r="E118" s="17" t="n"/>
      <c r="F118" s="3" t="n"/>
      <c r="G118" s="3" t="n"/>
      <c r="H118" s="3" t="n"/>
    </row>
    <row r="119">
      <c r="A119" s="15" t="n"/>
      <c r="B119" s="3" t="n"/>
      <c r="C119" s="4">
        <f>SE(B119="";"";SEERRO(PROCV(B119;'Cadastro Dizimistas'!$B$3:$C$502;2;FALSO);""))</f>
        <v/>
      </c>
      <c r="D119" s="4">
        <f>SE(A119="";"";ÍNDICE(Configurações!$B$35:$B$46;MÊS(A119)))</f>
        <v/>
      </c>
      <c r="E119" s="17" t="n"/>
      <c r="F119" s="3" t="n"/>
      <c r="G119" s="3" t="n"/>
      <c r="H119" s="3" t="n"/>
    </row>
    <row r="120">
      <c r="A120" s="15" t="n"/>
      <c r="B120" s="3" t="n"/>
      <c r="C120" s="4">
        <f>SE(B120="";"";SEERRO(PROCV(B120;'Cadastro Dizimistas'!$B$3:$C$502;2;FALSO);""))</f>
        <v/>
      </c>
      <c r="D120" s="4">
        <f>SE(A120="";"";ÍNDICE(Configurações!$B$35:$B$46;MÊS(A120)))</f>
        <v/>
      </c>
      <c r="E120" s="17" t="n"/>
      <c r="F120" s="3" t="n"/>
      <c r="G120" s="3" t="n"/>
      <c r="H120" s="3" t="n"/>
    </row>
    <row r="121">
      <c r="A121" s="15" t="n"/>
      <c r="B121" s="3" t="n"/>
      <c r="C121" s="4">
        <f>SE(B121="";"";SEERRO(PROCV(B121;'Cadastro Dizimistas'!$B$3:$C$502;2;FALSO);""))</f>
        <v/>
      </c>
      <c r="D121" s="4">
        <f>SE(A121="";"";ÍNDICE(Configurações!$B$35:$B$46;MÊS(A121)))</f>
        <v/>
      </c>
      <c r="E121" s="17" t="n"/>
      <c r="F121" s="3" t="n"/>
      <c r="G121" s="3" t="n"/>
      <c r="H121" s="3" t="n"/>
    </row>
    <row r="122">
      <c r="A122" s="15" t="n"/>
      <c r="B122" s="3" t="n"/>
      <c r="C122" s="4">
        <f>SE(B122="";"";SEERRO(PROCV(B122;'Cadastro Dizimistas'!$B$3:$C$502;2;FALSO);""))</f>
        <v/>
      </c>
      <c r="D122" s="4">
        <f>SE(A122="";"";ÍNDICE(Configurações!$B$35:$B$46;MÊS(A122)))</f>
        <v/>
      </c>
      <c r="E122" s="17" t="n"/>
      <c r="F122" s="3" t="n"/>
      <c r="G122" s="3" t="n"/>
      <c r="H122" s="3" t="n"/>
    </row>
    <row r="123">
      <c r="A123" s="15" t="n"/>
      <c r="B123" s="3" t="n"/>
      <c r="C123" s="4">
        <f>SE(B123="";"";SEERRO(PROCV(B123;'Cadastro Dizimistas'!$B$3:$C$502;2;FALSO);""))</f>
        <v/>
      </c>
      <c r="D123" s="4">
        <f>SE(A123="";"";ÍNDICE(Configurações!$B$35:$B$46;MÊS(A123)))</f>
        <v/>
      </c>
      <c r="E123" s="17" t="n"/>
      <c r="F123" s="3" t="n"/>
      <c r="G123" s="3" t="n"/>
      <c r="H123" s="3" t="n"/>
    </row>
    <row r="124">
      <c r="A124" s="15" t="n"/>
      <c r="B124" s="3" t="n"/>
      <c r="C124" s="4">
        <f>SE(B124="";"";SEERRO(PROCV(B124;'Cadastro Dizimistas'!$B$3:$C$502;2;FALSO);""))</f>
        <v/>
      </c>
      <c r="D124" s="4">
        <f>SE(A124="";"";ÍNDICE(Configurações!$B$35:$B$46;MÊS(A124)))</f>
        <v/>
      </c>
      <c r="E124" s="17" t="n"/>
      <c r="F124" s="3" t="n"/>
      <c r="G124" s="3" t="n"/>
      <c r="H124" s="3" t="n"/>
    </row>
    <row r="125">
      <c r="A125" s="15" t="n"/>
      <c r="B125" s="3" t="n"/>
      <c r="C125" s="4">
        <f>SE(B125="";"";SEERRO(PROCV(B125;'Cadastro Dizimistas'!$B$3:$C$502;2;FALSO);""))</f>
        <v/>
      </c>
      <c r="D125" s="4">
        <f>SE(A125="";"";ÍNDICE(Configurações!$B$35:$B$46;MÊS(A125)))</f>
        <v/>
      </c>
      <c r="E125" s="17" t="n"/>
      <c r="F125" s="3" t="n"/>
      <c r="G125" s="3" t="n"/>
      <c r="H125" s="3" t="n"/>
    </row>
    <row r="126">
      <c r="A126" s="15" t="n"/>
      <c r="B126" s="3" t="n"/>
      <c r="C126" s="4">
        <f>SE(B126="";"";SEERRO(PROCV(B126;'Cadastro Dizimistas'!$B$3:$C$502;2;FALSO);""))</f>
        <v/>
      </c>
      <c r="D126" s="4">
        <f>SE(A126="";"";ÍNDICE(Configurações!$B$35:$B$46;MÊS(A126)))</f>
        <v/>
      </c>
      <c r="E126" s="17" t="n"/>
      <c r="F126" s="3" t="n"/>
      <c r="G126" s="3" t="n"/>
      <c r="H126" s="3" t="n"/>
    </row>
    <row r="127">
      <c r="A127" s="15" t="n"/>
      <c r="B127" s="3" t="n"/>
      <c r="C127" s="4">
        <f>SE(B127="";"";SEERRO(PROCV(B127;'Cadastro Dizimistas'!$B$3:$C$502;2;FALSO);""))</f>
        <v/>
      </c>
      <c r="D127" s="4">
        <f>SE(A127="";"";ÍNDICE(Configurações!$B$35:$B$46;MÊS(A127)))</f>
        <v/>
      </c>
      <c r="E127" s="17" t="n"/>
      <c r="F127" s="3" t="n"/>
      <c r="G127" s="3" t="n"/>
      <c r="H127" s="3" t="n"/>
    </row>
    <row r="128">
      <c r="A128" s="15" t="n"/>
      <c r="B128" s="3" t="n"/>
      <c r="C128" s="4">
        <f>SE(B128="";"";SEERRO(PROCV(B128;'Cadastro Dizimistas'!$B$3:$C$502;2;FALSO);""))</f>
        <v/>
      </c>
      <c r="D128" s="4">
        <f>SE(A128="";"";ÍNDICE(Configurações!$B$35:$B$46;MÊS(A128)))</f>
        <v/>
      </c>
      <c r="E128" s="17" t="n"/>
      <c r="F128" s="3" t="n"/>
      <c r="G128" s="3" t="n"/>
      <c r="H128" s="3" t="n"/>
    </row>
    <row r="129">
      <c r="A129" s="15" t="n"/>
      <c r="B129" s="3" t="n"/>
      <c r="C129" s="4">
        <f>SE(B129="";"";SEERRO(PROCV(B129;'Cadastro Dizimistas'!$B$3:$C$502;2;FALSO);""))</f>
        <v/>
      </c>
      <c r="D129" s="4">
        <f>SE(A129="";"";ÍNDICE(Configurações!$B$35:$B$46;MÊS(A129)))</f>
        <v/>
      </c>
      <c r="E129" s="17" t="n"/>
      <c r="F129" s="3" t="n"/>
      <c r="G129" s="3" t="n"/>
      <c r="H129" s="3" t="n"/>
    </row>
    <row r="130">
      <c r="A130" s="15" t="n"/>
      <c r="B130" s="3" t="n"/>
      <c r="C130" s="4">
        <f>SE(B130="";"";SEERRO(PROCV(B130;'Cadastro Dizimistas'!$B$3:$C$502;2;FALSO);""))</f>
        <v/>
      </c>
      <c r="D130" s="4">
        <f>SE(A130="";"";ÍNDICE(Configurações!$B$35:$B$46;MÊS(A130)))</f>
        <v/>
      </c>
      <c r="E130" s="17" t="n"/>
      <c r="F130" s="3" t="n"/>
      <c r="G130" s="3" t="n"/>
      <c r="H130" s="3" t="n"/>
    </row>
    <row r="131">
      <c r="A131" s="15" t="n"/>
      <c r="B131" s="3" t="n"/>
      <c r="C131" s="4">
        <f>SE(B131="";"";SEERRO(PROCV(B131;'Cadastro Dizimistas'!$B$3:$C$502;2;FALSO);""))</f>
        <v/>
      </c>
      <c r="D131" s="4">
        <f>SE(A131="";"";ÍNDICE(Configurações!$B$35:$B$46;MÊS(A131)))</f>
        <v/>
      </c>
      <c r="E131" s="17" t="n"/>
      <c r="F131" s="3" t="n"/>
      <c r="G131" s="3" t="n"/>
      <c r="H131" s="3" t="n"/>
    </row>
    <row r="132">
      <c r="A132" s="15" t="n"/>
      <c r="B132" s="3" t="n"/>
      <c r="C132" s="4">
        <f>SE(B132="";"";SEERRO(PROCV(B132;'Cadastro Dizimistas'!$B$3:$C$502;2;FALSO);""))</f>
        <v/>
      </c>
      <c r="D132" s="4">
        <f>SE(A132="";"";ÍNDICE(Configurações!$B$35:$B$46;MÊS(A132)))</f>
        <v/>
      </c>
      <c r="E132" s="17" t="n"/>
      <c r="F132" s="3" t="n"/>
      <c r="G132" s="3" t="n"/>
      <c r="H132" s="3" t="n"/>
    </row>
    <row r="133">
      <c r="A133" s="15" t="n"/>
      <c r="B133" s="3" t="n"/>
      <c r="C133" s="4">
        <f>SE(B133="";"";SEERRO(PROCV(B133;'Cadastro Dizimistas'!$B$3:$C$502;2;FALSO);""))</f>
        <v/>
      </c>
      <c r="D133" s="4">
        <f>SE(A133="";"";ÍNDICE(Configurações!$B$35:$B$46;MÊS(A133)))</f>
        <v/>
      </c>
      <c r="E133" s="17" t="n"/>
      <c r="F133" s="3" t="n"/>
      <c r="G133" s="3" t="n"/>
      <c r="H133" s="3" t="n"/>
    </row>
    <row r="134">
      <c r="A134" s="15" t="n"/>
      <c r="B134" s="3" t="n"/>
      <c r="C134" s="4">
        <f>SE(B134="";"";SEERRO(PROCV(B134;'Cadastro Dizimistas'!$B$3:$C$502;2;FALSO);""))</f>
        <v/>
      </c>
      <c r="D134" s="4">
        <f>SE(A134="";"";ÍNDICE(Configurações!$B$35:$B$46;MÊS(A134)))</f>
        <v/>
      </c>
      <c r="E134" s="17" t="n"/>
      <c r="F134" s="3" t="n"/>
      <c r="G134" s="3" t="n"/>
      <c r="H134" s="3" t="n"/>
    </row>
    <row r="135">
      <c r="A135" s="15" t="n"/>
      <c r="B135" s="3" t="n"/>
      <c r="C135" s="4">
        <f>SE(B135="";"";SEERRO(PROCV(B135;'Cadastro Dizimistas'!$B$3:$C$502;2;FALSO);""))</f>
        <v/>
      </c>
      <c r="D135" s="4">
        <f>SE(A135="";"";ÍNDICE(Configurações!$B$35:$B$46;MÊS(A135)))</f>
        <v/>
      </c>
      <c r="E135" s="17" t="n"/>
      <c r="F135" s="3" t="n"/>
      <c r="G135" s="3" t="n"/>
      <c r="H135" s="3" t="n"/>
    </row>
    <row r="136">
      <c r="A136" s="15" t="n"/>
      <c r="B136" s="3" t="n"/>
      <c r="C136" s="4">
        <f>SE(B136="";"";SEERRO(PROCV(B136;'Cadastro Dizimistas'!$B$3:$C$502;2;FALSO);""))</f>
        <v/>
      </c>
      <c r="D136" s="4">
        <f>SE(A136="";"";ÍNDICE(Configurações!$B$35:$B$46;MÊS(A136)))</f>
        <v/>
      </c>
      <c r="E136" s="17" t="n"/>
      <c r="F136" s="3" t="n"/>
      <c r="G136" s="3" t="n"/>
      <c r="H136" s="3" t="n"/>
    </row>
    <row r="137">
      <c r="A137" s="15" t="n"/>
      <c r="B137" s="3" t="n"/>
      <c r="C137" s="4">
        <f>SE(B137="";"";SEERRO(PROCV(B137;'Cadastro Dizimistas'!$B$3:$C$502;2;FALSO);""))</f>
        <v/>
      </c>
      <c r="D137" s="4">
        <f>SE(A137="";"";ÍNDICE(Configurações!$B$35:$B$46;MÊS(A137)))</f>
        <v/>
      </c>
      <c r="E137" s="17" t="n"/>
      <c r="F137" s="3" t="n"/>
      <c r="G137" s="3" t="n"/>
      <c r="H137" s="3" t="n"/>
    </row>
    <row r="138">
      <c r="A138" s="15" t="n"/>
      <c r="B138" s="3" t="n"/>
      <c r="C138" s="4">
        <f>SE(B138="";"";SEERRO(PROCV(B138;'Cadastro Dizimistas'!$B$3:$C$502;2;FALSO);""))</f>
        <v/>
      </c>
      <c r="D138" s="4">
        <f>SE(A138="";"";ÍNDICE(Configurações!$B$35:$B$46;MÊS(A138)))</f>
        <v/>
      </c>
      <c r="E138" s="17" t="n"/>
      <c r="F138" s="3" t="n"/>
      <c r="G138" s="3" t="n"/>
      <c r="H138" s="3" t="n"/>
    </row>
    <row r="139">
      <c r="A139" s="15" t="n"/>
      <c r="B139" s="3" t="n"/>
      <c r="C139" s="4">
        <f>SE(B139="";"";SEERRO(PROCV(B139;'Cadastro Dizimistas'!$B$3:$C$502;2;FALSO);""))</f>
        <v/>
      </c>
      <c r="D139" s="4">
        <f>SE(A139="";"";ÍNDICE(Configurações!$B$35:$B$46;MÊS(A139)))</f>
        <v/>
      </c>
      <c r="E139" s="17" t="n"/>
      <c r="F139" s="3" t="n"/>
      <c r="G139" s="3" t="n"/>
      <c r="H139" s="3" t="n"/>
    </row>
    <row r="140">
      <c r="A140" s="15" t="n"/>
      <c r="B140" s="3" t="n"/>
      <c r="C140" s="4">
        <f>SE(B140="";"";SEERRO(PROCV(B140;'Cadastro Dizimistas'!$B$3:$C$502;2;FALSO);""))</f>
        <v/>
      </c>
      <c r="D140" s="4">
        <f>SE(A140="";"";ÍNDICE(Configurações!$B$35:$B$46;MÊS(A140)))</f>
        <v/>
      </c>
      <c r="E140" s="17" t="n"/>
      <c r="F140" s="3" t="n"/>
      <c r="G140" s="3" t="n"/>
      <c r="H140" s="3" t="n"/>
    </row>
    <row r="141">
      <c r="A141" s="15" t="n"/>
      <c r="B141" s="3" t="n"/>
      <c r="C141" s="4">
        <f>SE(B141="";"";SEERRO(PROCV(B141;'Cadastro Dizimistas'!$B$3:$C$502;2;FALSO);""))</f>
        <v/>
      </c>
      <c r="D141" s="4">
        <f>SE(A141="";"";ÍNDICE(Configurações!$B$35:$B$46;MÊS(A141)))</f>
        <v/>
      </c>
      <c r="E141" s="17" t="n"/>
      <c r="F141" s="3" t="n"/>
      <c r="G141" s="3" t="n"/>
      <c r="H141" s="3" t="n"/>
    </row>
    <row r="142">
      <c r="A142" s="15" t="n"/>
      <c r="B142" s="3" t="n"/>
      <c r="C142" s="4">
        <f>SE(B142="";"";SEERRO(PROCV(B142;'Cadastro Dizimistas'!$B$3:$C$502;2;FALSO);""))</f>
        <v/>
      </c>
      <c r="D142" s="4">
        <f>SE(A142="";"";ÍNDICE(Configurações!$B$35:$B$46;MÊS(A142)))</f>
        <v/>
      </c>
      <c r="E142" s="17" t="n"/>
      <c r="F142" s="3" t="n"/>
      <c r="G142" s="3" t="n"/>
      <c r="H142" s="3" t="n"/>
    </row>
    <row r="143">
      <c r="A143" s="15" t="n"/>
      <c r="B143" s="3" t="n"/>
      <c r="C143" s="4">
        <f>SE(B143="";"";SEERRO(PROCV(B143;'Cadastro Dizimistas'!$B$3:$C$502;2;FALSO);""))</f>
        <v/>
      </c>
      <c r="D143" s="4">
        <f>SE(A143="";"";ÍNDICE(Configurações!$B$35:$B$46;MÊS(A143)))</f>
        <v/>
      </c>
      <c r="E143" s="17" t="n"/>
      <c r="F143" s="3" t="n"/>
      <c r="G143" s="3" t="n"/>
      <c r="H143" s="3" t="n"/>
    </row>
    <row r="144">
      <c r="A144" s="15" t="n"/>
      <c r="B144" s="3" t="n"/>
      <c r="C144" s="4">
        <f>SE(B144="";"";SEERRO(PROCV(B144;'Cadastro Dizimistas'!$B$3:$C$502;2;FALSO);""))</f>
        <v/>
      </c>
      <c r="D144" s="4">
        <f>SE(A144="";"";ÍNDICE(Configurações!$B$35:$B$46;MÊS(A144)))</f>
        <v/>
      </c>
      <c r="E144" s="17" t="n"/>
      <c r="F144" s="3" t="n"/>
      <c r="G144" s="3" t="n"/>
      <c r="H144" s="3" t="n"/>
    </row>
    <row r="145">
      <c r="A145" s="15" t="n"/>
      <c r="B145" s="3" t="n"/>
      <c r="C145" s="4">
        <f>SE(B145="";"";SEERRO(PROCV(B145;'Cadastro Dizimistas'!$B$3:$C$502;2;FALSO);""))</f>
        <v/>
      </c>
      <c r="D145" s="4">
        <f>SE(A145="";"";ÍNDICE(Configurações!$B$35:$B$46;MÊS(A145)))</f>
        <v/>
      </c>
      <c r="E145" s="17" t="n"/>
      <c r="F145" s="3" t="n"/>
      <c r="G145" s="3" t="n"/>
      <c r="H145" s="3" t="n"/>
    </row>
    <row r="146">
      <c r="A146" s="15" t="n"/>
      <c r="B146" s="3" t="n"/>
      <c r="C146" s="4">
        <f>SE(B146="";"";SEERRO(PROCV(B146;'Cadastro Dizimistas'!$B$3:$C$502;2;FALSO);""))</f>
        <v/>
      </c>
      <c r="D146" s="4">
        <f>SE(A146="";"";ÍNDICE(Configurações!$B$35:$B$46;MÊS(A146)))</f>
        <v/>
      </c>
      <c r="E146" s="17" t="n"/>
      <c r="F146" s="3" t="n"/>
      <c r="G146" s="3" t="n"/>
      <c r="H146" s="3" t="n"/>
    </row>
    <row r="147">
      <c r="A147" s="15" t="n"/>
      <c r="B147" s="3" t="n"/>
      <c r="C147" s="4">
        <f>SE(B147="";"";SEERRO(PROCV(B147;'Cadastro Dizimistas'!$B$3:$C$502;2;FALSO);""))</f>
        <v/>
      </c>
      <c r="D147" s="4">
        <f>SE(A147="";"";ÍNDICE(Configurações!$B$35:$B$46;MÊS(A147)))</f>
        <v/>
      </c>
      <c r="E147" s="17" t="n"/>
      <c r="F147" s="3" t="n"/>
      <c r="G147" s="3" t="n"/>
      <c r="H147" s="3" t="n"/>
    </row>
    <row r="148">
      <c r="A148" s="15" t="n"/>
      <c r="B148" s="3" t="n"/>
      <c r="C148" s="4">
        <f>SE(B148="";"";SEERRO(PROCV(B148;'Cadastro Dizimistas'!$B$3:$C$502;2;FALSO);""))</f>
        <v/>
      </c>
      <c r="D148" s="4">
        <f>SE(A148="";"";ÍNDICE(Configurações!$B$35:$B$46;MÊS(A148)))</f>
        <v/>
      </c>
      <c r="E148" s="17" t="n"/>
      <c r="F148" s="3" t="n"/>
      <c r="G148" s="3" t="n"/>
      <c r="H148" s="3" t="n"/>
    </row>
    <row r="149">
      <c r="A149" s="15" t="n"/>
      <c r="B149" s="3" t="n"/>
      <c r="C149" s="4">
        <f>SE(B149="";"";SEERRO(PROCV(B149;'Cadastro Dizimistas'!$B$3:$C$502;2;FALSO);""))</f>
        <v/>
      </c>
      <c r="D149" s="4">
        <f>SE(A149="";"";ÍNDICE(Configurações!$B$35:$B$46;MÊS(A149)))</f>
        <v/>
      </c>
      <c r="E149" s="17" t="n"/>
      <c r="F149" s="3" t="n"/>
      <c r="G149" s="3" t="n"/>
      <c r="H149" s="3" t="n"/>
    </row>
    <row r="150">
      <c r="A150" s="15" t="n"/>
      <c r="B150" s="3" t="n"/>
      <c r="C150" s="4">
        <f>SE(B150="";"";SEERRO(PROCV(B150;'Cadastro Dizimistas'!$B$3:$C$502;2;FALSO);""))</f>
        <v/>
      </c>
      <c r="D150" s="4">
        <f>SE(A150="";"";ÍNDICE(Configurações!$B$35:$B$46;MÊS(A150)))</f>
        <v/>
      </c>
      <c r="E150" s="17" t="n"/>
      <c r="F150" s="3" t="n"/>
      <c r="G150" s="3" t="n"/>
      <c r="H150" s="3" t="n"/>
    </row>
    <row r="151">
      <c r="A151" s="15" t="n"/>
      <c r="B151" s="3" t="n"/>
      <c r="C151" s="4">
        <f>SE(B151="";"";SEERRO(PROCV(B151;'Cadastro Dizimistas'!$B$3:$C$502;2;FALSO);""))</f>
        <v/>
      </c>
      <c r="D151" s="4">
        <f>SE(A151="";"";ÍNDICE(Configurações!$B$35:$B$46;MÊS(A151)))</f>
        <v/>
      </c>
      <c r="E151" s="17" t="n"/>
      <c r="F151" s="3" t="n"/>
      <c r="G151" s="3" t="n"/>
      <c r="H151" s="3" t="n"/>
    </row>
    <row r="152">
      <c r="A152" s="15" t="n"/>
      <c r="B152" s="3" t="n"/>
      <c r="C152" s="4">
        <f>SE(B152="";"";SEERRO(PROCV(B152;'Cadastro Dizimistas'!$B$3:$C$502;2;FALSO);""))</f>
        <v/>
      </c>
      <c r="D152" s="4">
        <f>SE(A152="";"";ÍNDICE(Configurações!$B$35:$B$46;MÊS(A152)))</f>
        <v/>
      </c>
      <c r="E152" s="17" t="n"/>
      <c r="F152" s="3" t="n"/>
      <c r="G152" s="3" t="n"/>
      <c r="H152" s="3" t="n"/>
    </row>
    <row r="153">
      <c r="A153" s="15" t="n"/>
      <c r="B153" s="3" t="n"/>
      <c r="C153" s="4">
        <f>SE(B153="";"";SEERRO(PROCV(B153;'Cadastro Dizimistas'!$B$3:$C$502;2;FALSO);""))</f>
        <v/>
      </c>
      <c r="D153" s="4">
        <f>SE(A153="";"";ÍNDICE(Configurações!$B$35:$B$46;MÊS(A153)))</f>
        <v/>
      </c>
      <c r="E153" s="17" t="n"/>
      <c r="F153" s="3" t="n"/>
      <c r="G153" s="3" t="n"/>
      <c r="H153" s="3" t="n"/>
    </row>
    <row r="154">
      <c r="A154" s="15" t="n"/>
      <c r="B154" s="3" t="n"/>
      <c r="C154" s="4">
        <f>SE(B154="";"";SEERRO(PROCV(B154;'Cadastro Dizimistas'!$B$3:$C$502;2;FALSO);""))</f>
        <v/>
      </c>
      <c r="D154" s="4">
        <f>SE(A154="";"";ÍNDICE(Configurações!$B$35:$B$46;MÊS(A154)))</f>
        <v/>
      </c>
      <c r="E154" s="17" t="n"/>
      <c r="F154" s="3" t="n"/>
      <c r="G154" s="3" t="n"/>
      <c r="H154" s="3" t="n"/>
    </row>
    <row r="155">
      <c r="A155" s="15" t="n"/>
      <c r="B155" s="3" t="n"/>
      <c r="C155" s="4">
        <f>SE(B155="";"";SEERRO(PROCV(B155;'Cadastro Dizimistas'!$B$3:$C$502;2;FALSO);""))</f>
        <v/>
      </c>
      <c r="D155" s="4">
        <f>SE(A155="";"";ÍNDICE(Configurações!$B$35:$B$46;MÊS(A155)))</f>
        <v/>
      </c>
      <c r="E155" s="17" t="n"/>
      <c r="F155" s="3" t="n"/>
      <c r="G155" s="3" t="n"/>
      <c r="H155" s="3" t="n"/>
    </row>
    <row r="156">
      <c r="A156" s="15" t="n"/>
      <c r="B156" s="3" t="n"/>
      <c r="C156" s="4">
        <f>SE(B156="";"";SEERRO(PROCV(B156;'Cadastro Dizimistas'!$B$3:$C$502;2;FALSO);""))</f>
        <v/>
      </c>
      <c r="D156" s="4">
        <f>SE(A156="";"";ÍNDICE(Configurações!$B$35:$B$46;MÊS(A156)))</f>
        <v/>
      </c>
      <c r="E156" s="17" t="n"/>
      <c r="F156" s="3" t="n"/>
      <c r="G156" s="3" t="n"/>
      <c r="H156" s="3" t="n"/>
    </row>
    <row r="157">
      <c r="A157" s="15" t="n"/>
      <c r="B157" s="3" t="n"/>
      <c r="C157" s="4">
        <f>SE(B157="";"";SEERRO(PROCV(B157;'Cadastro Dizimistas'!$B$3:$C$502;2;FALSO);""))</f>
        <v/>
      </c>
      <c r="D157" s="4">
        <f>SE(A157="";"";ÍNDICE(Configurações!$B$35:$B$46;MÊS(A157)))</f>
        <v/>
      </c>
      <c r="E157" s="17" t="n"/>
      <c r="F157" s="3" t="n"/>
      <c r="G157" s="3" t="n"/>
      <c r="H157" s="3" t="n"/>
    </row>
    <row r="158">
      <c r="A158" s="15" t="n"/>
      <c r="B158" s="3" t="n"/>
      <c r="C158" s="4">
        <f>SE(B158="";"";SEERRO(PROCV(B158;'Cadastro Dizimistas'!$B$3:$C$502;2;FALSO);""))</f>
        <v/>
      </c>
      <c r="D158" s="4">
        <f>SE(A158="";"";ÍNDICE(Configurações!$B$35:$B$46;MÊS(A158)))</f>
        <v/>
      </c>
      <c r="E158" s="17" t="n"/>
      <c r="F158" s="3" t="n"/>
      <c r="G158" s="3" t="n"/>
      <c r="H158" s="3" t="n"/>
    </row>
    <row r="159">
      <c r="A159" s="15" t="n"/>
      <c r="B159" s="3" t="n"/>
      <c r="C159" s="4">
        <f>SE(B159="";"";SEERRO(PROCV(B159;'Cadastro Dizimistas'!$B$3:$C$502;2;FALSO);""))</f>
        <v/>
      </c>
      <c r="D159" s="4">
        <f>SE(A159="";"";ÍNDICE(Configurações!$B$35:$B$46;MÊS(A159)))</f>
        <v/>
      </c>
      <c r="E159" s="17" t="n"/>
      <c r="F159" s="3" t="n"/>
      <c r="G159" s="3" t="n"/>
      <c r="H159" s="3" t="n"/>
    </row>
    <row r="160">
      <c r="A160" s="15" t="n"/>
      <c r="B160" s="3" t="n"/>
      <c r="C160" s="4">
        <f>SE(B160="";"";SEERRO(PROCV(B160;'Cadastro Dizimistas'!$B$3:$C$502;2;FALSO);""))</f>
        <v/>
      </c>
      <c r="D160" s="4">
        <f>SE(A160="";"";ÍNDICE(Configurações!$B$35:$B$46;MÊS(A160)))</f>
        <v/>
      </c>
      <c r="E160" s="17" t="n"/>
      <c r="F160" s="3" t="n"/>
      <c r="G160" s="3" t="n"/>
      <c r="H160" s="3" t="n"/>
    </row>
    <row r="161">
      <c r="A161" s="15" t="n"/>
      <c r="B161" s="3" t="n"/>
      <c r="C161" s="4">
        <f>SE(B161="";"";SEERRO(PROCV(B161;'Cadastro Dizimistas'!$B$3:$C$502;2;FALSO);""))</f>
        <v/>
      </c>
      <c r="D161" s="4">
        <f>SE(A161="";"";ÍNDICE(Configurações!$B$35:$B$46;MÊS(A161)))</f>
        <v/>
      </c>
      <c r="E161" s="17" t="n"/>
      <c r="F161" s="3" t="n"/>
      <c r="G161" s="3" t="n"/>
      <c r="H161" s="3" t="n"/>
    </row>
    <row r="162">
      <c r="A162" s="15" t="n"/>
      <c r="B162" s="3" t="n"/>
      <c r="C162" s="4">
        <f>SE(B162="";"";SEERRO(PROCV(B162;'Cadastro Dizimistas'!$B$3:$C$502;2;FALSO);""))</f>
        <v/>
      </c>
      <c r="D162" s="4">
        <f>SE(A162="";"";ÍNDICE(Configurações!$B$35:$B$46;MÊS(A162)))</f>
        <v/>
      </c>
      <c r="E162" s="17" t="n"/>
      <c r="F162" s="3" t="n"/>
      <c r="G162" s="3" t="n"/>
      <c r="H162" s="3" t="n"/>
    </row>
    <row r="163">
      <c r="A163" s="15" t="n"/>
      <c r="B163" s="3" t="n"/>
      <c r="C163" s="4">
        <f>SE(B163="";"";SEERRO(PROCV(B163;'Cadastro Dizimistas'!$B$3:$C$502;2;FALSO);""))</f>
        <v/>
      </c>
      <c r="D163" s="4">
        <f>SE(A163="";"";ÍNDICE(Configurações!$B$35:$B$46;MÊS(A163)))</f>
        <v/>
      </c>
      <c r="E163" s="17" t="n"/>
      <c r="F163" s="3" t="n"/>
      <c r="G163" s="3" t="n"/>
      <c r="H163" s="3" t="n"/>
    </row>
    <row r="164">
      <c r="A164" s="15" t="n"/>
      <c r="B164" s="3" t="n"/>
      <c r="C164" s="4">
        <f>SE(B164="";"";SEERRO(PROCV(B164;'Cadastro Dizimistas'!$B$3:$C$502;2;FALSO);""))</f>
        <v/>
      </c>
      <c r="D164" s="4">
        <f>SE(A164="";"";ÍNDICE(Configurações!$B$35:$B$46;MÊS(A164)))</f>
        <v/>
      </c>
      <c r="E164" s="17" t="n"/>
      <c r="F164" s="3" t="n"/>
      <c r="G164" s="3" t="n"/>
      <c r="H164" s="3" t="n"/>
    </row>
    <row r="165">
      <c r="A165" s="15" t="n"/>
      <c r="B165" s="3" t="n"/>
      <c r="C165" s="4">
        <f>SE(B165="";"";SEERRO(PROCV(B165;'Cadastro Dizimistas'!$B$3:$C$502;2;FALSO);""))</f>
        <v/>
      </c>
      <c r="D165" s="4">
        <f>SE(A165="";"";ÍNDICE(Configurações!$B$35:$B$46;MÊS(A165)))</f>
        <v/>
      </c>
      <c r="E165" s="17" t="n"/>
      <c r="F165" s="3" t="n"/>
      <c r="G165" s="3" t="n"/>
      <c r="H165" s="3" t="n"/>
    </row>
    <row r="166">
      <c r="A166" s="15" t="n"/>
      <c r="B166" s="3" t="n"/>
      <c r="C166" s="4">
        <f>SE(B166="";"";SEERRO(PROCV(B166;'Cadastro Dizimistas'!$B$3:$C$502;2;FALSO);""))</f>
        <v/>
      </c>
      <c r="D166" s="4">
        <f>SE(A166="";"";ÍNDICE(Configurações!$B$35:$B$46;MÊS(A166)))</f>
        <v/>
      </c>
      <c r="E166" s="17" t="n"/>
      <c r="F166" s="3" t="n"/>
      <c r="G166" s="3" t="n"/>
      <c r="H166" s="3" t="n"/>
    </row>
    <row r="167">
      <c r="A167" s="15" t="n"/>
      <c r="B167" s="3" t="n"/>
      <c r="C167" s="4">
        <f>SE(B167="";"";SEERRO(PROCV(B167;'Cadastro Dizimistas'!$B$3:$C$502;2;FALSO);""))</f>
        <v/>
      </c>
      <c r="D167" s="4">
        <f>SE(A167="";"";ÍNDICE(Configurações!$B$35:$B$46;MÊS(A167)))</f>
        <v/>
      </c>
      <c r="E167" s="17" t="n"/>
      <c r="F167" s="3" t="n"/>
      <c r="G167" s="3" t="n"/>
      <c r="H167" s="3" t="n"/>
    </row>
    <row r="168">
      <c r="A168" s="15" t="n"/>
      <c r="B168" s="3" t="n"/>
      <c r="C168" s="4">
        <f>SE(B168="";"";SEERRO(PROCV(B168;'Cadastro Dizimistas'!$B$3:$C$502;2;FALSO);""))</f>
        <v/>
      </c>
      <c r="D168" s="4">
        <f>SE(A168="";"";ÍNDICE(Configurações!$B$35:$B$46;MÊS(A168)))</f>
        <v/>
      </c>
      <c r="E168" s="17" t="n"/>
      <c r="F168" s="3" t="n"/>
      <c r="G168" s="3" t="n"/>
      <c r="H168" s="3" t="n"/>
    </row>
    <row r="169">
      <c r="A169" s="15" t="n"/>
      <c r="B169" s="3" t="n"/>
      <c r="C169" s="4">
        <f>SE(B169="";"";SEERRO(PROCV(B169;'Cadastro Dizimistas'!$B$3:$C$502;2;FALSO);""))</f>
        <v/>
      </c>
      <c r="D169" s="4">
        <f>SE(A169="";"";ÍNDICE(Configurações!$B$35:$B$46;MÊS(A169)))</f>
        <v/>
      </c>
      <c r="E169" s="17" t="n"/>
      <c r="F169" s="3" t="n"/>
      <c r="G169" s="3" t="n"/>
      <c r="H169" s="3" t="n"/>
    </row>
    <row r="170">
      <c r="A170" s="15" t="n"/>
      <c r="B170" s="3" t="n"/>
      <c r="C170" s="4">
        <f>SE(B170="";"";SEERRO(PROCV(B170;'Cadastro Dizimistas'!$B$3:$C$502;2;FALSO);""))</f>
        <v/>
      </c>
      <c r="D170" s="4">
        <f>SE(A170="";"";ÍNDICE(Configurações!$B$35:$B$46;MÊS(A170)))</f>
        <v/>
      </c>
      <c r="E170" s="17" t="n"/>
      <c r="F170" s="3" t="n"/>
      <c r="G170" s="3" t="n"/>
      <c r="H170" s="3" t="n"/>
    </row>
    <row r="171">
      <c r="A171" s="15" t="n"/>
      <c r="B171" s="3" t="n"/>
      <c r="C171" s="4">
        <f>SE(B171="";"";SEERRO(PROCV(B171;'Cadastro Dizimistas'!$B$3:$C$502;2;FALSO);""))</f>
        <v/>
      </c>
      <c r="D171" s="4">
        <f>SE(A171="";"";ÍNDICE(Configurações!$B$35:$B$46;MÊS(A171)))</f>
        <v/>
      </c>
      <c r="E171" s="17" t="n"/>
      <c r="F171" s="3" t="n"/>
      <c r="G171" s="3" t="n"/>
      <c r="H171" s="3" t="n"/>
    </row>
    <row r="172">
      <c r="A172" s="15" t="n"/>
      <c r="B172" s="3" t="n"/>
      <c r="C172" s="4">
        <f>SE(B172="";"";SEERRO(PROCV(B172;'Cadastro Dizimistas'!$B$3:$C$502;2;FALSO);""))</f>
        <v/>
      </c>
      <c r="D172" s="4">
        <f>SE(A172="";"";ÍNDICE(Configurações!$B$35:$B$46;MÊS(A172)))</f>
        <v/>
      </c>
      <c r="E172" s="17" t="n"/>
      <c r="F172" s="3" t="n"/>
      <c r="G172" s="3" t="n"/>
      <c r="H172" s="3" t="n"/>
    </row>
    <row r="173">
      <c r="A173" s="15" t="n"/>
      <c r="B173" s="3" t="n"/>
      <c r="C173" s="4">
        <f>SE(B173="";"";SEERRO(PROCV(B173;'Cadastro Dizimistas'!$B$3:$C$502;2;FALSO);""))</f>
        <v/>
      </c>
      <c r="D173" s="4">
        <f>SE(A173="";"";ÍNDICE(Configurações!$B$35:$B$46;MÊS(A173)))</f>
        <v/>
      </c>
      <c r="E173" s="17" t="n"/>
      <c r="F173" s="3" t="n"/>
      <c r="G173" s="3" t="n"/>
      <c r="H173" s="3" t="n"/>
    </row>
    <row r="174">
      <c r="A174" s="15" t="n"/>
      <c r="B174" s="3" t="n"/>
      <c r="C174" s="4">
        <f>SE(B174="";"";SEERRO(PROCV(B174;'Cadastro Dizimistas'!$B$3:$C$502;2;FALSO);""))</f>
        <v/>
      </c>
      <c r="D174" s="4">
        <f>SE(A174="";"";ÍNDICE(Configurações!$B$35:$B$46;MÊS(A174)))</f>
        <v/>
      </c>
      <c r="E174" s="17" t="n"/>
      <c r="F174" s="3" t="n"/>
      <c r="G174" s="3" t="n"/>
      <c r="H174" s="3" t="n"/>
    </row>
    <row r="175">
      <c r="A175" s="15" t="n"/>
      <c r="B175" s="3" t="n"/>
      <c r="C175" s="4">
        <f>SE(B175="";"";SEERRO(PROCV(B175;'Cadastro Dizimistas'!$B$3:$C$502;2;FALSO);""))</f>
        <v/>
      </c>
      <c r="D175" s="4">
        <f>SE(A175="";"";ÍNDICE(Configurações!$B$35:$B$46;MÊS(A175)))</f>
        <v/>
      </c>
      <c r="E175" s="17" t="n"/>
      <c r="F175" s="3" t="n"/>
      <c r="G175" s="3" t="n"/>
      <c r="H175" s="3" t="n"/>
    </row>
    <row r="176">
      <c r="A176" s="15" t="n"/>
      <c r="B176" s="3" t="n"/>
      <c r="C176" s="4">
        <f>SE(B176="";"";SEERRO(PROCV(B176;'Cadastro Dizimistas'!$B$3:$C$502;2;FALSO);""))</f>
        <v/>
      </c>
      <c r="D176" s="4">
        <f>SE(A176="";"";ÍNDICE(Configurações!$B$35:$B$46;MÊS(A176)))</f>
        <v/>
      </c>
      <c r="E176" s="17" t="n"/>
      <c r="F176" s="3" t="n"/>
      <c r="G176" s="3" t="n"/>
      <c r="H176" s="3" t="n"/>
    </row>
    <row r="177">
      <c r="A177" s="15" t="n"/>
      <c r="B177" s="3" t="n"/>
      <c r="C177" s="4">
        <f>SE(B177="";"";SEERRO(PROCV(B177;'Cadastro Dizimistas'!$B$3:$C$502;2;FALSO);""))</f>
        <v/>
      </c>
      <c r="D177" s="4">
        <f>SE(A177="";"";ÍNDICE(Configurações!$B$35:$B$46;MÊS(A177)))</f>
        <v/>
      </c>
      <c r="E177" s="17" t="n"/>
      <c r="F177" s="3" t="n"/>
      <c r="G177" s="3" t="n"/>
      <c r="H177" s="3" t="n"/>
    </row>
    <row r="178">
      <c r="A178" s="15" t="n"/>
      <c r="B178" s="3" t="n"/>
      <c r="C178" s="4">
        <f>SE(B178="";"";SEERRO(PROCV(B178;'Cadastro Dizimistas'!$B$3:$C$502;2;FALSO);""))</f>
        <v/>
      </c>
      <c r="D178" s="4">
        <f>SE(A178="";"";ÍNDICE(Configurações!$B$35:$B$46;MÊS(A178)))</f>
        <v/>
      </c>
      <c r="E178" s="17" t="n"/>
      <c r="F178" s="3" t="n"/>
      <c r="G178" s="3" t="n"/>
      <c r="H178" s="3" t="n"/>
    </row>
    <row r="179">
      <c r="A179" s="15" t="n"/>
      <c r="B179" s="3" t="n"/>
      <c r="C179" s="4">
        <f>SE(B179="";"";SEERRO(PROCV(B179;'Cadastro Dizimistas'!$B$3:$C$502;2;FALSO);""))</f>
        <v/>
      </c>
      <c r="D179" s="4">
        <f>SE(A179="";"";ÍNDICE(Configurações!$B$35:$B$46;MÊS(A179)))</f>
        <v/>
      </c>
      <c r="E179" s="17" t="n"/>
      <c r="F179" s="3" t="n"/>
      <c r="G179" s="3" t="n"/>
      <c r="H179" s="3" t="n"/>
    </row>
    <row r="180">
      <c r="A180" s="15" t="n"/>
      <c r="B180" s="3" t="n"/>
      <c r="C180" s="4">
        <f>SE(B180="";"";SEERRO(PROCV(B180;'Cadastro Dizimistas'!$B$3:$C$502;2;FALSO);""))</f>
        <v/>
      </c>
      <c r="D180" s="4">
        <f>SE(A180="";"";ÍNDICE(Configurações!$B$35:$B$46;MÊS(A180)))</f>
        <v/>
      </c>
      <c r="E180" s="17" t="n"/>
      <c r="F180" s="3" t="n"/>
      <c r="G180" s="3" t="n"/>
      <c r="H180" s="3" t="n"/>
    </row>
    <row r="181">
      <c r="A181" s="15" t="n"/>
      <c r="B181" s="3" t="n"/>
      <c r="C181" s="4">
        <f>SE(B181="";"";SEERRO(PROCV(B181;'Cadastro Dizimistas'!$B$3:$C$502;2;FALSO);""))</f>
        <v/>
      </c>
      <c r="D181" s="4">
        <f>SE(A181="";"";ÍNDICE(Configurações!$B$35:$B$46;MÊS(A181)))</f>
        <v/>
      </c>
      <c r="E181" s="17" t="n"/>
      <c r="F181" s="3" t="n"/>
      <c r="G181" s="3" t="n"/>
      <c r="H181" s="3" t="n"/>
    </row>
    <row r="182">
      <c r="A182" s="15" t="n"/>
      <c r="B182" s="3" t="n"/>
      <c r="C182" s="4">
        <f>SE(B182="";"";SEERRO(PROCV(B182;'Cadastro Dizimistas'!$B$3:$C$502;2;FALSO);""))</f>
        <v/>
      </c>
      <c r="D182" s="4">
        <f>SE(A182="";"";ÍNDICE(Configurações!$B$35:$B$46;MÊS(A182)))</f>
        <v/>
      </c>
      <c r="E182" s="17" t="n"/>
      <c r="F182" s="3" t="n"/>
      <c r="G182" s="3" t="n"/>
      <c r="H182" s="3" t="n"/>
    </row>
    <row r="183">
      <c r="A183" s="15" t="n"/>
      <c r="B183" s="3" t="n"/>
      <c r="C183" s="4">
        <f>SE(B183="";"";SEERRO(PROCV(B183;'Cadastro Dizimistas'!$B$3:$C$502;2;FALSO);""))</f>
        <v/>
      </c>
      <c r="D183" s="4">
        <f>SE(A183="";"";ÍNDICE(Configurações!$B$35:$B$46;MÊS(A183)))</f>
        <v/>
      </c>
      <c r="E183" s="17" t="n"/>
      <c r="F183" s="3" t="n"/>
      <c r="G183" s="3" t="n"/>
      <c r="H183" s="3" t="n"/>
    </row>
    <row r="184">
      <c r="A184" s="15" t="n"/>
      <c r="B184" s="3" t="n"/>
      <c r="C184" s="4">
        <f>SE(B184="";"";SEERRO(PROCV(B184;'Cadastro Dizimistas'!$B$3:$C$502;2;FALSO);""))</f>
        <v/>
      </c>
      <c r="D184" s="4">
        <f>SE(A184="";"";ÍNDICE(Configurações!$B$35:$B$46;MÊS(A184)))</f>
        <v/>
      </c>
      <c r="E184" s="17" t="n"/>
      <c r="F184" s="3" t="n"/>
      <c r="G184" s="3" t="n"/>
      <c r="H184" s="3" t="n"/>
    </row>
    <row r="185">
      <c r="A185" s="15" t="n"/>
      <c r="B185" s="3" t="n"/>
      <c r="C185" s="4">
        <f>SE(B185="";"";SEERRO(PROCV(B185;'Cadastro Dizimistas'!$B$3:$C$502;2;FALSO);""))</f>
        <v/>
      </c>
      <c r="D185" s="4">
        <f>SE(A185="";"";ÍNDICE(Configurações!$B$35:$B$46;MÊS(A185)))</f>
        <v/>
      </c>
      <c r="E185" s="17" t="n"/>
      <c r="F185" s="3" t="n"/>
      <c r="G185" s="3" t="n"/>
      <c r="H185" s="3" t="n"/>
    </row>
    <row r="186">
      <c r="A186" s="15" t="n"/>
      <c r="B186" s="3" t="n"/>
      <c r="C186" s="4">
        <f>SE(B186="";"";SEERRO(PROCV(B186;'Cadastro Dizimistas'!$B$3:$C$502;2;FALSO);""))</f>
        <v/>
      </c>
      <c r="D186" s="4">
        <f>SE(A186="";"";ÍNDICE(Configurações!$B$35:$B$46;MÊS(A186)))</f>
        <v/>
      </c>
      <c r="E186" s="17" t="n"/>
      <c r="F186" s="3" t="n"/>
      <c r="G186" s="3" t="n"/>
      <c r="H186" s="3" t="n"/>
    </row>
    <row r="187">
      <c r="A187" s="15" t="n"/>
      <c r="B187" s="3" t="n"/>
      <c r="C187" s="4">
        <f>SE(B187="";"";SEERRO(PROCV(B187;'Cadastro Dizimistas'!$B$3:$C$502;2;FALSO);""))</f>
        <v/>
      </c>
      <c r="D187" s="4">
        <f>SE(A187="";"";ÍNDICE(Configurações!$B$35:$B$46;MÊS(A187)))</f>
        <v/>
      </c>
      <c r="E187" s="17" t="n"/>
      <c r="F187" s="3" t="n"/>
      <c r="G187" s="3" t="n"/>
      <c r="H187" s="3" t="n"/>
    </row>
    <row r="188">
      <c r="A188" s="15" t="n"/>
      <c r="B188" s="3" t="n"/>
      <c r="C188" s="4">
        <f>SE(B188="";"";SEERRO(PROCV(B188;'Cadastro Dizimistas'!$B$3:$C$502;2;FALSO);""))</f>
        <v/>
      </c>
      <c r="D188" s="4">
        <f>SE(A188="";"";ÍNDICE(Configurações!$B$35:$B$46;MÊS(A188)))</f>
        <v/>
      </c>
      <c r="E188" s="17" t="n"/>
      <c r="F188" s="3" t="n"/>
      <c r="G188" s="3" t="n"/>
      <c r="H188" s="3" t="n"/>
    </row>
    <row r="189">
      <c r="A189" s="15" t="n"/>
      <c r="B189" s="3" t="n"/>
      <c r="C189" s="4">
        <f>SE(B189="";"";SEERRO(PROCV(B189;'Cadastro Dizimistas'!$B$3:$C$502;2;FALSO);""))</f>
        <v/>
      </c>
      <c r="D189" s="4">
        <f>SE(A189="";"";ÍNDICE(Configurações!$B$35:$B$46;MÊS(A189)))</f>
        <v/>
      </c>
      <c r="E189" s="17" t="n"/>
      <c r="F189" s="3" t="n"/>
      <c r="G189" s="3" t="n"/>
      <c r="H189" s="3" t="n"/>
    </row>
    <row r="190">
      <c r="A190" s="15" t="n"/>
      <c r="B190" s="3" t="n"/>
      <c r="C190" s="4">
        <f>SE(B190="";"";SEERRO(PROCV(B190;'Cadastro Dizimistas'!$B$3:$C$502;2;FALSO);""))</f>
        <v/>
      </c>
      <c r="D190" s="4">
        <f>SE(A190="";"";ÍNDICE(Configurações!$B$35:$B$46;MÊS(A190)))</f>
        <v/>
      </c>
      <c r="E190" s="17" t="n"/>
      <c r="F190" s="3" t="n"/>
      <c r="G190" s="3" t="n"/>
      <c r="H190" s="3" t="n"/>
    </row>
    <row r="191">
      <c r="A191" s="15" t="n"/>
      <c r="B191" s="3" t="n"/>
      <c r="C191" s="4">
        <f>SE(B191="";"";SEERRO(PROCV(B191;'Cadastro Dizimistas'!$B$3:$C$502;2;FALSO);""))</f>
        <v/>
      </c>
      <c r="D191" s="4">
        <f>SE(A191="";"";ÍNDICE(Configurações!$B$35:$B$46;MÊS(A191)))</f>
        <v/>
      </c>
      <c r="E191" s="17" t="n"/>
      <c r="F191" s="3" t="n"/>
      <c r="G191" s="3" t="n"/>
      <c r="H191" s="3" t="n"/>
    </row>
    <row r="192">
      <c r="A192" s="15" t="n"/>
      <c r="B192" s="3" t="n"/>
      <c r="C192" s="4">
        <f>SE(B192="";"";SEERRO(PROCV(B192;'Cadastro Dizimistas'!$B$3:$C$502;2;FALSO);""))</f>
        <v/>
      </c>
      <c r="D192" s="4">
        <f>SE(A192="";"";ÍNDICE(Configurações!$B$35:$B$46;MÊS(A192)))</f>
        <v/>
      </c>
      <c r="E192" s="17" t="n"/>
      <c r="F192" s="3" t="n"/>
      <c r="G192" s="3" t="n"/>
      <c r="H192" s="3" t="n"/>
    </row>
    <row r="193">
      <c r="A193" s="15" t="n"/>
      <c r="B193" s="3" t="n"/>
      <c r="C193" s="4">
        <f>SE(B193="";"";SEERRO(PROCV(B193;'Cadastro Dizimistas'!$B$3:$C$502;2;FALSO);""))</f>
        <v/>
      </c>
      <c r="D193" s="4">
        <f>SE(A193="";"";ÍNDICE(Configurações!$B$35:$B$46;MÊS(A193)))</f>
        <v/>
      </c>
      <c r="E193" s="17" t="n"/>
      <c r="F193" s="3" t="n"/>
      <c r="G193" s="3" t="n"/>
      <c r="H193" s="3" t="n"/>
    </row>
    <row r="194">
      <c r="A194" s="15" t="n"/>
      <c r="B194" s="3" t="n"/>
      <c r="C194" s="4">
        <f>SE(B194="";"";SEERRO(PROCV(B194;'Cadastro Dizimistas'!$B$3:$C$502;2;FALSO);""))</f>
        <v/>
      </c>
      <c r="D194" s="4">
        <f>SE(A194="";"";ÍNDICE(Configurações!$B$35:$B$46;MÊS(A194)))</f>
        <v/>
      </c>
      <c r="E194" s="17" t="n"/>
      <c r="F194" s="3" t="n"/>
      <c r="G194" s="3" t="n"/>
      <c r="H194" s="3" t="n"/>
    </row>
    <row r="195">
      <c r="A195" s="15" t="n"/>
      <c r="B195" s="3" t="n"/>
      <c r="C195" s="4">
        <f>SE(B195="";"";SEERRO(PROCV(B195;'Cadastro Dizimistas'!$B$3:$C$502;2;FALSO);""))</f>
        <v/>
      </c>
      <c r="D195" s="4">
        <f>SE(A195="";"";ÍNDICE(Configurações!$B$35:$B$46;MÊS(A195)))</f>
        <v/>
      </c>
      <c r="E195" s="17" t="n"/>
      <c r="F195" s="3" t="n"/>
      <c r="G195" s="3" t="n"/>
      <c r="H195" s="3" t="n"/>
    </row>
    <row r="196">
      <c r="A196" s="15" t="n"/>
      <c r="B196" s="3" t="n"/>
      <c r="C196" s="4">
        <f>SE(B196="";"";SEERRO(PROCV(B196;'Cadastro Dizimistas'!$B$3:$C$502;2;FALSO);""))</f>
        <v/>
      </c>
      <c r="D196" s="4">
        <f>SE(A196="";"";ÍNDICE(Configurações!$B$35:$B$46;MÊS(A196)))</f>
        <v/>
      </c>
      <c r="E196" s="17" t="n"/>
      <c r="F196" s="3" t="n"/>
      <c r="G196" s="3" t="n"/>
      <c r="H196" s="3" t="n"/>
    </row>
    <row r="197">
      <c r="A197" s="15" t="n"/>
      <c r="B197" s="3" t="n"/>
      <c r="C197" s="4">
        <f>SE(B197="";"";SEERRO(PROCV(B197;'Cadastro Dizimistas'!$B$3:$C$502;2;FALSO);""))</f>
        <v/>
      </c>
      <c r="D197" s="4">
        <f>SE(A197="";"";ÍNDICE(Configurações!$B$35:$B$46;MÊS(A197)))</f>
        <v/>
      </c>
      <c r="E197" s="17" t="n"/>
      <c r="F197" s="3" t="n"/>
      <c r="G197" s="3" t="n"/>
      <c r="H197" s="3" t="n"/>
    </row>
    <row r="198">
      <c r="A198" s="15" t="n"/>
      <c r="B198" s="3" t="n"/>
      <c r="C198" s="4">
        <f>SE(B198="";"";SEERRO(PROCV(B198;'Cadastro Dizimistas'!$B$3:$C$502;2;FALSO);""))</f>
        <v/>
      </c>
      <c r="D198" s="4">
        <f>SE(A198="";"";ÍNDICE(Configurações!$B$35:$B$46;MÊS(A198)))</f>
        <v/>
      </c>
      <c r="E198" s="17" t="n"/>
      <c r="F198" s="3" t="n"/>
      <c r="G198" s="3" t="n"/>
      <c r="H198" s="3" t="n"/>
    </row>
    <row r="199">
      <c r="A199" s="15" t="n"/>
      <c r="B199" s="3" t="n"/>
      <c r="C199" s="4">
        <f>SE(B199="";"";SEERRO(PROCV(B199;'Cadastro Dizimistas'!$B$3:$C$502;2;FALSO);""))</f>
        <v/>
      </c>
      <c r="D199" s="4">
        <f>SE(A199="";"";ÍNDICE(Configurações!$B$35:$B$46;MÊS(A199)))</f>
        <v/>
      </c>
      <c r="E199" s="17" t="n"/>
      <c r="F199" s="3" t="n"/>
      <c r="G199" s="3" t="n"/>
      <c r="H199" s="3" t="n"/>
    </row>
    <row r="200">
      <c r="A200" s="15" t="n"/>
      <c r="B200" s="3" t="n"/>
      <c r="C200" s="4">
        <f>SE(B200="";"";SEERRO(PROCV(B200;'Cadastro Dizimistas'!$B$3:$C$502;2;FALSO);""))</f>
        <v/>
      </c>
      <c r="D200" s="4">
        <f>SE(A200="";"";ÍNDICE(Configurações!$B$35:$B$46;MÊS(A200)))</f>
        <v/>
      </c>
      <c r="E200" s="17" t="n"/>
      <c r="F200" s="3" t="n"/>
      <c r="G200" s="3" t="n"/>
      <c r="H200" s="3" t="n"/>
    </row>
    <row r="201">
      <c r="A201" s="15" t="n"/>
      <c r="B201" s="3" t="n"/>
      <c r="C201" s="4">
        <f>SE(B201="";"";SEERRO(PROCV(B201;'Cadastro Dizimistas'!$B$3:$C$502;2;FALSO);""))</f>
        <v/>
      </c>
      <c r="D201" s="4">
        <f>SE(A201="";"";ÍNDICE(Configurações!$B$35:$B$46;MÊS(A201)))</f>
        <v/>
      </c>
      <c r="E201" s="17" t="n"/>
      <c r="F201" s="3" t="n"/>
      <c r="G201" s="3" t="n"/>
      <c r="H201" s="3" t="n"/>
    </row>
    <row r="202">
      <c r="A202" s="15" t="n"/>
      <c r="B202" s="3" t="n"/>
      <c r="C202" s="4">
        <f>SE(B202="";"";SEERRO(PROCV(B202;'Cadastro Dizimistas'!$B$3:$C$502;2;FALSO);""))</f>
        <v/>
      </c>
      <c r="D202" s="4">
        <f>SE(A202="";"";ÍNDICE(Configurações!$B$35:$B$46;MÊS(A202)))</f>
        <v/>
      </c>
      <c r="E202" s="17" t="n"/>
      <c r="F202" s="3" t="n"/>
      <c r="G202" s="3" t="n"/>
      <c r="H202" s="3" t="n"/>
    </row>
    <row r="203">
      <c r="A203" s="15" t="n"/>
      <c r="B203" s="3" t="n"/>
      <c r="C203" s="4">
        <f>SE(B203="";"";SEERRO(PROCV(B203;'Cadastro Dizimistas'!$B$3:$C$502;2;FALSO);""))</f>
        <v/>
      </c>
      <c r="D203" s="4">
        <f>SE(A203="";"";ÍNDICE(Configurações!$B$35:$B$46;MÊS(A203)))</f>
        <v/>
      </c>
      <c r="E203" s="17" t="n"/>
      <c r="F203" s="3" t="n"/>
      <c r="G203" s="3" t="n"/>
      <c r="H203" s="3" t="n"/>
    </row>
    <row r="204">
      <c r="A204" s="15" t="n"/>
      <c r="B204" s="3" t="n"/>
      <c r="C204" s="4">
        <f>SE(B204="";"";SEERRO(PROCV(B204;'Cadastro Dizimistas'!$B$3:$C$502;2;FALSO);""))</f>
        <v/>
      </c>
      <c r="D204" s="4">
        <f>SE(A204="";"";ÍNDICE(Configurações!$B$35:$B$46;MÊS(A204)))</f>
        <v/>
      </c>
      <c r="E204" s="17" t="n"/>
      <c r="F204" s="3" t="n"/>
      <c r="G204" s="3" t="n"/>
      <c r="H204" s="3" t="n"/>
    </row>
    <row r="205">
      <c r="A205" s="15" t="n"/>
      <c r="B205" s="3" t="n"/>
      <c r="C205" s="4">
        <f>SE(B205="";"";SEERRO(PROCV(B205;'Cadastro Dizimistas'!$B$3:$C$502;2;FALSO);""))</f>
        <v/>
      </c>
      <c r="D205" s="4">
        <f>SE(A205="";"";ÍNDICE(Configurações!$B$35:$B$46;MÊS(A205)))</f>
        <v/>
      </c>
      <c r="E205" s="17" t="n"/>
      <c r="F205" s="3" t="n"/>
      <c r="G205" s="3" t="n"/>
      <c r="H205" s="3" t="n"/>
    </row>
    <row r="206">
      <c r="A206" s="15" t="n"/>
      <c r="B206" s="3" t="n"/>
      <c r="C206" s="4">
        <f>SE(B206="";"";SEERRO(PROCV(B206;'Cadastro Dizimistas'!$B$3:$C$502;2;FALSO);""))</f>
        <v/>
      </c>
      <c r="D206" s="4">
        <f>SE(A206="";"";ÍNDICE(Configurações!$B$35:$B$46;MÊS(A206)))</f>
        <v/>
      </c>
      <c r="E206" s="17" t="n"/>
      <c r="F206" s="3" t="n"/>
      <c r="G206" s="3" t="n"/>
      <c r="H206" s="3" t="n"/>
    </row>
    <row r="207">
      <c r="A207" s="15" t="n"/>
      <c r="B207" s="3" t="n"/>
      <c r="C207" s="4">
        <f>SE(B207="";"";SEERRO(PROCV(B207;'Cadastro Dizimistas'!$B$3:$C$502;2;FALSO);""))</f>
        <v/>
      </c>
      <c r="D207" s="4">
        <f>SE(A207="";"";ÍNDICE(Configurações!$B$35:$B$46;MÊS(A207)))</f>
        <v/>
      </c>
      <c r="E207" s="17" t="n"/>
      <c r="F207" s="3" t="n"/>
      <c r="G207" s="3" t="n"/>
      <c r="H207" s="3" t="n"/>
    </row>
    <row r="208">
      <c r="A208" s="15" t="n"/>
      <c r="B208" s="3" t="n"/>
      <c r="C208" s="4">
        <f>SE(B208="";"";SEERRO(PROCV(B208;'Cadastro Dizimistas'!$B$3:$C$502;2;FALSO);""))</f>
        <v/>
      </c>
      <c r="D208" s="4">
        <f>SE(A208="";"";ÍNDICE(Configurações!$B$35:$B$46;MÊS(A208)))</f>
        <v/>
      </c>
      <c r="E208" s="17" t="n"/>
      <c r="F208" s="3" t="n"/>
      <c r="G208" s="3" t="n"/>
      <c r="H208" s="3" t="n"/>
    </row>
    <row r="209">
      <c r="A209" s="15" t="n"/>
      <c r="B209" s="3" t="n"/>
      <c r="C209" s="4">
        <f>SE(B209="";"";SEERRO(PROCV(B209;'Cadastro Dizimistas'!$B$3:$C$502;2;FALSO);""))</f>
        <v/>
      </c>
      <c r="D209" s="4">
        <f>SE(A209="";"";ÍNDICE(Configurações!$B$35:$B$46;MÊS(A209)))</f>
        <v/>
      </c>
      <c r="E209" s="17" t="n"/>
      <c r="F209" s="3" t="n"/>
      <c r="G209" s="3" t="n"/>
      <c r="H209" s="3" t="n"/>
    </row>
    <row r="210">
      <c r="A210" s="15" t="n"/>
      <c r="B210" s="3" t="n"/>
      <c r="C210" s="4">
        <f>SE(B210="";"";SEERRO(PROCV(B210;'Cadastro Dizimistas'!$B$3:$C$502;2;FALSO);""))</f>
        <v/>
      </c>
      <c r="D210" s="4">
        <f>SE(A210="";"";ÍNDICE(Configurações!$B$35:$B$46;MÊS(A210)))</f>
        <v/>
      </c>
      <c r="E210" s="17" t="n"/>
      <c r="F210" s="3" t="n"/>
      <c r="G210" s="3" t="n"/>
      <c r="H210" s="3" t="n"/>
    </row>
    <row r="211">
      <c r="A211" s="15" t="n"/>
      <c r="B211" s="3" t="n"/>
      <c r="C211" s="4">
        <f>SE(B211="";"";SEERRO(PROCV(B211;'Cadastro Dizimistas'!$B$3:$C$502;2;FALSO);""))</f>
        <v/>
      </c>
      <c r="D211" s="4">
        <f>SE(A211="";"";ÍNDICE(Configurações!$B$35:$B$46;MÊS(A211)))</f>
        <v/>
      </c>
      <c r="E211" s="17" t="n"/>
      <c r="F211" s="3" t="n"/>
      <c r="G211" s="3" t="n"/>
      <c r="H211" s="3" t="n"/>
    </row>
    <row r="212">
      <c r="A212" s="15" t="n"/>
      <c r="B212" s="3" t="n"/>
      <c r="C212" s="4">
        <f>SE(B212="";"";SEERRO(PROCV(B212;'Cadastro Dizimistas'!$B$3:$C$502;2;FALSO);""))</f>
        <v/>
      </c>
      <c r="D212" s="4">
        <f>SE(A212="";"";ÍNDICE(Configurações!$B$35:$B$46;MÊS(A212)))</f>
        <v/>
      </c>
      <c r="E212" s="17" t="n"/>
      <c r="F212" s="3" t="n"/>
      <c r="G212" s="3" t="n"/>
      <c r="H212" s="3" t="n"/>
    </row>
    <row r="213">
      <c r="A213" s="15" t="n"/>
      <c r="B213" s="3" t="n"/>
      <c r="C213" s="4">
        <f>SE(B213="";"";SEERRO(PROCV(B213;'Cadastro Dizimistas'!$B$3:$C$502;2;FALSO);""))</f>
        <v/>
      </c>
      <c r="D213" s="4">
        <f>SE(A213="";"";ÍNDICE(Configurações!$B$35:$B$46;MÊS(A213)))</f>
        <v/>
      </c>
      <c r="E213" s="17" t="n"/>
      <c r="F213" s="3" t="n"/>
      <c r="G213" s="3" t="n"/>
      <c r="H213" s="3" t="n"/>
    </row>
    <row r="214">
      <c r="A214" s="15" t="n"/>
      <c r="B214" s="3" t="n"/>
      <c r="C214" s="4">
        <f>SE(B214="";"";SEERRO(PROCV(B214;'Cadastro Dizimistas'!$B$3:$C$502;2;FALSO);""))</f>
        <v/>
      </c>
      <c r="D214" s="4">
        <f>SE(A214="";"";ÍNDICE(Configurações!$B$35:$B$46;MÊS(A214)))</f>
        <v/>
      </c>
      <c r="E214" s="17" t="n"/>
      <c r="F214" s="3" t="n"/>
      <c r="G214" s="3" t="n"/>
      <c r="H214" s="3" t="n"/>
    </row>
    <row r="215">
      <c r="A215" s="15" t="n"/>
      <c r="B215" s="3" t="n"/>
      <c r="C215" s="4">
        <f>SE(B215="";"";SEERRO(PROCV(B215;'Cadastro Dizimistas'!$B$3:$C$502;2;FALSO);""))</f>
        <v/>
      </c>
      <c r="D215" s="4">
        <f>SE(A215="";"";ÍNDICE(Configurações!$B$35:$B$46;MÊS(A215)))</f>
        <v/>
      </c>
      <c r="E215" s="17" t="n"/>
      <c r="F215" s="3" t="n"/>
      <c r="G215" s="3" t="n"/>
      <c r="H215" s="3" t="n"/>
    </row>
    <row r="216">
      <c r="A216" s="15" t="n"/>
      <c r="B216" s="3" t="n"/>
      <c r="C216" s="4">
        <f>SE(B216="";"";SEERRO(PROCV(B216;'Cadastro Dizimistas'!$B$3:$C$502;2;FALSO);""))</f>
        <v/>
      </c>
      <c r="D216" s="4">
        <f>SE(A216="";"";ÍNDICE(Configurações!$B$35:$B$46;MÊS(A216)))</f>
        <v/>
      </c>
      <c r="E216" s="17" t="n"/>
      <c r="F216" s="3" t="n"/>
      <c r="G216" s="3" t="n"/>
      <c r="H216" s="3" t="n"/>
    </row>
    <row r="217">
      <c r="A217" s="15" t="n"/>
      <c r="B217" s="3" t="n"/>
      <c r="C217" s="4">
        <f>SE(B217="";"";SEERRO(PROCV(B217;'Cadastro Dizimistas'!$B$3:$C$502;2;FALSO);""))</f>
        <v/>
      </c>
      <c r="D217" s="4">
        <f>SE(A217="";"";ÍNDICE(Configurações!$B$35:$B$46;MÊS(A217)))</f>
        <v/>
      </c>
      <c r="E217" s="17" t="n"/>
      <c r="F217" s="3" t="n"/>
      <c r="G217" s="3" t="n"/>
      <c r="H217" s="3" t="n"/>
    </row>
    <row r="218">
      <c r="A218" s="15" t="n"/>
      <c r="B218" s="3" t="n"/>
      <c r="C218" s="4">
        <f>SE(B218="";"";SEERRO(PROCV(B218;'Cadastro Dizimistas'!$B$3:$C$502;2;FALSO);""))</f>
        <v/>
      </c>
      <c r="D218" s="4">
        <f>SE(A218="";"";ÍNDICE(Configurações!$B$35:$B$46;MÊS(A218)))</f>
        <v/>
      </c>
      <c r="E218" s="17" t="n"/>
      <c r="F218" s="3" t="n"/>
      <c r="G218" s="3" t="n"/>
      <c r="H218" s="3" t="n"/>
    </row>
    <row r="219">
      <c r="A219" s="15" t="n"/>
      <c r="B219" s="3" t="n"/>
      <c r="C219" s="4">
        <f>SE(B219="";"";SEERRO(PROCV(B219;'Cadastro Dizimistas'!$B$3:$C$502;2;FALSO);""))</f>
        <v/>
      </c>
      <c r="D219" s="4">
        <f>SE(A219="";"";ÍNDICE(Configurações!$B$35:$B$46;MÊS(A219)))</f>
        <v/>
      </c>
      <c r="E219" s="17" t="n"/>
      <c r="F219" s="3" t="n"/>
      <c r="G219" s="3" t="n"/>
      <c r="H219" s="3" t="n"/>
    </row>
    <row r="220">
      <c r="A220" s="15" t="n"/>
      <c r="B220" s="3" t="n"/>
      <c r="C220" s="4">
        <f>SE(B220="";"";SEERRO(PROCV(B220;'Cadastro Dizimistas'!$B$3:$C$502;2;FALSO);""))</f>
        <v/>
      </c>
      <c r="D220" s="4">
        <f>SE(A220="";"";ÍNDICE(Configurações!$B$35:$B$46;MÊS(A220)))</f>
        <v/>
      </c>
      <c r="E220" s="17" t="n"/>
      <c r="F220" s="3" t="n"/>
      <c r="G220" s="3" t="n"/>
      <c r="H220" s="3" t="n"/>
    </row>
    <row r="221">
      <c r="A221" s="15" t="n"/>
      <c r="B221" s="3" t="n"/>
      <c r="C221" s="4">
        <f>SE(B221="";"";SEERRO(PROCV(B221;'Cadastro Dizimistas'!$B$3:$C$502;2;FALSO);""))</f>
        <v/>
      </c>
      <c r="D221" s="4">
        <f>SE(A221="";"";ÍNDICE(Configurações!$B$35:$B$46;MÊS(A221)))</f>
        <v/>
      </c>
      <c r="E221" s="17" t="n"/>
      <c r="F221" s="3" t="n"/>
      <c r="G221" s="3" t="n"/>
      <c r="H221" s="3" t="n"/>
    </row>
    <row r="222">
      <c r="A222" s="15" t="n"/>
      <c r="B222" s="3" t="n"/>
      <c r="C222" s="4">
        <f>SE(B222="";"";SEERRO(PROCV(B222;'Cadastro Dizimistas'!$B$3:$C$502;2;FALSO);""))</f>
        <v/>
      </c>
      <c r="D222" s="4">
        <f>SE(A222="";"";ÍNDICE(Configurações!$B$35:$B$46;MÊS(A222)))</f>
        <v/>
      </c>
      <c r="E222" s="17" t="n"/>
      <c r="F222" s="3" t="n"/>
      <c r="G222" s="3" t="n"/>
      <c r="H222" s="3" t="n"/>
    </row>
    <row r="223">
      <c r="A223" s="15" t="n"/>
      <c r="B223" s="3" t="n"/>
      <c r="C223" s="4">
        <f>SE(B223="";"";SEERRO(PROCV(B223;'Cadastro Dizimistas'!$B$3:$C$502;2;FALSO);""))</f>
        <v/>
      </c>
      <c r="D223" s="4">
        <f>SE(A223="";"";ÍNDICE(Configurações!$B$35:$B$46;MÊS(A223)))</f>
        <v/>
      </c>
      <c r="E223" s="17" t="n"/>
      <c r="F223" s="3" t="n"/>
      <c r="G223" s="3" t="n"/>
      <c r="H223" s="3" t="n"/>
    </row>
    <row r="224">
      <c r="A224" s="15" t="n"/>
      <c r="B224" s="3" t="n"/>
      <c r="C224" s="4">
        <f>SE(B224="";"";SEERRO(PROCV(B224;'Cadastro Dizimistas'!$B$3:$C$502;2;FALSO);""))</f>
        <v/>
      </c>
      <c r="D224" s="4">
        <f>SE(A224="";"";ÍNDICE(Configurações!$B$35:$B$46;MÊS(A224)))</f>
        <v/>
      </c>
      <c r="E224" s="17" t="n"/>
      <c r="F224" s="3" t="n"/>
      <c r="G224" s="3" t="n"/>
      <c r="H224" s="3" t="n"/>
    </row>
    <row r="225">
      <c r="A225" s="15" t="n"/>
      <c r="B225" s="3" t="n"/>
      <c r="C225" s="4">
        <f>SE(B225="";"";SEERRO(PROCV(B225;'Cadastro Dizimistas'!$B$3:$C$502;2;FALSO);""))</f>
        <v/>
      </c>
      <c r="D225" s="4">
        <f>SE(A225="";"";ÍNDICE(Configurações!$B$35:$B$46;MÊS(A225)))</f>
        <v/>
      </c>
      <c r="E225" s="17" t="n"/>
      <c r="F225" s="3" t="n"/>
      <c r="G225" s="3" t="n"/>
      <c r="H225" s="3" t="n"/>
    </row>
    <row r="226">
      <c r="A226" s="15" t="n"/>
      <c r="B226" s="3" t="n"/>
      <c r="C226" s="4">
        <f>SE(B226="";"";SEERRO(PROCV(B226;'Cadastro Dizimistas'!$B$3:$C$502;2;FALSO);""))</f>
        <v/>
      </c>
      <c r="D226" s="4">
        <f>SE(A226="";"";ÍNDICE(Configurações!$B$35:$B$46;MÊS(A226)))</f>
        <v/>
      </c>
      <c r="E226" s="17" t="n"/>
      <c r="F226" s="3" t="n"/>
      <c r="G226" s="3" t="n"/>
      <c r="H226" s="3" t="n"/>
    </row>
    <row r="227">
      <c r="A227" s="15" t="n"/>
      <c r="B227" s="3" t="n"/>
      <c r="C227" s="4">
        <f>SE(B227="";"";SEERRO(PROCV(B227;'Cadastro Dizimistas'!$B$3:$C$502;2;FALSO);""))</f>
        <v/>
      </c>
      <c r="D227" s="4">
        <f>SE(A227="";"";ÍNDICE(Configurações!$B$35:$B$46;MÊS(A227)))</f>
        <v/>
      </c>
      <c r="E227" s="17" t="n"/>
      <c r="F227" s="3" t="n"/>
      <c r="G227" s="3" t="n"/>
      <c r="H227" s="3" t="n"/>
    </row>
    <row r="228">
      <c r="A228" s="15" t="n"/>
      <c r="B228" s="3" t="n"/>
      <c r="C228" s="4">
        <f>SE(B228="";"";SEERRO(PROCV(B228;'Cadastro Dizimistas'!$B$3:$C$502;2;FALSO);""))</f>
        <v/>
      </c>
      <c r="D228" s="4">
        <f>SE(A228="";"";ÍNDICE(Configurações!$B$35:$B$46;MÊS(A228)))</f>
        <v/>
      </c>
      <c r="E228" s="17" t="n"/>
      <c r="F228" s="3" t="n"/>
      <c r="G228" s="3" t="n"/>
      <c r="H228" s="3" t="n"/>
    </row>
    <row r="229">
      <c r="A229" s="15" t="n"/>
      <c r="B229" s="3" t="n"/>
      <c r="C229" s="4">
        <f>SE(B229="";"";SEERRO(PROCV(B229;'Cadastro Dizimistas'!$B$3:$C$502;2;FALSO);""))</f>
        <v/>
      </c>
      <c r="D229" s="4">
        <f>SE(A229="";"";ÍNDICE(Configurações!$B$35:$B$46;MÊS(A229)))</f>
        <v/>
      </c>
      <c r="E229" s="17" t="n"/>
      <c r="F229" s="3" t="n"/>
      <c r="G229" s="3" t="n"/>
      <c r="H229" s="3" t="n"/>
    </row>
    <row r="230">
      <c r="A230" s="15" t="n"/>
      <c r="B230" s="3" t="n"/>
      <c r="C230" s="4">
        <f>SE(B230="";"";SEERRO(PROCV(B230;'Cadastro Dizimistas'!$B$3:$C$502;2;FALSO);""))</f>
        <v/>
      </c>
      <c r="D230" s="4">
        <f>SE(A230="";"";ÍNDICE(Configurações!$B$35:$B$46;MÊS(A230)))</f>
        <v/>
      </c>
      <c r="E230" s="17" t="n"/>
      <c r="F230" s="3" t="n"/>
      <c r="G230" s="3" t="n"/>
      <c r="H230" s="3" t="n"/>
    </row>
    <row r="231">
      <c r="A231" s="15" t="n"/>
      <c r="B231" s="3" t="n"/>
      <c r="C231" s="4">
        <f>SE(B231="";"";SEERRO(PROCV(B231;'Cadastro Dizimistas'!$B$3:$C$502;2;FALSO);""))</f>
        <v/>
      </c>
      <c r="D231" s="4">
        <f>SE(A231="";"";ÍNDICE(Configurações!$B$35:$B$46;MÊS(A231)))</f>
        <v/>
      </c>
      <c r="E231" s="17" t="n"/>
      <c r="F231" s="3" t="n"/>
      <c r="G231" s="3" t="n"/>
      <c r="H231" s="3" t="n"/>
    </row>
    <row r="232">
      <c r="A232" s="15" t="n"/>
      <c r="B232" s="3" t="n"/>
      <c r="C232" s="4">
        <f>SE(B232="";"";SEERRO(PROCV(B232;'Cadastro Dizimistas'!$B$3:$C$502;2;FALSO);""))</f>
        <v/>
      </c>
      <c r="D232" s="4">
        <f>SE(A232="";"";ÍNDICE(Configurações!$B$35:$B$46;MÊS(A232)))</f>
        <v/>
      </c>
      <c r="E232" s="17" t="n"/>
      <c r="F232" s="3" t="n"/>
      <c r="G232" s="3" t="n"/>
      <c r="H232" s="3" t="n"/>
    </row>
    <row r="233">
      <c r="A233" s="15" t="n"/>
      <c r="B233" s="3" t="n"/>
      <c r="C233" s="4">
        <f>SE(B233="";"";SEERRO(PROCV(B233;'Cadastro Dizimistas'!$B$3:$C$502;2;FALSO);""))</f>
        <v/>
      </c>
      <c r="D233" s="4">
        <f>SE(A233="";"";ÍNDICE(Configurações!$B$35:$B$46;MÊS(A233)))</f>
        <v/>
      </c>
      <c r="E233" s="17" t="n"/>
      <c r="F233" s="3" t="n"/>
      <c r="G233" s="3" t="n"/>
      <c r="H233" s="3" t="n"/>
    </row>
    <row r="234">
      <c r="A234" s="15" t="n"/>
      <c r="B234" s="3" t="n"/>
      <c r="C234" s="4">
        <f>SE(B234="";"";SEERRO(PROCV(B234;'Cadastro Dizimistas'!$B$3:$C$502;2;FALSO);""))</f>
        <v/>
      </c>
      <c r="D234" s="4">
        <f>SE(A234="";"";ÍNDICE(Configurações!$B$35:$B$46;MÊS(A234)))</f>
        <v/>
      </c>
      <c r="E234" s="17" t="n"/>
      <c r="F234" s="3" t="n"/>
      <c r="G234" s="3" t="n"/>
      <c r="H234" s="3" t="n"/>
    </row>
    <row r="235">
      <c r="A235" s="15" t="n"/>
      <c r="B235" s="3" t="n"/>
      <c r="C235" s="4">
        <f>SE(B235="";"";SEERRO(PROCV(B235;'Cadastro Dizimistas'!$B$3:$C$502;2;FALSO);""))</f>
        <v/>
      </c>
      <c r="D235" s="4">
        <f>SE(A235="";"";ÍNDICE(Configurações!$B$35:$B$46;MÊS(A235)))</f>
        <v/>
      </c>
      <c r="E235" s="17" t="n"/>
      <c r="F235" s="3" t="n"/>
      <c r="G235" s="3" t="n"/>
      <c r="H235" s="3" t="n"/>
    </row>
    <row r="236">
      <c r="A236" s="15" t="n"/>
      <c r="B236" s="3" t="n"/>
      <c r="C236" s="4">
        <f>SE(B236="";"";SEERRO(PROCV(B236;'Cadastro Dizimistas'!$B$3:$C$502;2;FALSO);""))</f>
        <v/>
      </c>
      <c r="D236" s="4">
        <f>SE(A236="";"";ÍNDICE(Configurações!$B$35:$B$46;MÊS(A236)))</f>
        <v/>
      </c>
      <c r="E236" s="17" t="n"/>
      <c r="F236" s="3" t="n"/>
      <c r="G236" s="3" t="n"/>
      <c r="H236" s="3" t="n"/>
    </row>
    <row r="237">
      <c r="A237" s="15" t="n"/>
      <c r="B237" s="3" t="n"/>
      <c r="C237" s="4">
        <f>SE(B237="";"";SEERRO(PROCV(B237;'Cadastro Dizimistas'!$B$3:$C$502;2;FALSO);""))</f>
        <v/>
      </c>
      <c r="D237" s="4">
        <f>SE(A237="";"";ÍNDICE(Configurações!$B$35:$B$46;MÊS(A237)))</f>
        <v/>
      </c>
      <c r="E237" s="17" t="n"/>
      <c r="F237" s="3" t="n"/>
      <c r="G237" s="3" t="n"/>
      <c r="H237" s="3" t="n"/>
    </row>
    <row r="238">
      <c r="A238" s="15" t="n"/>
      <c r="B238" s="3" t="n"/>
      <c r="C238" s="4">
        <f>SE(B238="";"";SEERRO(PROCV(B238;'Cadastro Dizimistas'!$B$3:$C$502;2;FALSO);""))</f>
        <v/>
      </c>
      <c r="D238" s="4">
        <f>SE(A238="";"";ÍNDICE(Configurações!$B$35:$B$46;MÊS(A238)))</f>
        <v/>
      </c>
      <c r="E238" s="17" t="n"/>
      <c r="F238" s="3" t="n"/>
      <c r="G238" s="3" t="n"/>
      <c r="H238" s="3" t="n"/>
    </row>
    <row r="239">
      <c r="A239" s="15" t="n"/>
      <c r="B239" s="3" t="n"/>
      <c r="C239" s="4">
        <f>SE(B239="";"";SEERRO(PROCV(B239;'Cadastro Dizimistas'!$B$3:$C$502;2;FALSO);""))</f>
        <v/>
      </c>
      <c r="D239" s="4">
        <f>SE(A239="";"";ÍNDICE(Configurações!$B$35:$B$46;MÊS(A239)))</f>
        <v/>
      </c>
      <c r="E239" s="17" t="n"/>
      <c r="F239" s="3" t="n"/>
      <c r="G239" s="3" t="n"/>
      <c r="H239" s="3" t="n"/>
    </row>
    <row r="240">
      <c r="A240" s="15" t="n"/>
      <c r="B240" s="3" t="n"/>
      <c r="C240" s="4">
        <f>SE(B240="";"";SEERRO(PROCV(B240;'Cadastro Dizimistas'!$B$3:$C$502;2;FALSO);""))</f>
        <v/>
      </c>
      <c r="D240" s="4">
        <f>SE(A240="";"";ÍNDICE(Configurações!$B$35:$B$46;MÊS(A240)))</f>
        <v/>
      </c>
      <c r="E240" s="17" t="n"/>
      <c r="F240" s="3" t="n"/>
      <c r="G240" s="3" t="n"/>
      <c r="H240" s="3" t="n"/>
    </row>
    <row r="241">
      <c r="A241" s="15" t="n"/>
      <c r="B241" s="3" t="n"/>
      <c r="C241" s="4">
        <f>SE(B241="";"";SEERRO(PROCV(B241;'Cadastro Dizimistas'!$B$3:$C$502;2;FALSO);""))</f>
        <v/>
      </c>
      <c r="D241" s="4">
        <f>SE(A241="";"";ÍNDICE(Configurações!$B$35:$B$46;MÊS(A241)))</f>
        <v/>
      </c>
      <c r="E241" s="17" t="n"/>
      <c r="F241" s="3" t="n"/>
      <c r="G241" s="3" t="n"/>
      <c r="H241" s="3" t="n"/>
    </row>
    <row r="242">
      <c r="A242" s="15" t="n"/>
      <c r="B242" s="3" t="n"/>
      <c r="C242" s="4">
        <f>SE(B242="";"";SEERRO(PROCV(B242;'Cadastro Dizimistas'!$B$3:$C$502;2;FALSO);""))</f>
        <v/>
      </c>
      <c r="D242" s="4">
        <f>SE(A242="";"";ÍNDICE(Configurações!$B$35:$B$46;MÊS(A242)))</f>
        <v/>
      </c>
      <c r="E242" s="17" t="n"/>
      <c r="F242" s="3" t="n"/>
      <c r="G242" s="3" t="n"/>
      <c r="H242" s="3" t="n"/>
    </row>
    <row r="243">
      <c r="A243" s="15" t="n"/>
      <c r="B243" s="3" t="n"/>
      <c r="C243" s="4">
        <f>SE(B243="";"";SEERRO(PROCV(B243;'Cadastro Dizimistas'!$B$3:$C$502;2;FALSO);""))</f>
        <v/>
      </c>
      <c r="D243" s="4">
        <f>SE(A243="";"";ÍNDICE(Configurações!$B$35:$B$46;MÊS(A243)))</f>
        <v/>
      </c>
      <c r="E243" s="17" t="n"/>
      <c r="F243" s="3" t="n"/>
      <c r="G243" s="3" t="n"/>
      <c r="H243" s="3" t="n"/>
    </row>
    <row r="244">
      <c r="A244" s="15" t="n"/>
      <c r="B244" s="3" t="n"/>
      <c r="C244" s="4">
        <f>SE(B244="";"";SEERRO(PROCV(B244;'Cadastro Dizimistas'!$B$3:$C$502;2;FALSO);""))</f>
        <v/>
      </c>
      <c r="D244" s="4">
        <f>SE(A244="";"";ÍNDICE(Configurações!$B$35:$B$46;MÊS(A244)))</f>
        <v/>
      </c>
      <c r="E244" s="17" t="n"/>
      <c r="F244" s="3" t="n"/>
      <c r="G244" s="3" t="n"/>
      <c r="H244" s="3" t="n"/>
    </row>
    <row r="245">
      <c r="A245" s="15" t="n"/>
      <c r="B245" s="3" t="n"/>
      <c r="C245" s="4">
        <f>SE(B245="";"";SEERRO(PROCV(B245;'Cadastro Dizimistas'!$B$3:$C$502;2;FALSO);""))</f>
        <v/>
      </c>
      <c r="D245" s="4">
        <f>SE(A245="";"";ÍNDICE(Configurações!$B$35:$B$46;MÊS(A245)))</f>
        <v/>
      </c>
      <c r="E245" s="17" t="n"/>
      <c r="F245" s="3" t="n"/>
      <c r="G245" s="3" t="n"/>
      <c r="H245" s="3" t="n"/>
    </row>
    <row r="246">
      <c r="A246" s="15" t="n"/>
      <c r="B246" s="3" t="n"/>
      <c r="C246" s="4">
        <f>SE(B246="";"";SEERRO(PROCV(B246;'Cadastro Dizimistas'!$B$3:$C$502;2;FALSO);""))</f>
        <v/>
      </c>
      <c r="D246" s="4">
        <f>SE(A246="";"";ÍNDICE(Configurações!$B$35:$B$46;MÊS(A246)))</f>
        <v/>
      </c>
      <c r="E246" s="17" t="n"/>
      <c r="F246" s="3" t="n"/>
      <c r="G246" s="3" t="n"/>
      <c r="H246" s="3" t="n"/>
    </row>
    <row r="247">
      <c r="A247" s="15" t="n"/>
      <c r="B247" s="3" t="n"/>
      <c r="C247" s="4">
        <f>SE(B247="";"";SEERRO(PROCV(B247;'Cadastro Dizimistas'!$B$3:$C$502;2;FALSO);""))</f>
        <v/>
      </c>
      <c r="D247" s="4">
        <f>SE(A247="";"";ÍNDICE(Configurações!$B$35:$B$46;MÊS(A247)))</f>
        <v/>
      </c>
      <c r="E247" s="17" t="n"/>
      <c r="F247" s="3" t="n"/>
      <c r="G247" s="3" t="n"/>
      <c r="H247" s="3" t="n"/>
    </row>
    <row r="248">
      <c r="A248" s="15" t="n"/>
      <c r="B248" s="3" t="n"/>
      <c r="C248" s="4">
        <f>SE(B248="";"";SEERRO(PROCV(B248;'Cadastro Dizimistas'!$B$3:$C$502;2;FALSO);""))</f>
        <v/>
      </c>
      <c r="D248" s="4">
        <f>SE(A248="";"";ÍNDICE(Configurações!$B$35:$B$46;MÊS(A248)))</f>
        <v/>
      </c>
      <c r="E248" s="17" t="n"/>
      <c r="F248" s="3" t="n"/>
      <c r="G248" s="3" t="n"/>
      <c r="H248" s="3" t="n"/>
    </row>
    <row r="249">
      <c r="A249" s="15" t="n"/>
      <c r="B249" s="3" t="n"/>
      <c r="C249" s="4">
        <f>SE(B249="";"";SEERRO(PROCV(B249;'Cadastro Dizimistas'!$B$3:$C$502;2;FALSO);""))</f>
        <v/>
      </c>
      <c r="D249" s="4">
        <f>SE(A249="";"";ÍNDICE(Configurações!$B$35:$B$46;MÊS(A249)))</f>
        <v/>
      </c>
      <c r="E249" s="17" t="n"/>
      <c r="F249" s="3" t="n"/>
      <c r="G249" s="3" t="n"/>
      <c r="H249" s="3" t="n"/>
    </row>
    <row r="250">
      <c r="A250" s="15" t="n"/>
      <c r="B250" s="3" t="n"/>
      <c r="C250" s="4">
        <f>SE(B250="";"";SEERRO(PROCV(B250;'Cadastro Dizimistas'!$B$3:$C$502;2;FALSO);""))</f>
        <v/>
      </c>
      <c r="D250" s="4">
        <f>SE(A250="";"";ÍNDICE(Configurações!$B$35:$B$46;MÊS(A250)))</f>
        <v/>
      </c>
      <c r="E250" s="17" t="n"/>
      <c r="F250" s="3" t="n"/>
      <c r="G250" s="3" t="n"/>
      <c r="H250" s="3" t="n"/>
    </row>
    <row r="251">
      <c r="A251" s="15" t="n"/>
      <c r="B251" s="3" t="n"/>
      <c r="C251" s="4">
        <f>SE(B251="";"";SEERRO(PROCV(B251;'Cadastro Dizimistas'!$B$3:$C$502;2;FALSO);""))</f>
        <v/>
      </c>
      <c r="D251" s="4">
        <f>SE(A251="";"";ÍNDICE(Configurações!$B$35:$B$46;MÊS(A251)))</f>
        <v/>
      </c>
      <c r="E251" s="17" t="n"/>
      <c r="F251" s="3" t="n"/>
      <c r="G251" s="3" t="n"/>
      <c r="H251" s="3" t="n"/>
    </row>
    <row r="252">
      <c r="A252" s="15" t="n"/>
      <c r="B252" s="3" t="n"/>
      <c r="C252" s="4">
        <f>SE(B252="";"";SEERRO(PROCV(B252;'Cadastro Dizimistas'!$B$3:$C$502;2;FALSO);""))</f>
        <v/>
      </c>
      <c r="D252" s="4">
        <f>SE(A252="";"";ÍNDICE(Configurações!$B$35:$B$46;MÊS(A252)))</f>
        <v/>
      </c>
      <c r="E252" s="17" t="n"/>
      <c r="F252" s="3" t="n"/>
      <c r="G252" s="3" t="n"/>
      <c r="H252" s="3" t="n"/>
    </row>
    <row r="253">
      <c r="A253" s="15" t="n"/>
      <c r="B253" s="3" t="n"/>
      <c r="C253" s="4">
        <f>SE(B253="";"";SEERRO(PROCV(B253;'Cadastro Dizimistas'!$B$3:$C$502;2;FALSO);""))</f>
        <v/>
      </c>
      <c r="D253" s="4">
        <f>SE(A253="";"";ÍNDICE(Configurações!$B$35:$B$46;MÊS(A253)))</f>
        <v/>
      </c>
      <c r="E253" s="17" t="n"/>
      <c r="F253" s="3" t="n"/>
      <c r="G253" s="3" t="n"/>
      <c r="H253" s="3" t="n"/>
    </row>
    <row r="254">
      <c r="A254" s="15" t="n"/>
      <c r="B254" s="3" t="n"/>
      <c r="C254" s="4">
        <f>SE(B254="";"";SEERRO(PROCV(B254;'Cadastro Dizimistas'!$B$3:$C$502;2;FALSO);""))</f>
        <v/>
      </c>
      <c r="D254" s="4">
        <f>SE(A254="";"";ÍNDICE(Configurações!$B$35:$B$46;MÊS(A254)))</f>
        <v/>
      </c>
      <c r="E254" s="17" t="n"/>
      <c r="F254" s="3" t="n"/>
      <c r="G254" s="3" t="n"/>
      <c r="H254" s="3" t="n"/>
    </row>
    <row r="255">
      <c r="A255" s="15" t="n"/>
      <c r="B255" s="3" t="n"/>
      <c r="C255" s="4">
        <f>SE(B255="";"";SEERRO(PROCV(B255;'Cadastro Dizimistas'!$B$3:$C$502;2;FALSO);""))</f>
        <v/>
      </c>
      <c r="D255" s="4">
        <f>SE(A255="";"";ÍNDICE(Configurações!$B$35:$B$46;MÊS(A255)))</f>
        <v/>
      </c>
      <c r="E255" s="17" t="n"/>
      <c r="F255" s="3" t="n"/>
      <c r="G255" s="3" t="n"/>
      <c r="H255" s="3" t="n"/>
    </row>
    <row r="256">
      <c r="A256" s="15" t="n"/>
      <c r="B256" s="3" t="n"/>
      <c r="C256" s="4">
        <f>SE(B256="";"";SEERRO(PROCV(B256;'Cadastro Dizimistas'!$B$3:$C$502;2;FALSO);""))</f>
        <v/>
      </c>
      <c r="D256" s="4">
        <f>SE(A256="";"";ÍNDICE(Configurações!$B$35:$B$46;MÊS(A256)))</f>
        <v/>
      </c>
      <c r="E256" s="17" t="n"/>
      <c r="F256" s="3" t="n"/>
      <c r="G256" s="3" t="n"/>
      <c r="H256" s="3" t="n"/>
    </row>
    <row r="257">
      <c r="A257" s="15" t="n"/>
      <c r="B257" s="3" t="n"/>
      <c r="C257" s="4">
        <f>SE(B257="";"";SEERRO(PROCV(B257;'Cadastro Dizimistas'!$B$3:$C$502;2;FALSO);""))</f>
        <v/>
      </c>
      <c r="D257" s="4">
        <f>SE(A257="";"";ÍNDICE(Configurações!$B$35:$B$46;MÊS(A257)))</f>
        <v/>
      </c>
      <c r="E257" s="17" t="n"/>
      <c r="F257" s="3" t="n"/>
      <c r="G257" s="3" t="n"/>
      <c r="H257" s="3" t="n"/>
    </row>
    <row r="258">
      <c r="A258" s="15" t="n"/>
      <c r="B258" s="3" t="n"/>
      <c r="C258" s="4">
        <f>SE(B258="";"";SEERRO(PROCV(B258;'Cadastro Dizimistas'!$B$3:$C$502;2;FALSO);""))</f>
        <v/>
      </c>
      <c r="D258" s="4">
        <f>SE(A258="";"";ÍNDICE(Configurações!$B$35:$B$46;MÊS(A258)))</f>
        <v/>
      </c>
      <c r="E258" s="17" t="n"/>
      <c r="F258" s="3" t="n"/>
      <c r="G258" s="3" t="n"/>
      <c r="H258" s="3" t="n"/>
    </row>
    <row r="259">
      <c r="A259" s="15" t="n"/>
      <c r="B259" s="3" t="n"/>
      <c r="C259" s="4">
        <f>SE(B259="";"";SEERRO(PROCV(B259;'Cadastro Dizimistas'!$B$3:$C$502;2;FALSO);""))</f>
        <v/>
      </c>
      <c r="D259" s="4">
        <f>SE(A259="";"";ÍNDICE(Configurações!$B$35:$B$46;MÊS(A259)))</f>
        <v/>
      </c>
      <c r="E259" s="17" t="n"/>
      <c r="F259" s="3" t="n"/>
      <c r="G259" s="3" t="n"/>
      <c r="H259" s="3" t="n"/>
    </row>
    <row r="260">
      <c r="A260" s="15" t="n"/>
      <c r="B260" s="3" t="n"/>
      <c r="C260" s="4">
        <f>SE(B260="";"";SEERRO(PROCV(B260;'Cadastro Dizimistas'!$B$3:$C$502;2;FALSO);""))</f>
        <v/>
      </c>
      <c r="D260" s="4">
        <f>SE(A260="";"";ÍNDICE(Configurações!$B$35:$B$46;MÊS(A260)))</f>
        <v/>
      </c>
      <c r="E260" s="17" t="n"/>
      <c r="F260" s="3" t="n"/>
      <c r="G260" s="3" t="n"/>
      <c r="H260" s="3" t="n"/>
    </row>
    <row r="261">
      <c r="A261" s="15" t="n"/>
      <c r="B261" s="3" t="n"/>
      <c r="C261" s="4">
        <f>SE(B261="";"";SEERRO(PROCV(B261;'Cadastro Dizimistas'!$B$3:$C$502;2;FALSO);""))</f>
        <v/>
      </c>
      <c r="D261" s="4">
        <f>SE(A261="";"";ÍNDICE(Configurações!$B$35:$B$46;MÊS(A261)))</f>
        <v/>
      </c>
      <c r="E261" s="17" t="n"/>
      <c r="F261" s="3" t="n"/>
      <c r="G261" s="3" t="n"/>
      <c r="H261" s="3" t="n"/>
    </row>
    <row r="262">
      <c r="A262" s="15" t="n"/>
      <c r="B262" s="3" t="n"/>
      <c r="C262" s="4">
        <f>SE(B262="";"";SEERRO(PROCV(B262;'Cadastro Dizimistas'!$B$3:$C$502;2;FALSO);""))</f>
        <v/>
      </c>
      <c r="D262" s="4">
        <f>SE(A262="";"";ÍNDICE(Configurações!$B$35:$B$46;MÊS(A262)))</f>
        <v/>
      </c>
      <c r="E262" s="17" t="n"/>
      <c r="F262" s="3" t="n"/>
      <c r="G262" s="3" t="n"/>
      <c r="H262" s="3" t="n"/>
    </row>
    <row r="263">
      <c r="A263" s="15" t="n"/>
      <c r="B263" s="3" t="n"/>
      <c r="C263" s="4">
        <f>SE(B263="";"";SEERRO(PROCV(B263;'Cadastro Dizimistas'!$B$3:$C$502;2;FALSO);""))</f>
        <v/>
      </c>
      <c r="D263" s="4">
        <f>SE(A263="";"";ÍNDICE(Configurações!$B$35:$B$46;MÊS(A263)))</f>
        <v/>
      </c>
      <c r="E263" s="17" t="n"/>
      <c r="F263" s="3" t="n"/>
      <c r="G263" s="3" t="n"/>
      <c r="H263" s="3" t="n"/>
    </row>
    <row r="264">
      <c r="A264" s="15" t="n"/>
      <c r="B264" s="3" t="n"/>
      <c r="C264" s="4">
        <f>SE(B264="";"";SEERRO(PROCV(B264;'Cadastro Dizimistas'!$B$3:$C$502;2;FALSO);""))</f>
        <v/>
      </c>
      <c r="D264" s="4">
        <f>SE(A264="";"";ÍNDICE(Configurações!$B$35:$B$46;MÊS(A264)))</f>
        <v/>
      </c>
      <c r="E264" s="17" t="n"/>
      <c r="F264" s="3" t="n"/>
      <c r="G264" s="3" t="n"/>
      <c r="H264" s="3" t="n"/>
    </row>
    <row r="265">
      <c r="A265" s="15" t="n"/>
      <c r="B265" s="3" t="n"/>
      <c r="C265" s="4">
        <f>SE(B265="";"";SEERRO(PROCV(B265;'Cadastro Dizimistas'!$B$3:$C$502;2;FALSO);""))</f>
        <v/>
      </c>
      <c r="D265" s="4">
        <f>SE(A265="";"";ÍNDICE(Configurações!$B$35:$B$46;MÊS(A265)))</f>
        <v/>
      </c>
      <c r="E265" s="17" t="n"/>
      <c r="F265" s="3" t="n"/>
      <c r="G265" s="3" t="n"/>
      <c r="H265" s="3" t="n"/>
    </row>
    <row r="266">
      <c r="A266" s="15" t="n"/>
      <c r="B266" s="3" t="n"/>
      <c r="C266" s="4">
        <f>SE(B266="";"";SEERRO(PROCV(B266;'Cadastro Dizimistas'!$B$3:$C$502;2;FALSO);""))</f>
        <v/>
      </c>
      <c r="D266" s="4">
        <f>SE(A266="";"";ÍNDICE(Configurações!$B$35:$B$46;MÊS(A266)))</f>
        <v/>
      </c>
      <c r="E266" s="17" t="n"/>
      <c r="F266" s="3" t="n"/>
      <c r="G266" s="3" t="n"/>
      <c r="H266" s="3" t="n"/>
    </row>
    <row r="267">
      <c r="A267" s="15" t="n"/>
      <c r="B267" s="3" t="n"/>
      <c r="C267" s="4">
        <f>SE(B267="";"";SEERRO(PROCV(B267;'Cadastro Dizimistas'!$B$3:$C$502;2;FALSO);""))</f>
        <v/>
      </c>
      <c r="D267" s="4">
        <f>SE(A267="";"";ÍNDICE(Configurações!$B$35:$B$46;MÊS(A267)))</f>
        <v/>
      </c>
      <c r="E267" s="17" t="n"/>
      <c r="F267" s="3" t="n"/>
      <c r="G267" s="3" t="n"/>
      <c r="H267" s="3" t="n"/>
    </row>
    <row r="268">
      <c r="A268" s="15" t="n"/>
      <c r="B268" s="3" t="n"/>
      <c r="C268" s="4">
        <f>SE(B268="";"";SEERRO(PROCV(B268;'Cadastro Dizimistas'!$B$3:$C$502;2;FALSO);""))</f>
        <v/>
      </c>
      <c r="D268" s="4">
        <f>SE(A268="";"";ÍNDICE(Configurações!$B$35:$B$46;MÊS(A268)))</f>
        <v/>
      </c>
      <c r="E268" s="17" t="n"/>
      <c r="F268" s="3" t="n"/>
      <c r="G268" s="3" t="n"/>
      <c r="H268" s="3" t="n"/>
    </row>
    <row r="269">
      <c r="A269" s="15" t="n"/>
      <c r="B269" s="3" t="n"/>
      <c r="C269" s="4">
        <f>SE(B269="";"";SEERRO(PROCV(B269;'Cadastro Dizimistas'!$B$3:$C$502;2;FALSO);""))</f>
        <v/>
      </c>
      <c r="D269" s="4">
        <f>SE(A269="";"";ÍNDICE(Configurações!$B$35:$B$46;MÊS(A269)))</f>
        <v/>
      </c>
      <c r="E269" s="17" t="n"/>
      <c r="F269" s="3" t="n"/>
      <c r="G269" s="3" t="n"/>
      <c r="H269" s="3" t="n"/>
    </row>
    <row r="270">
      <c r="A270" s="15" t="n"/>
      <c r="B270" s="3" t="n"/>
      <c r="C270" s="4">
        <f>SE(B270="";"";SEERRO(PROCV(B270;'Cadastro Dizimistas'!$B$3:$C$502;2;FALSO);""))</f>
        <v/>
      </c>
      <c r="D270" s="4">
        <f>SE(A270="";"";ÍNDICE(Configurações!$B$35:$B$46;MÊS(A270)))</f>
        <v/>
      </c>
      <c r="E270" s="17" t="n"/>
      <c r="F270" s="3" t="n"/>
      <c r="G270" s="3" t="n"/>
      <c r="H270" s="3" t="n"/>
    </row>
    <row r="271">
      <c r="A271" s="15" t="n"/>
      <c r="B271" s="3" t="n"/>
      <c r="C271" s="4">
        <f>SE(B271="";"";SEERRO(PROCV(B271;'Cadastro Dizimistas'!$B$3:$C$502;2;FALSO);""))</f>
        <v/>
      </c>
      <c r="D271" s="4">
        <f>SE(A271="";"";ÍNDICE(Configurações!$B$35:$B$46;MÊS(A271)))</f>
        <v/>
      </c>
      <c r="E271" s="17" t="n"/>
      <c r="F271" s="3" t="n"/>
      <c r="G271" s="3" t="n"/>
      <c r="H271" s="3" t="n"/>
    </row>
    <row r="272">
      <c r="A272" s="15" t="n"/>
      <c r="B272" s="3" t="n"/>
      <c r="C272" s="4">
        <f>SE(B272="";"";SEERRO(PROCV(B272;'Cadastro Dizimistas'!$B$3:$C$502;2;FALSO);""))</f>
        <v/>
      </c>
      <c r="D272" s="4">
        <f>SE(A272="";"";ÍNDICE(Configurações!$B$35:$B$46;MÊS(A272)))</f>
        <v/>
      </c>
      <c r="E272" s="17" t="n"/>
      <c r="F272" s="3" t="n"/>
      <c r="G272" s="3" t="n"/>
      <c r="H272" s="3" t="n"/>
    </row>
    <row r="273">
      <c r="A273" s="15" t="n"/>
      <c r="B273" s="3" t="n"/>
      <c r="C273" s="4">
        <f>SE(B273="";"";SEERRO(PROCV(B273;'Cadastro Dizimistas'!$B$3:$C$502;2;FALSO);""))</f>
        <v/>
      </c>
      <c r="D273" s="4">
        <f>SE(A273="";"";ÍNDICE(Configurações!$B$35:$B$46;MÊS(A273)))</f>
        <v/>
      </c>
      <c r="E273" s="17" t="n"/>
      <c r="F273" s="3" t="n"/>
      <c r="G273" s="3" t="n"/>
      <c r="H273" s="3" t="n"/>
    </row>
    <row r="274">
      <c r="A274" s="15" t="n"/>
      <c r="B274" s="3" t="n"/>
      <c r="C274" s="4">
        <f>SE(B274="";"";SEERRO(PROCV(B274;'Cadastro Dizimistas'!$B$3:$C$502;2;FALSO);""))</f>
        <v/>
      </c>
      <c r="D274" s="4">
        <f>SE(A274="";"";ÍNDICE(Configurações!$B$35:$B$46;MÊS(A274)))</f>
        <v/>
      </c>
      <c r="E274" s="17" t="n"/>
      <c r="F274" s="3" t="n"/>
      <c r="G274" s="3" t="n"/>
      <c r="H274" s="3" t="n"/>
    </row>
    <row r="275">
      <c r="A275" s="15" t="n"/>
      <c r="B275" s="3" t="n"/>
      <c r="C275" s="4">
        <f>SE(B275="";"";SEERRO(PROCV(B275;'Cadastro Dizimistas'!$B$3:$C$502;2;FALSO);""))</f>
        <v/>
      </c>
      <c r="D275" s="4">
        <f>SE(A275="";"";ÍNDICE(Configurações!$B$35:$B$46;MÊS(A275)))</f>
        <v/>
      </c>
      <c r="E275" s="17" t="n"/>
      <c r="F275" s="3" t="n"/>
      <c r="G275" s="3" t="n"/>
      <c r="H275" s="3" t="n"/>
    </row>
    <row r="276">
      <c r="A276" s="15" t="n"/>
      <c r="B276" s="3" t="n"/>
      <c r="C276" s="4">
        <f>SE(B276="";"";SEERRO(PROCV(B276;'Cadastro Dizimistas'!$B$3:$C$502;2;FALSO);""))</f>
        <v/>
      </c>
      <c r="D276" s="4">
        <f>SE(A276="";"";ÍNDICE(Configurações!$B$35:$B$46;MÊS(A276)))</f>
        <v/>
      </c>
      <c r="E276" s="17" t="n"/>
      <c r="F276" s="3" t="n"/>
      <c r="G276" s="3" t="n"/>
      <c r="H276" s="3" t="n"/>
    </row>
    <row r="277">
      <c r="A277" s="15" t="n"/>
      <c r="B277" s="3" t="n"/>
      <c r="C277" s="4">
        <f>SE(B277="";"";SEERRO(PROCV(B277;'Cadastro Dizimistas'!$B$3:$C$502;2;FALSO);""))</f>
        <v/>
      </c>
      <c r="D277" s="4">
        <f>SE(A277="";"";ÍNDICE(Configurações!$B$35:$B$46;MÊS(A277)))</f>
        <v/>
      </c>
      <c r="E277" s="17" t="n"/>
      <c r="F277" s="3" t="n"/>
      <c r="G277" s="3" t="n"/>
      <c r="H277" s="3" t="n"/>
    </row>
    <row r="278">
      <c r="A278" s="15" t="n"/>
      <c r="B278" s="3" t="n"/>
      <c r="C278" s="4">
        <f>SE(B278="";"";SEERRO(PROCV(B278;'Cadastro Dizimistas'!$B$3:$C$502;2;FALSO);""))</f>
        <v/>
      </c>
      <c r="D278" s="4">
        <f>SE(A278="";"";ÍNDICE(Configurações!$B$35:$B$46;MÊS(A278)))</f>
        <v/>
      </c>
      <c r="E278" s="17" t="n"/>
      <c r="F278" s="3" t="n"/>
      <c r="G278" s="3" t="n"/>
      <c r="H278" s="3" t="n"/>
    </row>
    <row r="279">
      <c r="A279" s="15" t="n"/>
      <c r="B279" s="3" t="n"/>
      <c r="C279" s="4">
        <f>SE(B279="";"";SEERRO(PROCV(B279;'Cadastro Dizimistas'!$B$3:$C$502;2;FALSO);""))</f>
        <v/>
      </c>
      <c r="D279" s="4">
        <f>SE(A279="";"";ÍNDICE(Configurações!$B$35:$B$46;MÊS(A279)))</f>
        <v/>
      </c>
      <c r="E279" s="17" t="n"/>
      <c r="F279" s="3" t="n"/>
      <c r="G279" s="3" t="n"/>
      <c r="H279" s="3" t="n"/>
    </row>
    <row r="280">
      <c r="A280" s="15" t="n"/>
      <c r="B280" s="3" t="n"/>
      <c r="C280" s="4">
        <f>SE(B280="";"";SEERRO(PROCV(B280;'Cadastro Dizimistas'!$B$3:$C$502;2;FALSO);""))</f>
        <v/>
      </c>
      <c r="D280" s="4">
        <f>SE(A280="";"";ÍNDICE(Configurações!$B$35:$B$46;MÊS(A280)))</f>
        <v/>
      </c>
      <c r="E280" s="17" t="n"/>
      <c r="F280" s="3" t="n"/>
      <c r="G280" s="3" t="n"/>
      <c r="H280" s="3" t="n"/>
    </row>
    <row r="281">
      <c r="A281" s="15" t="n"/>
      <c r="B281" s="3" t="n"/>
      <c r="C281" s="4">
        <f>SE(B281="";"";SEERRO(PROCV(B281;'Cadastro Dizimistas'!$B$3:$C$502;2;FALSO);""))</f>
        <v/>
      </c>
      <c r="D281" s="4">
        <f>SE(A281="";"";ÍNDICE(Configurações!$B$35:$B$46;MÊS(A281)))</f>
        <v/>
      </c>
      <c r="E281" s="17" t="n"/>
      <c r="F281" s="3" t="n"/>
      <c r="G281" s="3" t="n"/>
      <c r="H281" s="3" t="n"/>
    </row>
    <row r="282">
      <c r="A282" s="15" t="n"/>
      <c r="B282" s="3" t="n"/>
      <c r="C282" s="4">
        <f>SE(B282="";"";SEERRO(PROCV(B282;'Cadastro Dizimistas'!$B$3:$C$502;2;FALSO);""))</f>
        <v/>
      </c>
      <c r="D282" s="4">
        <f>SE(A282="";"";ÍNDICE(Configurações!$B$35:$B$46;MÊS(A282)))</f>
        <v/>
      </c>
      <c r="E282" s="17" t="n"/>
      <c r="F282" s="3" t="n"/>
      <c r="G282" s="3" t="n"/>
      <c r="H282" s="3" t="n"/>
    </row>
    <row r="283">
      <c r="A283" s="15" t="n"/>
      <c r="B283" s="3" t="n"/>
      <c r="C283" s="4">
        <f>SE(B283="";"";SEERRO(PROCV(B283;'Cadastro Dizimistas'!$B$3:$C$502;2;FALSO);""))</f>
        <v/>
      </c>
      <c r="D283" s="4">
        <f>SE(A283="";"";ÍNDICE(Configurações!$B$35:$B$46;MÊS(A283)))</f>
        <v/>
      </c>
      <c r="E283" s="17" t="n"/>
      <c r="F283" s="3" t="n"/>
      <c r="G283" s="3" t="n"/>
      <c r="H283" s="3" t="n"/>
    </row>
    <row r="284">
      <c r="A284" s="15" t="n"/>
      <c r="B284" s="3" t="n"/>
      <c r="C284" s="4">
        <f>SE(B284="";"";SEERRO(PROCV(B284;'Cadastro Dizimistas'!$B$3:$C$502;2;FALSO);""))</f>
        <v/>
      </c>
      <c r="D284" s="4">
        <f>SE(A284="";"";ÍNDICE(Configurações!$B$35:$B$46;MÊS(A284)))</f>
        <v/>
      </c>
      <c r="E284" s="17" t="n"/>
      <c r="F284" s="3" t="n"/>
      <c r="G284" s="3" t="n"/>
      <c r="H284" s="3" t="n"/>
    </row>
    <row r="285">
      <c r="A285" s="15" t="n"/>
      <c r="B285" s="3" t="n"/>
      <c r="C285" s="4">
        <f>SE(B285="";"";SEERRO(PROCV(B285;'Cadastro Dizimistas'!$B$3:$C$502;2;FALSO);""))</f>
        <v/>
      </c>
      <c r="D285" s="4">
        <f>SE(A285="";"";ÍNDICE(Configurações!$B$35:$B$46;MÊS(A285)))</f>
        <v/>
      </c>
      <c r="E285" s="17" t="n"/>
      <c r="F285" s="3" t="n"/>
      <c r="G285" s="3" t="n"/>
      <c r="H285" s="3" t="n"/>
    </row>
    <row r="286">
      <c r="A286" s="15" t="n"/>
      <c r="B286" s="3" t="n"/>
      <c r="C286" s="4">
        <f>SE(B286="";"";SEERRO(PROCV(B286;'Cadastro Dizimistas'!$B$3:$C$502;2;FALSO);""))</f>
        <v/>
      </c>
      <c r="D286" s="4">
        <f>SE(A286="";"";ÍNDICE(Configurações!$B$35:$B$46;MÊS(A286)))</f>
        <v/>
      </c>
      <c r="E286" s="17" t="n"/>
      <c r="F286" s="3" t="n"/>
      <c r="G286" s="3" t="n"/>
      <c r="H286" s="3" t="n"/>
    </row>
    <row r="287">
      <c r="A287" s="15" t="n"/>
      <c r="B287" s="3" t="n"/>
      <c r="C287" s="4">
        <f>SE(B287="";"";SEERRO(PROCV(B287;'Cadastro Dizimistas'!$B$3:$C$502;2;FALSO);""))</f>
        <v/>
      </c>
      <c r="D287" s="4">
        <f>SE(A287="";"";ÍNDICE(Configurações!$B$35:$B$46;MÊS(A287)))</f>
        <v/>
      </c>
      <c r="E287" s="17" t="n"/>
      <c r="F287" s="3" t="n"/>
      <c r="G287" s="3" t="n"/>
      <c r="H287" s="3" t="n"/>
    </row>
    <row r="288">
      <c r="A288" s="15" t="n"/>
      <c r="B288" s="3" t="n"/>
      <c r="C288" s="4">
        <f>SE(B288="";"";SEERRO(PROCV(B288;'Cadastro Dizimistas'!$B$3:$C$502;2;FALSO);""))</f>
        <v/>
      </c>
      <c r="D288" s="4">
        <f>SE(A288="";"";ÍNDICE(Configurações!$B$35:$B$46;MÊS(A288)))</f>
        <v/>
      </c>
      <c r="E288" s="17" t="n"/>
      <c r="F288" s="3" t="n"/>
      <c r="G288" s="3" t="n"/>
      <c r="H288" s="3" t="n"/>
    </row>
    <row r="289">
      <c r="A289" s="15" t="n"/>
      <c r="B289" s="3" t="n"/>
      <c r="C289" s="4">
        <f>SE(B289="";"";SEERRO(PROCV(B289;'Cadastro Dizimistas'!$B$3:$C$502;2;FALSO);""))</f>
        <v/>
      </c>
      <c r="D289" s="4">
        <f>SE(A289="";"";ÍNDICE(Configurações!$B$35:$B$46;MÊS(A289)))</f>
        <v/>
      </c>
      <c r="E289" s="17" t="n"/>
      <c r="F289" s="3" t="n"/>
      <c r="G289" s="3" t="n"/>
      <c r="H289" s="3" t="n"/>
    </row>
    <row r="290">
      <c r="A290" s="15" t="n"/>
      <c r="B290" s="3" t="n"/>
      <c r="C290" s="4">
        <f>SE(B290="";"";SEERRO(PROCV(B290;'Cadastro Dizimistas'!$B$3:$C$502;2;FALSO);""))</f>
        <v/>
      </c>
      <c r="D290" s="4">
        <f>SE(A290="";"";ÍNDICE(Configurações!$B$35:$B$46;MÊS(A290)))</f>
        <v/>
      </c>
      <c r="E290" s="17" t="n"/>
      <c r="F290" s="3" t="n"/>
      <c r="G290" s="3" t="n"/>
      <c r="H290" s="3" t="n"/>
    </row>
    <row r="291">
      <c r="A291" s="15" t="n"/>
      <c r="B291" s="3" t="n"/>
      <c r="C291" s="4">
        <f>SE(B291="";"";SEERRO(PROCV(B291;'Cadastro Dizimistas'!$B$3:$C$502;2;FALSO);""))</f>
        <v/>
      </c>
      <c r="D291" s="4">
        <f>SE(A291="";"";ÍNDICE(Configurações!$B$35:$B$46;MÊS(A291)))</f>
        <v/>
      </c>
      <c r="E291" s="17" t="n"/>
      <c r="F291" s="3" t="n"/>
      <c r="G291" s="3" t="n"/>
      <c r="H291" s="3" t="n"/>
    </row>
    <row r="292">
      <c r="A292" s="15" t="n"/>
      <c r="B292" s="3" t="n"/>
      <c r="C292" s="4">
        <f>SE(B292="";"";SEERRO(PROCV(B292;'Cadastro Dizimistas'!$B$3:$C$502;2;FALSO);""))</f>
        <v/>
      </c>
      <c r="D292" s="4">
        <f>SE(A292="";"";ÍNDICE(Configurações!$B$35:$B$46;MÊS(A292)))</f>
        <v/>
      </c>
      <c r="E292" s="17" t="n"/>
      <c r="F292" s="3" t="n"/>
      <c r="G292" s="3" t="n"/>
      <c r="H292" s="3" t="n"/>
    </row>
    <row r="293">
      <c r="A293" s="15" t="n"/>
      <c r="B293" s="3" t="n"/>
      <c r="C293" s="4">
        <f>SE(B293="";"";SEERRO(PROCV(B293;'Cadastro Dizimistas'!$B$3:$C$502;2;FALSO);""))</f>
        <v/>
      </c>
      <c r="D293" s="4">
        <f>SE(A293="";"";ÍNDICE(Configurações!$B$35:$B$46;MÊS(A293)))</f>
        <v/>
      </c>
      <c r="E293" s="17" t="n"/>
      <c r="F293" s="3" t="n"/>
      <c r="G293" s="3" t="n"/>
      <c r="H293" s="3" t="n"/>
    </row>
    <row r="294">
      <c r="A294" s="15" t="n"/>
      <c r="B294" s="3" t="n"/>
      <c r="C294" s="4">
        <f>SE(B294="";"";SEERRO(PROCV(B294;'Cadastro Dizimistas'!$B$3:$C$502;2;FALSO);""))</f>
        <v/>
      </c>
      <c r="D294" s="4">
        <f>SE(A294="";"";ÍNDICE(Configurações!$B$35:$B$46;MÊS(A294)))</f>
        <v/>
      </c>
      <c r="E294" s="17" t="n"/>
      <c r="F294" s="3" t="n"/>
      <c r="G294" s="3" t="n"/>
      <c r="H294" s="3" t="n"/>
    </row>
    <row r="295">
      <c r="A295" s="15" t="n"/>
      <c r="B295" s="3" t="n"/>
      <c r="C295" s="4">
        <f>SE(B295="";"";SEERRO(PROCV(B295;'Cadastro Dizimistas'!$B$3:$C$502;2;FALSO);""))</f>
        <v/>
      </c>
      <c r="D295" s="4">
        <f>SE(A295="";"";ÍNDICE(Configurações!$B$35:$B$46;MÊS(A295)))</f>
        <v/>
      </c>
      <c r="E295" s="17" t="n"/>
      <c r="F295" s="3" t="n"/>
      <c r="G295" s="3" t="n"/>
      <c r="H295" s="3" t="n"/>
    </row>
    <row r="296">
      <c r="A296" s="15" t="n"/>
      <c r="B296" s="3" t="n"/>
      <c r="C296" s="4">
        <f>SE(B296="";"";SEERRO(PROCV(B296;'Cadastro Dizimistas'!$B$3:$C$502;2;FALSO);""))</f>
        <v/>
      </c>
      <c r="D296" s="4">
        <f>SE(A296="";"";ÍNDICE(Configurações!$B$35:$B$46;MÊS(A296)))</f>
        <v/>
      </c>
      <c r="E296" s="17" t="n"/>
      <c r="F296" s="3" t="n"/>
      <c r="G296" s="3" t="n"/>
      <c r="H296" s="3" t="n"/>
    </row>
    <row r="297">
      <c r="A297" s="15" t="n"/>
      <c r="B297" s="3" t="n"/>
      <c r="C297" s="4">
        <f>SE(B297="";"";SEERRO(PROCV(B297;'Cadastro Dizimistas'!$B$3:$C$502;2;FALSO);""))</f>
        <v/>
      </c>
      <c r="D297" s="4">
        <f>SE(A297="";"";ÍNDICE(Configurações!$B$35:$B$46;MÊS(A297)))</f>
        <v/>
      </c>
      <c r="E297" s="17" t="n"/>
      <c r="F297" s="3" t="n"/>
      <c r="G297" s="3" t="n"/>
      <c r="H297" s="3" t="n"/>
    </row>
    <row r="298">
      <c r="A298" s="15" t="n"/>
      <c r="B298" s="3" t="n"/>
      <c r="C298" s="4">
        <f>SE(B298="";"";SEERRO(PROCV(B298;'Cadastro Dizimistas'!$B$3:$C$502;2;FALSO);""))</f>
        <v/>
      </c>
      <c r="D298" s="4">
        <f>SE(A298="";"";ÍNDICE(Configurações!$B$35:$B$46;MÊS(A298)))</f>
        <v/>
      </c>
      <c r="E298" s="17" t="n"/>
      <c r="F298" s="3" t="n"/>
      <c r="G298" s="3" t="n"/>
      <c r="H298" s="3" t="n"/>
    </row>
    <row r="299">
      <c r="A299" s="15" t="n"/>
      <c r="B299" s="3" t="n"/>
      <c r="C299" s="4">
        <f>SE(B299="";"";SEERRO(PROCV(B299;'Cadastro Dizimistas'!$B$3:$C$502;2;FALSO);""))</f>
        <v/>
      </c>
      <c r="D299" s="4">
        <f>SE(A299="";"";ÍNDICE(Configurações!$B$35:$B$46;MÊS(A299)))</f>
        <v/>
      </c>
      <c r="E299" s="17" t="n"/>
      <c r="F299" s="3" t="n"/>
      <c r="G299" s="3" t="n"/>
      <c r="H299" s="3" t="n"/>
    </row>
    <row r="300">
      <c r="A300" s="15" t="n"/>
      <c r="B300" s="3" t="n"/>
      <c r="C300" s="4">
        <f>SE(B300="";"";SEERRO(PROCV(B300;'Cadastro Dizimistas'!$B$3:$C$502;2;FALSO);""))</f>
        <v/>
      </c>
      <c r="D300" s="4">
        <f>SE(A300="";"";ÍNDICE(Configurações!$B$35:$B$46;MÊS(A300)))</f>
        <v/>
      </c>
      <c r="E300" s="17" t="n"/>
      <c r="F300" s="3" t="n"/>
      <c r="G300" s="3" t="n"/>
      <c r="H300" s="3" t="n"/>
    </row>
    <row r="301">
      <c r="A301" s="15" t="n"/>
      <c r="B301" s="3" t="n"/>
      <c r="C301" s="4">
        <f>SE(B301="";"";SEERRO(PROCV(B301;'Cadastro Dizimistas'!$B$3:$C$502;2;FALSO);""))</f>
        <v/>
      </c>
      <c r="D301" s="4">
        <f>SE(A301="";"";ÍNDICE(Configurações!$B$35:$B$46;MÊS(A301)))</f>
        <v/>
      </c>
      <c r="E301" s="17" t="n"/>
      <c r="F301" s="3" t="n"/>
      <c r="G301" s="3" t="n"/>
      <c r="H301" s="3" t="n"/>
    </row>
    <row r="302">
      <c r="A302" s="15" t="n"/>
      <c r="B302" s="3" t="n"/>
      <c r="C302" s="4">
        <f>SE(B302="";"";SEERRO(PROCV(B302;'Cadastro Dizimistas'!$B$3:$C$502;2;FALSO);""))</f>
        <v/>
      </c>
      <c r="D302" s="4">
        <f>SE(A302="";"";ÍNDICE(Configurações!$B$35:$B$46;MÊS(A302)))</f>
        <v/>
      </c>
      <c r="E302" s="17" t="n"/>
      <c r="F302" s="3" t="n"/>
      <c r="G302" s="3" t="n"/>
      <c r="H302" s="3" t="n"/>
    </row>
    <row r="303">
      <c r="A303" s="15" t="n"/>
      <c r="B303" s="3" t="n"/>
      <c r="C303" s="4">
        <f>SE(B303="";"";SEERRO(PROCV(B303;'Cadastro Dizimistas'!$B$3:$C$502;2;FALSO);""))</f>
        <v/>
      </c>
      <c r="D303" s="4">
        <f>SE(A303="";"";ÍNDICE(Configurações!$B$35:$B$46;MÊS(A303)))</f>
        <v/>
      </c>
      <c r="E303" s="17" t="n"/>
      <c r="F303" s="3" t="n"/>
      <c r="G303" s="3" t="n"/>
      <c r="H303" s="3" t="n"/>
    </row>
    <row r="304">
      <c r="A304" s="15" t="n"/>
      <c r="B304" s="3" t="n"/>
      <c r="C304" s="4">
        <f>SE(B304="";"";SEERRO(PROCV(B304;'Cadastro Dizimistas'!$B$3:$C$502;2;FALSO);""))</f>
        <v/>
      </c>
      <c r="D304" s="4">
        <f>SE(A304="";"";ÍNDICE(Configurações!$B$35:$B$46;MÊS(A304)))</f>
        <v/>
      </c>
      <c r="E304" s="17" t="n"/>
      <c r="F304" s="3" t="n"/>
      <c r="G304" s="3" t="n"/>
      <c r="H304" s="3" t="n"/>
    </row>
    <row r="305">
      <c r="A305" s="15" t="n"/>
      <c r="B305" s="3" t="n"/>
      <c r="C305" s="4">
        <f>SE(B305="";"";SEERRO(PROCV(B305;'Cadastro Dizimistas'!$B$3:$C$502;2;FALSO);""))</f>
        <v/>
      </c>
      <c r="D305" s="4">
        <f>SE(A305="";"";ÍNDICE(Configurações!$B$35:$B$46;MÊS(A305)))</f>
        <v/>
      </c>
      <c r="E305" s="17" t="n"/>
      <c r="F305" s="3" t="n"/>
      <c r="G305" s="3" t="n"/>
      <c r="H305" s="3" t="n"/>
    </row>
    <row r="306">
      <c r="A306" s="15" t="n"/>
      <c r="B306" s="3" t="n"/>
      <c r="C306" s="4">
        <f>SE(B306="";"";SEERRO(PROCV(B306;'Cadastro Dizimistas'!$B$3:$C$502;2;FALSO);""))</f>
        <v/>
      </c>
      <c r="D306" s="4">
        <f>SE(A306="";"";ÍNDICE(Configurações!$B$35:$B$46;MÊS(A306)))</f>
        <v/>
      </c>
      <c r="E306" s="17" t="n"/>
      <c r="F306" s="3" t="n"/>
      <c r="G306" s="3" t="n"/>
      <c r="H306" s="3" t="n"/>
    </row>
    <row r="307">
      <c r="A307" s="15" t="n"/>
      <c r="B307" s="3" t="n"/>
      <c r="C307" s="4">
        <f>SE(B307="";"";SEERRO(PROCV(B307;'Cadastro Dizimistas'!$B$3:$C$502;2;FALSO);""))</f>
        <v/>
      </c>
      <c r="D307" s="4">
        <f>SE(A307="";"";ÍNDICE(Configurações!$B$35:$B$46;MÊS(A307)))</f>
        <v/>
      </c>
      <c r="E307" s="17" t="n"/>
      <c r="F307" s="3" t="n"/>
      <c r="G307" s="3" t="n"/>
      <c r="H307" s="3" t="n"/>
    </row>
    <row r="308">
      <c r="A308" s="15" t="n"/>
      <c r="B308" s="3" t="n"/>
      <c r="C308" s="4">
        <f>SE(B308="";"";SEERRO(PROCV(B308;'Cadastro Dizimistas'!$B$3:$C$502;2;FALSO);""))</f>
        <v/>
      </c>
      <c r="D308" s="4">
        <f>SE(A308="";"";ÍNDICE(Configurações!$B$35:$B$46;MÊS(A308)))</f>
        <v/>
      </c>
      <c r="E308" s="17" t="n"/>
      <c r="F308" s="3" t="n"/>
      <c r="G308" s="3" t="n"/>
      <c r="H308" s="3" t="n"/>
    </row>
    <row r="309">
      <c r="A309" s="15" t="n"/>
      <c r="B309" s="3" t="n"/>
      <c r="C309" s="4">
        <f>SE(B309="";"";SEERRO(PROCV(B309;'Cadastro Dizimistas'!$B$3:$C$502;2;FALSO);""))</f>
        <v/>
      </c>
      <c r="D309" s="4">
        <f>SE(A309="";"";ÍNDICE(Configurações!$B$35:$B$46;MÊS(A309)))</f>
        <v/>
      </c>
      <c r="E309" s="17" t="n"/>
      <c r="F309" s="3" t="n"/>
      <c r="G309" s="3" t="n"/>
      <c r="H309" s="3" t="n"/>
    </row>
    <row r="310">
      <c r="A310" s="15" t="n"/>
      <c r="B310" s="3" t="n"/>
      <c r="C310" s="4">
        <f>SE(B310="";"";SEERRO(PROCV(B310;'Cadastro Dizimistas'!$B$3:$C$502;2;FALSO);""))</f>
        <v/>
      </c>
      <c r="D310" s="4">
        <f>SE(A310="";"";ÍNDICE(Configurações!$B$35:$B$46;MÊS(A310)))</f>
        <v/>
      </c>
      <c r="E310" s="17" t="n"/>
      <c r="F310" s="3" t="n"/>
      <c r="G310" s="3" t="n"/>
      <c r="H310" s="3" t="n"/>
    </row>
    <row r="311">
      <c r="A311" s="15" t="n"/>
      <c r="B311" s="3" t="n"/>
      <c r="C311" s="4">
        <f>SE(B311="";"";SEERRO(PROCV(B311;'Cadastro Dizimistas'!$B$3:$C$502;2;FALSO);""))</f>
        <v/>
      </c>
      <c r="D311" s="4">
        <f>SE(A311="";"";ÍNDICE(Configurações!$B$35:$B$46;MÊS(A311)))</f>
        <v/>
      </c>
      <c r="E311" s="17" t="n"/>
      <c r="F311" s="3" t="n"/>
      <c r="G311" s="3" t="n"/>
      <c r="H311" s="3" t="n"/>
    </row>
    <row r="312">
      <c r="A312" s="15" t="n"/>
      <c r="B312" s="3" t="n"/>
      <c r="C312" s="4">
        <f>SE(B312="";"";SEERRO(PROCV(B312;'Cadastro Dizimistas'!$B$3:$C$502;2;FALSO);""))</f>
        <v/>
      </c>
      <c r="D312" s="4">
        <f>SE(A312="";"";ÍNDICE(Configurações!$B$35:$B$46;MÊS(A312)))</f>
        <v/>
      </c>
      <c r="E312" s="17" t="n"/>
      <c r="F312" s="3" t="n"/>
      <c r="G312" s="3" t="n"/>
      <c r="H312" s="3" t="n"/>
    </row>
    <row r="313">
      <c r="A313" s="15" t="n"/>
      <c r="B313" s="3" t="n"/>
      <c r="C313" s="4">
        <f>SE(B313="";"";SEERRO(PROCV(B313;'Cadastro Dizimistas'!$B$3:$C$502;2;FALSO);""))</f>
        <v/>
      </c>
      <c r="D313" s="4">
        <f>SE(A313="";"";ÍNDICE(Configurações!$B$35:$B$46;MÊS(A313)))</f>
        <v/>
      </c>
      <c r="E313" s="17" t="n"/>
      <c r="F313" s="3" t="n"/>
      <c r="G313" s="3" t="n"/>
      <c r="H313" s="3" t="n"/>
    </row>
    <row r="314">
      <c r="A314" s="15" t="n"/>
      <c r="B314" s="3" t="n"/>
      <c r="C314" s="4">
        <f>SE(B314="";"";SEERRO(PROCV(B314;'Cadastro Dizimistas'!$B$3:$C$502;2;FALSO);""))</f>
        <v/>
      </c>
      <c r="D314" s="4">
        <f>SE(A314="";"";ÍNDICE(Configurações!$B$35:$B$46;MÊS(A314)))</f>
        <v/>
      </c>
      <c r="E314" s="17" t="n"/>
      <c r="F314" s="3" t="n"/>
      <c r="G314" s="3" t="n"/>
      <c r="H314" s="3" t="n"/>
    </row>
    <row r="315">
      <c r="A315" s="15" t="n"/>
      <c r="B315" s="3" t="n"/>
      <c r="C315" s="4">
        <f>SE(B315="";"";SEERRO(PROCV(B315;'Cadastro Dizimistas'!$B$3:$C$502;2;FALSO);""))</f>
        <v/>
      </c>
      <c r="D315" s="4">
        <f>SE(A315="";"";ÍNDICE(Configurações!$B$35:$B$46;MÊS(A315)))</f>
        <v/>
      </c>
      <c r="E315" s="17" t="n"/>
      <c r="F315" s="3" t="n"/>
      <c r="G315" s="3" t="n"/>
      <c r="H315" s="3" t="n"/>
    </row>
    <row r="316">
      <c r="A316" s="15" t="n"/>
      <c r="B316" s="3" t="n"/>
      <c r="C316" s="4">
        <f>SE(B316="";"";SEERRO(PROCV(B316;'Cadastro Dizimistas'!$B$3:$C$502;2;FALSO);""))</f>
        <v/>
      </c>
      <c r="D316" s="4">
        <f>SE(A316="";"";ÍNDICE(Configurações!$B$35:$B$46;MÊS(A316)))</f>
        <v/>
      </c>
      <c r="E316" s="17" t="n"/>
      <c r="F316" s="3" t="n"/>
      <c r="G316" s="3" t="n"/>
      <c r="H316" s="3" t="n"/>
    </row>
    <row r="317">
      <c r="A317" s="15" t="n"/>
      <c r="B317" s="3" t="n"/>
      <c r="C317" s="4">
        <f>SE(B317="";"";SEERRO(PROCV(B317;'Cadastro Dizimistas'!$B$3:$C$502;2;FALSO);""))</f>
        <v/>
      </c>
      <c r="D317" s="4">
        <f>SE(A317="";"";ÍNDICE(Configurações!$B$35:$B$46;MÊS(A317)))</f>
        <v/>
      </c>
      <c r="E317" s="17" t="n"/>
      <c r="F317" s="3" t="n"/>
      <c r="G317" s="3" t="n"/>
      <c r="H317" s="3" t="n"/>
    </row>
    <row r="318">
      <c r="A318" s="15" t="n"/>
      <c r="B318" s="3" t="n"/>
      <c r="C318" s="4">
        <f>SE(B318="";"";SEERRO(PROCV(B318;'Cadastro Dizimistas'!$B$3:$C$502;2;FALSO);""))</f>
        <v/>
      </c>
      <c r="D318" s="4">
        <f>SE(A318="";"";ÍNDICE(Configurações!$B$35:$B$46;MÊS(A318)))</f>
        <v/>
      </c>
      <c r="E318" s="17" t="n"/>
      <c r="F318" s="3" t="n"/>
      <c r="G318" s="3" t="n"/>
      <c r="H318" s="3" t="n"/>
    </row>
    <row r="319">
      <c r="A319" s="15" t="n"/>
      <c r="B319" s="3" t="n"/>
      <c r="C319" s="4">
        <f>SE(B319="";"";SEERRO(PROCV(B319;'Cadastro Dizimistas'!$B$3:$C$502;2;FALSO);""))</f>
        <v/>
      </c>
      <c r="D319" s="4">
        <f>SE(A319="";"";ÍNDICE(Configurações!$B$35:$B$46;MÊS(A319)))</f>
        <v/>
      </c>
      <c r="E319" s="17" t="n"/>
      <c r="F319" s="3" t="n"/>
      <c r="G319" s="3" t="n"/>
      <c r="H319" s="3" t="n"/>
    </row>
    <row r="320">
      <c r="A320" s="15" t="n"/>
      <c r="B320" s="3" t="n"/>
      <c r="C320" s="4">
        <f>SE(B320="";"";SEERRO(PROCV(B320;'Cadastro Dizimistas'!$B$3:$C$502;2;FALSO);""))</f>
        <v/>
      </c>
      <c r="D320" s="4">
        <f>SE(A320="";"";ÍNDICE(Configurações!$B$35:$B$46;MÊS(A320)))</f>
        <v/>
      </c>
      <c r="E320" s="17" t="n"/>
      <c r="F320" s="3" t="n"/>
      <c r="G320" s="3" t="n"/>
      <c r="H320" s="3" t="n"/>
    </row>
    <row r="321">
      <c r="A321" s="15" t="n"/>
      <c r="B321" s="3" t="n"/>
      <c r="C321" s="4">
        <f>SE(B321="";"";SEERRO(PROCV(B321;'Cadastro Dizimistas'!$B$3:$C$502;2;FALSO);""))</f>
        <v/>
      </c>
      <c r="D321" s="4">
        <f>SE(A321="";"";ÍNDICE(Configurações!$B$35:$B$46;MÊS(A321)))</f>
        <v/>
      </c>
      <c r="E321" s="17" t="n"/>
      <c r="F321" s="3" t="n"/>
      <c r="G321" s="3" t="n"/>
      <c r="H321" s="3" t="n"/>
    </row>
    <row r="322">
      <c r="A322" s="15" t="n"/>
      <c r="B322" s="3" t="n"/>
      <c r="C322" s="4">
        <f>SE(B322="";"";SEERRO(PROCV(B322;'Cadastro Dizimistas'!$B$3:$C$502;2;FALSO);""))</f>
        <v/>
      </c>
      <c r="D322" s="4">
        <f>SE(A322="";"";ÍNDICE(Configurações!$B$35:$B$46;MÊS(A322)))</f>
        <v/>
      </c>
      <c r="E322" s="17" t="n"/>
      <c r="F322" s="3" t="n"/>
      <c r="G322" s="3" t="n"/>
      <c r="H322" s="3" t="n"/>
    </row>
    <row r="323">
      <c r="A323" s="15" t="n"/>
      <c r="B323" s="3" t="n"/>
      <c r="C323" s="4">
        <f>SE(B323="";"";SEERRO(PROCV(B323;'Cadastro Dizimistas'!$B$3:$C$502;2;FALSO);""))</f>
        <v/>
      </c>
      <c r="D323" s="4">
        <f>SE(A323="";"";ÍNDICE(Configurações!$B$35:$B$46;MÊS(A323)))</f>
        <v/>
      </c>
      <c r="E323" s="17" t="n"/>
      <c r="F323" s="3" t="n"/>
      <c r="G323" s="3" t="n"/>
      <c r="H323" s="3" t="n"/>
    </row>
    <row r="324">
      <c r="A324" s="15" t="n"/>
      <c r="B324" s="3" t="n"/>
      <c r="C324" s="4">
        <f>SE(B324="";"";SEERRO(PROCV(B324;'Cadastro Dizimistas'!$B$3:$C$502;2;FALSO);""))</f>
        <v/>
      </c>
      <c r="D324" s="4">
        <f>SE(A324="";"";ÍNDICE(Configurações!$B$35:$B$46;MÊS(A324)))</f>
        <v/>
      </c>
      <c r="E324" s="17" t="n"/>
      <c r="F324" s="3" t="n"/>
      <c r="G324" s="3" t="n"/>
      <c r="H324" s="3" t="n"/>
    </row>
    <row r="325">
      <c r="A325" s="15" t="n"/>
      <c r="B325" s="3" t="n"/>
      <c r="C325" s="4">
        <f>SE(B325="";"";SEERRO(PROCV(B325;'Cadastro Dizimistas'!$B$3:$C$502;2;FALSO);""))</f>
        <v/>
      </c>
      <c r="D325" s="4">
        <f>SE(A325="";"";ÍNDICE(Configurações!$B$35:$B$46;MÊS(A325)))</f>
        <v/>
      </c>
      <c r="E325" s="17" t="n"/>
      <c r="F325" s="3" t="n"/>
      <c r="G325" s="3" t="n"/>
      <c r="H325" s="3" t="n"/>
    </row>
    <row r="326">
      <c r="A326" s="15" t="n"/>
      <c r="B326" s="3" t="n"/>
      <c r="C326" s="4">
        <f>SE(B326="";"";SEERRO(PROCV(B326;'Cadastro Dizimistas'!$B$3:$C$502;2;FALSO);""))</f>
        <v/>
      </c>
      <c r="D326" s="4">
        <f>SE(A326="";"";ÍNDICE(Configurações!$B$35:$B$46;MÊS(A326)))</f>
        <v/>
      </c>
      <c r="E326" s="17" t="n"/>
      <c r="F326" s="3" t="n"/>
      <c r="G326" s="3" t="n"/>
      <c r="H326" s="3" t="n"/>
    </row>
    <row r="327">
      <c r="A327" s="15" t="n"/>
      <c r="B327" s="3" t="n"/>
      <c r="C327" s="4">
        <f>SE(B327="";"";SEERRO(PROCV(B327;'Cadastro Dizimistas'!$B$3:$C$502;2;FALSO);""))</f>
        <v/>
      </c>
      <c r="D327" s="4">
        <f>SE(A327="";"";ÍNDICE(Configurações!$B$35:$B$46;MÊS(A327)))</f>
        <v/>
      </c>
      <c r="E327" s="17" t="n"/>
      <c r="F327" s="3" t="n"/>
      <c r="G327" s="3" t="n"/>
      <c r="H327" s="3" t="n"/>
    </row>
    <row r="328">
      <c r="A328" s="15" t="n"/>
      <c r="B328" s="3" t="n"/>
      <c r="C328" s="4">
        <f>SE(B328="";"";SEERRO(PROCV(B328;'Cadastro Dizimistas'!$B$3:$C$502;2;FALSO);""))</f>
        <v/>
      </c>
      <c r="D328" s="4">
        <f>SE(A328="";"";ÍNDICE(Configurações!$B$35:$B$46;MÊS(A328)))</f>
        <v/>
      </c>
      <c r="E328" s="17" t="n"/>
      <c r="F328" s="3" t="n"/>
      <c r="G328" s="3" t="n"/>
      <c r="H328" s="3" t="n"/>
    </row>
    <row r="329">
      <c r="A329" s="15" t="n"/>
      <c r="B329" s="3" t="n"/>
      <c r="C329" s="4">
        <f>SE(B329="";"";SEERRO(PROCV(B329;'Cadastro Dizimistas'!$B$3:$C$502;2;FALSO);""))</f>
        <v/>
      </c>
      <c r="D329" s="4">
        <f>SE(A329="";"";ÍNDICE(Configurações!$B$35:$B$46;MÊS(A329)))</f>
        <v/>
      </c>
      <c r="E329" s="17" t="n"/>
      <c r="F329" s="3" t="n"/>
      <c r="G329" s="3" t="n"/>
      <c r="H329" s="3" t="n"/>
    </row>
    <row r="330">
      <c r="A330" s="15" t="n"/>
      <c r="B330" s="3" t="n"/>
      <c r="C330" s="4">
        <f>SE(B330="";"";SEERRO(PROCV(B330;'Cadastro Dizimistas'!$B$3:$C$502;2;FALSO);""))</f>
        <v/>
      </c>
      <c r="D330" s="4">
        <f>SE(A330="";"";ÍNDICE(Configurações!$B$35:$B$46;MÊS(A330)))</f>
        <v/>
      </c>
      <c r="E330" s="17" t="n"/>
      <c r="F330" s="3" t="n"/>
      <c r="G330" s="3" t="n"/>
      <c r="H330" s="3" t="n"/>
    </row>
    <row r="331">
      <c r="A331" s="15" t="n"/>
      <c r="B331" s="3" t="n"/>
      <c r="C331" s="4">
        <f>SE(B331="";"";SEERRO(PROCV(B331;'Cadastro Dizimistas'!$B$3:$C$502;2;FALSO);""))</f>
        <v/>
      </c>
      <c r="D331" s="4">
        <f>SE(A331="";"";ÍNDICE(Configurações!$B$35:$B$46;MÊS(A331)))</f>
        <v/>
      </c>
      <c r="E331" s="17" t="n"/>
      <c r="F331" s="3" t="n"/>
      <c r="G331" s="3" t="n"/>
      <c r="H331" s="3" t="n"/>
    </row>
    <row r="332">
      <c r="A332" s="15" t="n"/>
      <c r="B332" s="3" t="n"/>
      <c r="C332" s="4">
        <f>SE(B332="";"";SEERRO(PROCV(B332;'Cadastro Dizimistas'!$B$3:$C$502;2;FALSO);""))</f>
        <v/>
      </c>
      <c r="D332" s="4">
        <f>SE(A332="";"";ÍNDICE(Configurações!$B$35:$B$46;MÊS(A332)))</f>
        <v/>
      </c>
      <c r="E332" s="17" t="n"/>
      <c r="F332" s="3" t="n"/>
      <c r="G332" s="3" t="n"/>
      <c r="H332" s="3" t="n"/>
    </row>
    <row r="333">
      <c r="A333" s="15" t="n"/>
      <c r="B333" s="3" t="n"/>
      <c r="C333" s="4">
        <f>SE(B333="";"";SEERRO(PROCV(B333;'Cadastro Dizimistas'!$B$3:$C$502;2;FALSO);""))</f>
        <v/>
      </c>
      <c r="D333" s="4">
        <f>SE(A333="";"";ÍNDICE(Configurações!$B$35:$B$46;MÊS(A333)))</f>
        <v/>
      </c>
      <c r="E333" s="17" t="n"/>
      <c r="F333" s="3" t="n"/>
      <c r="G333" s="3" t="n"/>
      <c r="H333" s="3" t="n"/>
    </row>
    <row r="334">
      <c r="A334" s="15" t="n"/>
      <c r="B334" s="3" t="n"/>
      <c r="C334" s="4">
        <f>SE(B334="";"";SEERRO(PROCV(B334;'Cadastro Dizimistas'!$B$3:$C$502;2;FALSO);""))</f>
        <v/>
      </c>
      <c r="D334" s="4">
        <f>SE(A334="";"";ÍNDICE(Configurações!$B$35:$B$46;MÊS(A334)))</f>
        <v/>
      </c>
      <c r="E334" s="17" t="n"/>
      <c r="F334" s="3" t="n"/>
      <c r="G334" s="3" t="n"/>
      <c r="H334" s="3" t="n"/>
    </row>
    <row r="335">
      <c r="A335" s="15" t="n"/>
      <c r="B335" s="3" t="n"/>
      <c r="C335" s="4">
        <f>SE(B335="";"";SEERRO(PROCV(B335;'Cadastro Dizimistas'!$B$3:$C$502;2;FALSO);""))</f>
        <v/>
      </c>
      <c r="D335" s="4">
        <f>SE(A335="";"";ÍNDICE(Configurações!$B$35:$B$46;MÊS(A335)))</f>
        <v/>
      </c>
      <c r="E335" s="17" t="n"/>
      <c r="F335" s="3" t="n"/>
      <c r="G335" s="3" t="n"/>
      <c r="H335" s="3" t="n"/>
    </row>
    <row r="336">
      <c r="A336" s="15" t="n"/>
      <c r="B336" s="3" t="n"/>
      <c r="C336" s="4">
        <f>SE(B336="";"";SEERRO(PROCV(B336;'Cadastro Dizimistas'!$B$3:$C$502;2;FALSO);""))</f>
        <v/>
      </c>
      <c r="D336" s="4">
        <f>SE(A336="";"";ÍNDICE(Configurações!$B$35:$B$46;MÊS(A336)))</f>
        <v/>
      </c>
      <c r="E336" s="17" t="n"/>
      <c r="F336" s="3" t="n"/>
      <c r="G336" s="3" t="n"/>
      <c r="H336" s="3" t="n"/>
    </row>
    <row r="337">
      <c r="A337" s="15" t="n"/>
      <c r="B337" s="3" t="n"/>
      <c r="C337" s="4">
        <f>SE(B337="";"";SEERRO(PROCV(B337;'Cadastro Dizimistas'!$B$3:$C$502;2;FALSO);""))</f>
        <v/>
      </c>
      <c r="D337" s="4">
        <f>SE(A337="";"";ÍNDICE(Configurações!$B$35:$B$46;MÊS(A337)))</f>
        <v/>
      </c>
      <c r="E337" s="17" t="n"/>
      <c r="F337" s="3" t="n"/>
      <c r="G337" s="3" t="n"/>
      <c r="H337" s="3" t="n"/>
    </row>
    <row r="338">
      <c r="A338" s="15" t="n"/>
      <c r="B338" s="3" t="n"/>
      <c r="C338" s="4">
        <f>SE(B338="";"";SEERRO(PROCV(B338;'Cadastro Dizimistas'!$B$3:$C$502;2;FALSO);""))</f>
        <v/>
      </c>
      <c r="D338" s="4">
        <f>SE(A338="";"";ÍNDICE(Configurações!$B$35:$B$46;MÊS(A338)))</f>
        <v/>
      </c>
      <c r="E338" s="17" t="n"/>
      <c r="F338" s="3" t="n"/>
      <c r="G338" s="3" t="n"/>
      <c r="H338" s="3" t="n"/>
    </row>
    <row r="339">
      <c r="A339" s="15" t="n"/>
      <c r="B339" s="3" t="n"/>
      <c r="C339" s="4">
        <f>SE(B339="";"";SEERRO(PROCV(B339;'Cadastro Dizimistas'!$B$3:$C$502;2;FALSO);""))</f>
        <v/>
      </c>
      <c r="D339" s="4">
        <f>SE(A339="";"";ÍNDICE(Configurações!$B$35:$B$46;MÊS(A339)))</f>
        <v/>
      </c>
      <c r="E339" s="17" t="n"/>
      <c r="F339" s="3" t="n"/>
      <c r="G339" s="3" t="n"/>
      <c r="H339" s="3" t="n"/>
    </row>
    <row r="340">
      <c r="A340" s="15" t="n"/>
      <c r="B340" s="3" t="n"/>
      <c r="C340" s="4">
        <f>SE(B340="";"";SEERRO(PROCV(B340;'Cadastro Dizimistas'!$B$3:$C$502;2;FALSO);""))</f>
        <v/>
      </c>
      <c r="D340" s="4">
        <f>SE(A340="";"";ÍNDICE(Configurações!$B$35:$B$46;MÊS(A340)))</f>
        <v/>
      </c>
      <c r="E340" s="17" t="n"/>
      <c r="F340" s="3" t="n"/>
      <c r="G340" s="3" t="n"/>
      <c r="H340" s="3" t="n"/>
    </row>
    <row r="341">
      <c r="A341" s="15" t="n"/>
      <c r="B341" s="3" t="n"/>
      <c r="C341" s="4">
        <f>SE(B341="";"";SEERRO(PROCV(B341;'Cadastro Dizimistas'!$B$3:$C$502;2;FALSO);""))</f>
        <v/>
      </c>
      <c r="D341" s="4">
        <f>SE(A341="";"";ÍNDICE(Configurações!$B$35:$B$46;MÊS(A341)))</f>
        <v/>
      </c>
      <c r="E341" s="17" t="n"/>
      <c r="F341" s="3" t="n"/>
      <c r="G341" s="3" t="n"/>
      <c r="H341" s="3" t="n"/>
    </row>
    <row r="342">
      <c r="A342" s="15" t="n"/>
      <c r="B342" s="3" t="n"/>
      <c r="C342" s="4">
        <f>SE(B342="";"";SEERRO(PROCV(B342;'Cadastro Dizimistas'!$B$3:$C$502;2;FALSO);""))</f>
        <v/>
      </c>
      <c r="D342" s="4">
        <f>SE(A342="";"";ÍNDICE(Configurações!$B$35:$B$46;MÊS(A342)))</f>
        <v/>
      </c>
      <c r="E342" s="17" t="n"/>
      <c r="F342" s="3" t="n"/>
      <c r="G342" s="3" t="n"/>
      <c r="H342" s="3" t="n"/>
    </row>
    <row r="343">
      <c r="A343" s="15" t="n"/>
      <c r="B343" s="3" t="n"/>
      <c r="C343" s="4">
        <f>SE(B343="";"";SEERRO(PROCV(B343;'Cadastro Dizimistas'!$B$3:$C$502;2;FALSO);""))</f>
        <v/>
      </c>
      <c r="D343" s="4">
        <f>SE(A343="";"";ÍNDICE(Configurações!$B$35:$B$46;MÊS(A343)))</f>
        <v/>
      </c>
      <c r="E343" s="17" t="n"/>
      <c r="F343" s="3" t="n"/>
      <c r="G343" s="3" t="n"/>
      <c r="H343" s="3" t="n"/>
    </row>
    <row r="344">
      <c r="A344" s="15" t="n"/>
      <c r="B344" s="3" t="n"/>
      <c r="C344" s="4">
        <f>SE(B344="";"";SEERRO(PROCV(B344;'Cadastro Dizimistas'!$B$3:$C$502;2;FALSO);""))</f>
        <v/>
      </c>
      <c r="D344" s="4">
        <f>SE(A344="";"";ÍNDICE(Configurações!$B$35:$B$46;MÊS(A344)))</f>
        <v/>
      </c>
      <c r="E344" s="17" t="n"/>
      <c r="F344" s="3" t="n"/>
      <c r="G344" s="3" t="n"/>
      <c r="H344" s="3" t="n"/>
    </row>
    <row r="345">
      <c r="A345" s="15" t="n"/>
      <c r="B345" s="3" t="n"/>
      <c r="C345" s="4">
        <f>SE(B345="";"";SEERRO(PROCV(B345;'Cadastro Dizimistas'!$B$3:$C$502;2;FALSO);""))</f>
        <v/>
      </c>
      <c r="D345" s="4">
        <f>SE(A345="";"";ÍNDICE(Configurações!$B$35:$B$46;MÊS(A345)))</f>
        <v/>
      </c>
      <c r="E345" s="17" t="n"/>
      <c r="F345" s="3" t="n"/>
      <c r="G345" s="3" t="n"/>
      <c r="H345" s="3" t="n"/>
    </row>
    <row r="346">
      <c r="A346" s="15" t="n"/>
      <c r="B346" s="3" t="n"/>
      <c r="C346" s="4">
        <f>SE(B346="";"";SEERRO(PROCV(B346;'Cadastro Dizimistas'!$B$3:$C$502;2;FALSO);""))</f>
        <v/>
      </c>
      <c r="D346" s="4">
        <f>SE(A346="";"";ÍNDICE(Configurações!$B$35:$B$46;MÊS(A346)))</f>
        <v/>
      </c>
      <c r="E346" s="17" t="n"/>
      <c r="F346" s="3" t="n"/>
      <c r="G346" s="3" t="n"/>
      <c r="H346" s="3" t="n"/>
    </row>
    <row r="347">
      <c r="A347" s="15" t="n"/>
      <c r="B347" s="3" t="n"/>
      <c r="C347" s="4">
        <f>SE(B347="";"";SEERRO(PROCV(B347;'Cadastro Dizimistas'!$B$3:$C$502;2;FALSO);""))</f>
        <v/>
      </c>
      <c r="D347" s="4">
        <f>SE(A347="";"";ÍNDICE(Configurações!$B$35:$B$46;MÊS(A347)))</f>
        <v/>
      </c>
      <c r="E347" s="17" t="n"/>
      <c r="F347" s="3" t="n"/>
      <c r="G347" s="3" t="n"/>
      <c r="H347" s="3" t="n"/>
    </row>
    <row r="348">
      <c r="A348" s="15" t="n"/>
      <c r="B348" s="3" t="n"/>
      <c r="C348" s="4">
        <f>SE(B348="";"";SEERRO(PROCV(B348;'Cadastro Dizimistas'!$B$3:$C$502;2;FALSO);""))</f>
        <v/>
      </c>
      <c r="D348" s="4">
        <f>SE(A348="";"";ÍNDICE(Configurações!$B$35:$B$46;MÊS(A348)))</f>
        <v/>
      </c>
      <c r="E348" s="17" t="n"/>
      <c r="F348" s="3" t="n"/>
      <c r="G348" s="3" t="n"/>
      <c r="H348" s="3" t="n"/>
    </row>
    <row r="349">
      <c r="A349" s="15" t="n"/>
      <c r="B349" s="3" t="n"/>
      <c r="C349" s="4">
        <f>SE(B349="";"";SEERRO(PROCV(B349;'Cadastro Dizimistas'!$B$3:$C$502;2;FALSO);""))</f>
        <v/>
      </c>
      <c r="D349" s="4">
        <f>SE(A349="";"";ÍNDICE(Configurações!$B$35:$B$46;MÊS(A349)))</f>
        <v/>
      </c>
      <c r="E349" s="17" t="n"/>
      <c r="F349" s="3" t="n"/>
      <c r="G349" s="3" t="n"/>
      <c r="H349" s="3" t="n"/>
    </row>
    <row r="350">
      <c r="A350" s="15" t="n"/>
      <c r="B350" s="3" t="n"/>
      <c r="C350" s="4">
        <f>SE(B350="";"";SEERRO(PROCV(B350;'Cadastro Dizimistas'!$B$3:$C$502;2;FALSO);""))</f>
        <v/>
      </c>
      <c r="D350" s="4">
        <f>SE(A350="";"";ÍNDICE(Configurações!$B$35:$B$46;MÊS(A350)))</f>
        <v/>
      </c>
      <c r="E350" s="17" t="n"/>
      <c r="F350" s="3" t="n"/>
      <c r="G350" s="3" t="n"/>
      <c r="H350" s="3" t="n"/>
    </row>
    <row r="351">
      <c r="A351" s="15" t="n"/>
      <c r="B351" s="3" t="n"/>
      <c r="C351" s="4">
        <f>SE(B351="";"";SEERRO(PROCV(B351;'Cadastro Dizimistas'!$B$3:$C$502;2;FALSO);""))</f>
        <v/>
      </c>
      <c r="D351" s="4">
        <f>SE(A351="";"";ÍNDICE(Configurações!$B$35:$B$46;MÊS(A351)))</f>
        <v/>
      </c>
      <c r="E351" s="17" t="n"/>
      <c r="F351" s="3" t="n"/>
      <c r="G351" s="3" t="n"/>
      <c r="H351" s="3" t="n"/>
    </row>
    <row r="352">
      <c r="A352" s="15" t="n"/>
      <c r="B352" s="3" t="n"/>
      <c r="C352" s="4">
        <f>SE(B352="";"";SEERRO(PROCV(B352;'Cadastro Dizimistas'!$B$3:$C$502;2;FALSO);""))</f>
        <v/>
      </c>
      <c r="D352" s="4">
        <f>SE(A352="";"";ÍNDICE(Configurações!$B$35:$B$46;MÊS(A352)))</f>
        <v/>
      </c>
      <c r="E352" s="17" t="n"/>
      <c r="F352" s="3" t="n"/>
      <c r="G352" s="3" t="n"/>
      <c r="H352" s="3" t="n"/>
    </row>
    <row r="353">
      <c r="A353" s="15" t="n"/>
      <c r="B353" s="3" t="n"/>
      <c r="C353" s="4">
        <f>SE(B353="";"";SEERRO(PROCV(B353;'Cadastro Dizimistas'!$B$3:$C$502;2;FALSO);""))</f>
        <v/>
      </c>
      <c r="D353" s="4">
        <f>SE(A353="";"";ÍNDICE(Configurações!$B$35:$B$46;MÊS(A353)))</f>
        <v/>
      </c>
      <c r="E353" s="17" t="n"/>
      <c r="F353" s="3" t="n"/>
      <c r="G353" s="3" t="n"/>
      <c r="H353" s="3" t="n"/>
    </row>
    <row r="354">
      <c r="A354" s="15" t="n"/>
      <c r="B354" s="3" t="n"/>
      <c r="C354" s="4">
        <f>SE(B354="";"";SEERRO(PROCV(B354;'Cadastro Dizimistas'!$B$3:$C$502;2;FALSO);""))</f>
        <v/>
      </c>
      <c r="D354" s="4">
        <f>SE(A354="";"";ÍNDICE(Configurações!$B$35:$B$46;MÊS(A354)))</f>
        <v/>
      </c>
      <c r="E354" s="17" t="n"/>
      <c r="F354" s="3" t="n"/>
      <c r="G354" s="3" t="n"/>
      <c r="H354" s="3" t="n"/>
    </row>
    <row r="355">
      <c r="A355" s="15" t="n"/>
      <c r="B355" s="3" t="n"/>
      <c r="C355" s="4">
        <f>SE(B355="";"";SEERRO(PROCV(B355;'Cadastro Dizimistas'!$B$3:$C$502;2;FALSO);""))</f>
        <v/>
      </c>
      <c r="D355" s="4">
        <f>SE(A355="";"";ÍNDICE(Configurações!$B$35:$B$46;MÊS(A355)))</f>
        <v/>
      </c>
      <c r="E355" s="17" t="n"/>
      <c r="F355" s="3" t="n"/>
      <c r="G355" s="3" t="n"/>
      <c r="H355" s="3" t="n"/>
    </row>
    <row r="356">
      <c r="A356" s="15" t="n"/>
      <c r="B356" s="3" t="n"/>
      <c r="C356" s="4">
        <f>SE(B356="";"";SEERRO(PROCV(B356;'Cadastro Dizimistas'!$B$3:$C$502;2;FALSO);""))</f>
        <v/>
      </c>
      <c r="D356" s="4">
        <f>SE(A356="";"";ÍNDICE(Configurações!$B$35:$B$46;MÊS(A356)))</f>
        <v/>
      </c>
      <c r="E356" s="17" t="n"/>
      <c r="F356" s="3" t="n"/>
      <c r="G356" s="3" t="n"/>
      <c r="H356" s="3" t="n"/>
    </row>
    <row r="357">
      <c r="A357" s="15" t="n"/>
      <c r="B357" s="3" t="n"/>
      <c r="C357" s="4">
        <f>SE(B357="";"";SEERRO(PROCV(B357;'Cadastro Dizimistas'!$B$3:$C$502;2;FALSO);""))</f>
        <v/>
      </c>
      <c r="D357" s="4">
        <f>SE(A357="";"";ÍNDICE(Configurações!$B$35:$B$46;MÊS(A357)))</f>
        <v/>
      </c>
      <c r="E357" s="17" t="n"/>
      <c r="F357" s="3" t="n"/>
      <c r="G357" s="3" t="n"/>
      <c r="H357" s="3" t="n"/>
    </row>
    <row r="358">
      <c r="A358" s="15" t="n"/>
      <c r="B358" s="3" t="n"/>
      <c r="C358" s="4">
        <f>SE(B358="";"";SEERRO(PROCV(B358;'Cadastro Dizimistas'!$B$3:$C$502;2;FALSO);""))</f>
        <v/>
      </c>
      <c r="D358" s="4">
        <f>SE(A358="";"";ÍNDICE(Configurações!$B$35:$B$46;MÊS(A358)))</f>
        <v/>
      </c>
      <c r="E358" s="17" t="n"/>
      <c r="F358" s="3" t="n"/>
      <c r="G358" s="3" t="n"/>
      <c r="H358" s="3" t="n"/>
    </row>
    <row r="359">
      <c r="A359" s="15" t="n"/>
      <c r="B359" s="3" t="n"/>
      <c r="C359" s="4">
        <f>SE(B359="";"";SEERRO(PROCV(B359;'Cadastro Dizimistas'!$B$3:$C$502;2;FALSO);""))</f>
        <v/>
      </c>
      <c r="D359" s="4">
        <f>SE(A359="";"";ÍNDICE(Configurações!$B$35:$B$46;MÊS(A359)))</f>
        <v/>
      </c>
      <c r="E359" s="17" t="n"/>
      <c r="F359" s="3" t="n"/>
      <c r="G359" s="3" t="n"/>
      <c r="H359" s="3" t="n"/>
    </row>
    <row r="360">
      <c r="A360" s="15" t="n"/>
      <c r="B360" s="3" t="n"/>
      <c r="C360" s="4">
        <f>SE(B360="";"";SEERRO(PROCV(B360;'Cadastro Dizimistas'!$B$3:$C$502;2;FALSO);""))</f>
        <v/>
      </c>
      <c r="D360" s="4">
        <f>SE(A360="";"";ÍNDICE(Configurações!$B$35:$B$46;MÊS(A360)))</f>
        <v/>
      </c>
      <c r="E360" s="17" t="n"/>
      <c r="F360" s="3" t="n"/>
      <c r="G360" s="3" t="n"/>
      <c r="H360" s="3" t="n"/>
    </row>
    <row r="361">
      <c r="A361" s="15" t="n"/>
      <c r="B361" s="3" t="n"/>
      <c r="C361" s="4">
        <f>SE(B361="";"";SEERRO(PROCV(B361;'Cadastro Dizimistas'!$B$3:$C$502;2;FALSO);""))</f>
        <v/>
      </c>
      <c r="D361" s="4">
        <f>SE(A361="";"";ÍNDICE(Configurações!$B$35:$B$46;MÊS(A361)))</f>
        <v/>
      </c>
      <c r="E361" s="17" t="n"/>
      <c r="F361" s="3" t="n"/>
      <c r="G361" s="3" t="n"/>
      <c r="H361" s="3" t="n"/>
    </row>
    <row r="362">
      <c r="A362" s="15" t="n"/>
      <c r="B362" s="3" t="n"/>
      <c r="C362" s="4">
        <f>SE(B362="";"";SEERRO(PROCV(B362;'Cadastro Dizimistas'!$B$3:$C$502;2;FALSO);""))</f>
        <v/>
      </c>
      <c r="D362" s="4">
        <f>SE(A362="";"";ÍNDICE(Configurações!$B$35:$B$46;MÊS(A362)))</f>
        <v/>
      </c>
      <c r="E362" s="17" t="n"/>
      <c r="F362" s="3" t="n"/>
      <c r="G362" s="3" t="n"/>
      <c r="H362" s="3" t="n"/>
    </row>
    <row r="363">
      <c r="A363" s="15" t="n"/>
      <c r="B363" s="3" t="n"/>
      <c r="C363" s="4">
        <f>SE(B363="";"";SEERRO(PROCV(B363;'Cadastro Dizimistas'!$B$3:$C$502;2;FALSO);""))</f>
        <v/>
      </c>
      <c r="D363" s="4">
        <f>SE(A363="";"";ÍNDICE(Configurações!$B$35:$B$46;MÊS(A363)))</f>
        <v/>
      </c>
      <c r="E363" s="17" t="n"/>
      <c r="F363" s="3" t="n"/>
      <c r="G363" s="3" t="n"/>
      <c r="H363" s="3" t="n"/>
    </row>
    <row r="364">
      <c r="A364" s="15" t="n"/>
      <c r="B364" s="3" t="n"/>
      <c r="C364" s="4">
        <f>SE(B364="";"";SEERRO(PROCV(B364;'Cadastro Dizimistas'!$B$3:$C$502;2;FALSO);""))</f>
        <v/>
      </c>
      <c r="D364" s="4">
        <f>SE(A364="";"";ÍNDICE(Configurações!$B$35:$B$46;MÊS(A364)))</f>
        <v/>
      </c>
      <c r="E364" s="17" t="n"/>
      <c r="F364" s="3" t="n"/>
      <c r="G364" s="3" t="n"/>
      <c r="H364" s="3" t="n"/>
    </row>
    <row r="365">
      <c r="A365" s="15" t="n"/>
      <c r="B365" s="3" t="n"/>
      <c r="C365" s="4">
        <f>SE(B365="";"";SEERRO(PROCV(B365;'Cadastro Dizimistas'!$B$3:$C$502;2;FALSO);""))</f>
        <v/>
      </c>
      <c r="D365" s="4">
        <f>SE(A365="";"";ÍNDICE(Configurações!$B$35:$B$46;MÊS(A365)))</f>
        <v/>
      </c>
      <c r="E365" s="17" t="n"/>
      <c r="F365" s="3" t="n"/>
      <c r="G365" s="3" t="n"/>
      <c r="H365" s="3" t="n"/>
    </row>
    <row r="366">
      <c r="A366" s="15" t="n"/>
      <c r="B366" s="3" t="n"/>
      <c r="C366" s="4">
        <f>SE(B366="";"";SEERRO(PROCV(B366;'Cadastro Dizimistas'!$B$3:$C$502;2;FALSO);""))</f>
        <v/>
      </c>
      <c r="D366" s="4">
        <f>SE(A366="";"";ÍNDICE(Configurações!$B$35:$B$46;MÊS(A366)))</f>
        <v/>
      </c>
      <c r="E366" s="17" t="n"/>
      <c r="F366" s="3" t="n"/>
      <c r="G366" s="3" t="n"/>
      <c r="H366" s="3" t="n"/>
    </row>
    <row r="367">
      <c r="A367" s="15" t="n"/>
      <c r="B367" s="3" t="n"/>
      <c r="C367" s="4">
        <f>SE(B367="";"";SEERRO(PROCV(B367;'Cadastro Dizimistas'!$B$3:$C$502;2;FALSO);""))</f>
        <v/>
      </c>
      <c r="D367" s="4">
        <f>SE(A367="";"";ÍNDICE(Configurações!$B$35:$B$46;MÊS(A367)))</f>
        <v/>
      </c>
      <c r="E367" s="17" t="n"/>
      <c r="F367" s="3" t="n"/>
      <c r="G367" s="3" t="n"/>
      <c r="H367" s="3" t="n"/>
    </row>
    <row r="368">
      <c r="A368" s="15" t="n"/>
      <c r="B368" s="3" t="n"/>
      <c r="C368" s="4">
        <f>SE(B368="";"";SEERRO(PROCV(B368;'Cadastro Dizimistas'!$B$3:$C$502;2;FALSO);""))</f>
        <v/>
      </c>
      <c r="D368" s="4">
        <f>SE(A368="";"";ÍNDICE(Configurações!$B$35:$B$46;MÊS(A368)))</f>
        <v/>
      </c>
      <c r="E368" s="17" t="n"/>
      <c r="F368" s="3" t="n"/>
      <c r="G368" s="3" t="n"/>
      <c r="H368" s="3" t="n"/>
    </row>
    <row r="369">
      <c r="A369" s="15" t="n"/>
      <c r="B369" s="3" t="n"/>
      <c r="C369" s="4">
        <f>SE(B369="";"";SEERRO(PROCV(B369;'Cadastro Dizimistas'!$B$3:$C$502;2;FALSO);""))</f>
        <v/>
      </c>
      <c r="D369" s="4">
        <f>SE(A369="";"";ÍNDICE(Configurações!$B$35:$B$46;MÊS(A369)))</f>
        <v/>
      </c>
      <c r="E369" s="17" t="n"/>
      <c r="F369" s="3" t="n"/>
      <c r="G369" s="3" t="n"/>
      <c r="H369" s="3" t="n"/>
    </row>
    <row r="370">
      <c r="A370" s="15" t="n"/>
      <c r="B370" s="3" t="n"/>
      <c r="C370" s="4">
        <f>SE(B370="";"";SEERRO(PROCV(B370;'Cadastro Dizimistas'!$B$3:$C$502;2;FALSO);""))</f>
        <v/>
      </c>
      <c r="D370" s="4">
        <f>SE(A370="";"";ÍNDICE(Configurações!$B$35:$B$46;MÊS(A370)))</f>
        <v/>
      </c>
      <c r="E370" s="17" t="n"/>
      <c r="F370" s="3" t="n"/>
      <c r="G370" s="3" t="n"/>
      <c r="H370" s="3" t="n"/>
    </row>
    <row r="371">
      <c r="A371" s="15" t="n"/>
      <c r="B371" s="3" t="n"/>
      <c r="C371" s="4">
        <f>SE(B371="";"";SEERRO(PROCV(B371;'Cadastro Dizimistas'!$B$3:$C$502;2;FALSO);""))</f>
        <v/>
      </c>
      <c r="D371" s="4">
        <f>SE(A371="";"";ÍNDICE(Configurações!$B$35:$B$46;MÊS(A371)))</f>
        <v/>
      </c>
      <c r="E371" s="17" t="n"/>
      <c r="F371" s="3" t="n"/>
      <c r="G371" s="3" t="n"/>
      <c r="H371" s="3" t="n"/>
    </row>
    <row r="372">
      <c r="A372" s="15" t="n"/>
      <c r="B372" s="3" t="n"/>
      <c r="C372" s="4">
        <f>SE(B372="";"";SEERRO(PROCV(B372;'Cadastro Dizimistas'!$B$3:$C$502;2;FALSO);""))</f>
        <v/>
      </c>
      <c r="D372" s="4">
        <f>SE(A372="";"";ÍNDICE(Configurações!$B$35:$B$46;MÊS(A372)))</f>
        <v/>
      </c>
      <c r="E372" s="17" t="n"/>
      <c r="F372" s="3" t="n"/>
      <c r="G372" s="3" t="n"/>
      <c r="H372" s="3" t="n"/>
    </row>
    <row r="373">
      <c r="A373" s="15" t="n"/>
      <c r="B373" s="3" t="n"/>
      <c r="C373" s="4">
        <f>SE(B373="";"";SEERRO(PROCV(B373;'Cadastro Dizimistas'!$B$3:$C$502;2;FALSO);""))</f>
        <v/>
      </c>
      <c r="D373" s="4">
        <f>SE(A373="";"";ÍNDICE(Configurações!$B$35:$B$46;MÊS(A373)))</f>
        <v/>
      </c>
      <c r="E373" s="17" t="n"/>
      <c r="F373" s="3" t="n"/>
      <c r="G373" s="3" t="n"/>
      <c r="H373" s="3" t="n"/>
    </row>
    <row r="374">
      <c r="A374" s="15" t="n"/>
      <c r="B374" s="3" t="n"/>
      <c r="C374" s="4">
        <f>SE(B374="";"";SEERRO(PROCV(B374;'Cadastro Dizimistas'!$B$3:$C$502;2;FALSO);""))</f>
        <v/>
      </c>
      <c r="D374" s="4">
        <f>SE(A374="";"";ÍNDICE(Configurações!$B$35:$B$46;MÊS(A374)))</f>
        <v/>
      </c>
      <c r="E374" s="17" t="n"/>
      <c r="F374" s="3" t="n"/>
      <c r="G374" s="3" t="n"/>
      <c r="H374" s="3" t="n"/>
    </row>
    <row r="375">
      <c r="A375" s="15" t="n"/>
      <c r="B375" s="3" t="n"/>
      <c r="C375" s="4">
        <f>SE(B375="";"";SEERRO(PROCV(B375;'Cadastro Dizimistas'!$B$3:$C$502;2;FALSO);""))</f>
        <v/>
      </c>
      <c r="D375" s="4">
        <f>SE(A375="";"";ÍNDICE(Configurações!$B$35:$B$46;MÊS(A375)))</f>
        <v/>
      </c>
      <c r="E375" s="17" t="n"/>
      <c r="F375" s="3" t="n"/>
      <c r="G375" s="3" t="n"/>
      <c r="H375" s="3" t="n"/>
    </row>
    <row r="376">
      <c r="A376" s="15" t="n"/>
      <c r="B376" s="3" t="n"/>
      <c r="C376" s="4">
        <f>SE(B376="";"";SEERRO(PROCV(B376;'Cadastro Dizimistas'!$B$3:$C$502;2;FALSO);""))</f>
        <v/>
      </c>
      <c r="D376" s="4">
        <f>SE(A376="";"";ÍNDICE(Configurações!$B$35:$B$46;MÊS(A376)))</f>
        <v/>
      </c>
      <c r="E376" s="17" t="n"/>
      <c r="F376" s="3" t="n"/>
      <c r="G376" s="3" t="n"/>
      <c r="H376" s="3" t="n"/>
    </row>
    <row r="377">
      <c r="A377" s="15" t="n"/>
      <c r="B377" s="3" t="n"/>
      <c r="C377" s="4">
        <f>SE(B377="";"";SEERRO(PROCV(B377;'Cadastro Dizimistas'!$B$3:$C$502;2;FALSO);""))</f>
        <v/>
      </c>
      <c r="D377" s="4">
        <f>SE(A377="";"";ÍNDICE(Configurações!$B$35:$B$46;MÊS(A377)))</f>
        <v/>
      </c>
      <c r="E377" s="17" t="n"/>
      <c r="F377" s="3" t="n"/>
      <c r="G377" s="3" t="n"/>
      <c r="H377" s="3" t="n"/>
    </row>
    <row r="378">
      <c r="A378" s="15" t="n"/>
      <c r="B378" s="3" t="n"/>
      <c r="C378" s="4">
        <f>SE(B378="";"";SEERRO(PROCV(B378;'Cadastro Dizimistas'!$B$3:$C$502;2;FALSO);""))</f>
        <v/>
      </c>
      <c r="D378" s="4">
        <f>SE(A378="";"";ÍNDICE(Configurações!$B$35:$B$46;MÊS(A378)))</f>
        <v/>
      </c>
      <c r="E378" s="17" t="n"/>
      <c r="F378" s="3" t="n"/>
      <c r="G378" s="3" t="n"/>
      <c r="H378" s="3" t="n"/>
    </row>
    <row r="379">
      <c r="A379" s="15" t="n"/>
      <c r="B379" s="3" t="n"/>
      <c r="C379" s="4">
        <f>SE(B379="";"";SEERRO(PROCV(B379;'Cadastro Dizimistas'!$B$3:$C$502;2;FALSO);""))</f>
        <v/>
      </c>
      <c r="D379" s="4">
        <f>SE(A379="";"";ÍNDICE(Configurações!$B$35:$B$46;MÊS(A379)))</f>
        <v/>
      </c>
      <c r="E379" s="17" t="n"/>
      <c r="F379" s="3" t="n"/>
      <c r="G379" s="3" t="n"/>
      <c r="H379" s="3" t="n"/>
    </row>
    <row r="380">
      <c r="A380" s="15" t="n"/>
      <c r="B380" s="3" t="n"/>
      <c r="C380" s="4">
        <f>SE(B380="";"";SEERRO(PROCV(B380;'Cadastro Dizimistas'!$B$3:$C$502;2;FALSO);""))</f>
        <v/>
      </c>
      <c r="D380" s="4">
        <f>SE(A380="";"";ÍNDICE(Configurações!$B$35:$B$46;MÊS(A380)))</f>
        <v/>
      </c>
      <c r="E380" s="17" t="n"/>
      <c r="F380" s="3" t="n"/>
      <c r="G380" s="3" t="n"/>
      <c r="H380" s="3" t="n"/>
    </row>
    <row r="381">
      <c r="A381" s="15" t="n"/>
      <c r="B381" s="3" t="n"/>
      <c r="C381" s="4">
        <f>SE(B381="";"";SEERRO(PROCV(B381;'Cadastro Dizimistas'!$B$3:$C$502;2;FALSO);""))</f>
        <v/>
      </c>
      <c r="D381" s="4">
        <f>SE(A381="";"";ÍNDICE(Configurações!$B$35:$B$46;MÊS(A381)))</f>
        <v/>
      </c>
      <c r="E381" s="17" t="n"/>
      <c r="F381" s="3" t="n"/>
      <c r="G381" s="3" t="n"/>
      <c r="H381" s="3" t="n"/>
    </row>
    <row r="382">
      <c r="A382" s="15" t="n"/>
      <c r="B382" s="3" t="n"/>
      <c r="C382" s="4">
        <f>SE(B382="";"";SEERRO(PROCV(B382;'Cadastro Dizimistas'!$B$3:$C$502;2;FALSO);""))</f>
        <v/>
      </c>
      <c r="D382" s="4">
        <f>SE(A382="";"";ÍNDICE(Configurações!$B$35:$B$46;MÊS(A382)))</f>
        <v/>
      </c>
      <c r="E382" s="17" t="n"/>
      <c r="F382" s="3" t="n"/>
      <c r="G382" s="3" t="n"/>
      <c r="H382" s="3" t="n"/>
    </row>
    <row r="383">
      <c r="A383" s="15" t="n"/>
      <c r="B383" s="3" t="n"/>
      <c r="C383" s="4">
        <f>SE(B383="";"";SEERRO(PROCV(B383;'Cadastro Dizimistas'!$B$3:$C$502;2;FALSO);""))</f>
        <v/>
      </c>
      <c r="D383" s="4">
        <f>SE(A383="";"";ÍNDICE(Configurações!$B$35:$B$46;MÊS(A383)))</f>
        <v/>
      </c>
      <c r="E383" s="17" t="n"/>
      <c r="F383" s="3" t="n"/>
      <c r="G383" s="3" t="n"/>
      <c r="H383" s="3" t="n"/>
    </row>
    <row r="384">
      <c r="A384" s="15" t="n"/>
      <c r="B384" s="3" t="n"/>
      <c r="C384" s="4">
        <f>SE(B384="";"";SEERRO(PROCV(B384;'Cadastro Dizimistas'!$B$3:$C$502;2;FALSO);""))</f>
        <v/>
      </c>
      <c r="D384" s="4">
        <f>SE(A384="";"";ÍNDICE(Configurações!$B$35:$B$46;MÊS(A384)))</f>
        <v/>
      </c>
      <c r="E384" s="17" t="n"/>
      <c r="F384" s="3" t="n"/>
      <c r="G384" s="3" t="n"/>
      <c r="H384" s="3" t="n"/>
    </row>
    <row r="385">
      <c r="A385" s="15" t="n"/>
      <c r="B385" s="3" t="n"/>
      <c r="C385" s="4">
        <f>SE(B385="";"";SEERRO(PROCV(B385;'Cadastro Dizimistas'!$B$3:$C$502;2;FALSO);""))</f>
        <v/>
      </c>
      <c r="D385" s="4">
        <f>SE(A385="";"";ÍNDICE(Configurações!$B$35:$B$46;MÊS(A385)))</f>
        <v/>
      </c>
      <c r="E385" s="17" t="n"/>
      <c r="F385" s="3" t="n"/>
      <c r="G385" s="3" t="n"/>
      <c r="H385" s="3" t="n"/>
    </row>
    <row r="386">
      <c r="A386" s="15" t="n"/>
      <c r="B386" s="3" t="n"/>
      <c r="C386" s="4">
        <f>SE(B386="";"";SEERRO(PROCV(B386;'Cadastro Dizimistas'!$B$3:$C$502;2;FALSO);""))</f>
        <v/>
      </c>
      <c r="D386" s="4">
        <f>SE(A386="";"";ÍNDICE(Configurações!$B$35:$B$46;MÊS(A386)))</f>
        <v/>
      </c>
      <c r="E386" s="17" t="n"/>
      <c r="F386" s="3" t="n"/>
      <c r="G386" s="3" t="n"/>
      <c r="H386" s="3" t="n"/>
    </row>
    <row r="387">
      <c r="A387" s="15" t="n"/>
      <c r="B387" s="3" t="n"/>
      <c r="C387" s="4">
        <f>SE(B387="";"";SEERRO(PROCV(B387;'Cadastro Dizimistas'!$B$3:$C$502;2;FALSO);""))</f>
        <v/>
      </c>
      <c r="D387" s="4">
        <f>SE(A387="";"";ÍNDICE(Configurações!$B$35:$B$46;MÊS(A387)))</f>
        <v/>
      </c>
      <c r="E387" s="17" t="n"/>
      <c r="F387" s="3" t="n"/>
      <c r="G387" s="3" t="n"/>
      <c r="H387" s="3" t="n"/>
    </row>
    <row r="388">
      <c r="A388" s="15" t="n"/>
      <c r="B388" s="3" t="n"/>
      <c r="C388" s="4">
        <f>SE(B388="";"";SEERRO(PROCV(B388;'Cadastro Dizimistas'!$B$3:$C$502;2;FALSO);""))</f>
        <v/>
      </c>
      <c r="D388" s="4">
        <f>SE(A388="";"";ÍNDICE(Configurações!$B$35:$B$46;MÊS(A388)))</f>
        <v/>
      </c>
      <c r="E388" s="17" t="n"/>
      <c r="F388" s="3" t="n"/>
      <c r="G388" s="3" t="n"/>
      <c r="H388" s="3" t="n"/>
    </row>
    <row r="389">
      <c r="A389" s="15" t="n"/>
      <c r="B389" s="3" t="n"/>
      <c r="C389" s="4">
        <f>SE(B389="";"";SEERRO(PROCV(B389;'Cadastro Dizimistas'!$B$3:$C$502;2;FALSO);""))</f>
        <v/>
      </c>
      <c r="D389" s="4">
        <f>SE(A389="";"";ÍNDICE(Configurações!$B$35:$B$46;MÊS(A389)))</f>
        <v/>
      </c>
      <c r="E389" s="17" t="n"/>
      <c r="F389" s="3" t="n"/>
      <c r="G389" s="3" t="n"/>
      <c r="H389" s="3" t="n"/>
    </row>
    <row r="390">
      <c r="A390" s="15" t="n"/>
      <c r="B390" s="3" t="n"/>
      <c r="C390" s="4">
        <f>SE(B390="";"";SEERRO(PROCV(B390;'Cadastro Dizimistas'!$B$3:$C$502;2;FALSO);""))</f>
        <v/>
      </c>
      <c r="D390" s="4">
        <f>SE(A390="";"";ÍNDICE(Configurações!$B$35:$B$46;MÊS(A390)))</f>
        <v/>
      </c>
      <c r="E390" s="17" t="n"/>
      <c r="F390" s="3" t="n"/>
      <c r="G390" s="3" t="n"/>
      <c r="H390" s="3" t="n"/>
    </row>
    <row r="391">
      <c r="A391" s="15" t="n"/>
      <c r="B391" s="3" t="n"/>
      <c r="C391" s="4">
        <f>SE(B391="";"";SEERRO(PROCV(B391;'Cadastro Dizimistas'!$B$3:$C$502;2;FALSO);""))</f>
        <v/>
      </c>
      <c r="D391" s="4">
        <f>SE(A391="";"";ÍNDICE(Configurações!$B$35:$B$46;MÊS(A391)))</f>
        <v/>
      </c>
      <c r="E391" s="17" t="n"/>
      <c r="F391" s="3" t="n"/>
      <c r="G391" s="3" t="n"/>
      <c r="H391" s="3" t="n"/>
    </row>
    <row r="392">
      <c r="A392" s="15" t="n"/>
      <c r="B392" s="3" t="n"/>
      <c r="C392" s="4">
        <f>SE(B392="";"";SEERRO(PROCV(B392;'Cadastro Dizimistas'!$B$3:$C$502;2;FALSO);""))</f>
        <v/>
      </c>
      <c r="D392" s="4">
        <f>SE(A392="";"";ÍNDICE(Configurações!$B$35:$B$46;MÊS(A392)))</f>
        <v/>
      </c>
      <c r="E392" s="17" t="n"/>
      <c r="F392" s="3" t="n"/>
      <c r="G392" s="3" t="n"/>
      <c r="H392" s="3" t="n"/>
    </row>
    <row r="393">
      <c r="A393" s="15" t="n"/>
      <c r="B393" s="3" t="n"/>
      <c r="C393" s="4">
        <f>SE(B393="";"";SEERRO(PROCV(B393;'Cadastro Dizimistas'!$B$3:$C$502;2;FALSO);""))</f>
        <v/>
      </c>
      <c r="D393" s="4">
        <f>SE(A393="";"";ÍNDICE(Configurações!$B$35:$B$46;MÊS(A393)))</f>
        <v/>
      </c>
      <c r="E393" s="17" t="n"/>
      <c r="F393" s="3" t="n"/>
      <c r="G393" s="3" t="n"/>
      <c r="H393" s="3" t="n"/>
    </row>
    <row r="394">
      <c r="A394" s="15" t="n"/>
      <c r="B394" s="3" t="n"/>
      <c r="C394" s="4">
        <f>SE(B394="";"";SEERRO(PROCV(B394;'Cadastro Dizimistas'!$B$3:$C$502;2;FALSO);""))</f>
        <v/>
      </c>
      <c r="D394" s="4">
        <f>SE(A394="";"";ÍNDICE(Configurações!$B$35:$B$46;MÊS(A394)))</f>
        <v/>
      </c>
      <c r="E394" s="17" t="n"/>
      <c r="F394" s="3" t="n"/>
      <c r="G394" s="3" t="n"/>
      <c r="H394" s="3" t="n"/>
    </row>
    <row r="395">
      <c r="A395" s="15" t="n"/>
      <c r="B395" s="3" t="n"/>
      <c r="C395" s="4">
        <f>SE(B395="";"";SEERRO(PROCV(B395;'Cadastro Dizimistas'!$B$3:$C$502;2;FALSO);""))</f>
        <v/>
      </c>
      <c r="D395" s="4">
        <f>SE(A395="";"";ÍNDICE(Configurações!$B$35:$B$46;MÊS(A395)))</f>
        <v/>
      </c>
      <c r="E395" s="17" t="n"/>
      <c r="F395" s="3" t="n"/>
      <c r="G395" s="3" t="n"/>
      <c r="H395" s="3" t="n"/>
    </row>
    <row r="396">
      <c r="A396" s="15" t="n"/>
      <c r="B396" s="3" t="n"/>
      <c r="C396" s="4">
        <f>SE(B396="";"";SEERRO(PROCV(B396;'Cadastro Dizimistas'!$B$3:$C$502;2;FALSO);""))</f>
        <v/>
      </c>
      <c r="D396" s="4">
        <f>SE(A396="";"";ÍNDICE(Configurações!$B$35:$B$46;MÊS(A396)))</f>
        <v/>
      </c>
      <c r="E396" s="17" t="n"/>
      <c r="F396" s="3" t="n"/>
      <c r="G396" s="3" t="n"/>
      <c r="H396" s="3" t="n"/>
    </row>
    <row r="397">
      <c r="A397" s="15" t="n"/>
      <c r="B397" s="3" t="n"/>
      <c r="C397" s="4">
        <f>SE(B397="";"";SEERRO(PROCV(B397;'Cadastro Dizimistas'!$B$3:$C$502;2;FALSO);""))</f>
        <v/>
      </c>
      <c r="D397" s="4">
        <f>SE(A397="";"";ÍNDICE(Configurações!$B$35:$B$46;MÊS(A397)))</f>
        <v/>
      </c>
      <c r="E397" s="17" t="n"/>
      <c r="F397" s="3" t="n"/>
      <c r="G397" s="3" t="n"/>
      <c r="H397" s="3" t="n"/>
    </row>
    <row r="398">
      <c r="A398" s="15" t="n"/>
      <c r="B398" s="3" t="n"/>
      <c r="C398" s="4">
        <f>SE(B398="";"";SEERRO(PROCV(B398;'Cadastro Dizimistas'!$B$3:$C$502;2;FALSO);""))</f>
        <v/>
      </c>
      <c r="D398" s="4">
        <f>SE(A398="";"";ÍNDICE(Configurações!$B$35:$B$46;MÊS(A398)))</f>
        <v/>
      </c>
      <c r="E398" s="17" t="n"/>
      <c r="F398" s="3" t="n"/>
      <c r="G398" s="3" t="n"/>
      <c r="H398" s="3" t="n"/>
    </row>
    <row r="399">
      <c r="A399" s="15" t="n"/>
      <c r="B399" s="3" t="n"/>
      <c r="C399" s="4">
        <f>SE(B399="";"";SEERRO(PROCV(B399;'Cadastro Dizimistas'!$B$3:$C$502;2;FALSO);""))</f>
        <v/>
      </c>
      <c r="D399" s="4">
        <f>SE(A399="";"";ÍNDICE(Configurações!$B$35:$B$46;MÊS(A399)))</f>
        <v/>
      </c>
      <c r="E399" s="17" t="n"/>
      <c r="F399" s="3" t="n"/>
      <c r="G399" s="3" t="n"/>
      <c r="H399" s="3" t="n"/>
    </row>
    <row r="400">
      <c r="A400" s="15" t="n"/>
      <c r="B400" s="3" t="n"/>
      <c r="C400" s="4">
        <f>SE(B400="";"";SEERRO(PROCV(B400;'Cadastro Dizimistas'!$B$3:$C$502;2;FALSO);""))</f>
        <v/>
      </c>
      <c r="D400" s="4">
        <f>SE(A400="";"";ÍNDICE(Configurações!$B$35:$B$46;MÊS(A400)))</f>
        <v/>
      </c>
      <c r="E400" s="17" t="n"/>
      <c r="F400" s="3" t="n"/>
      <c r="G400" s="3" t="n"/>
      <c r="H400" s="3" t="n"/>
    </row>
    <row r="401">
      <c r="A401" s="15" t="n"/>
      <c r="B401" s="3" t="n"/>
      <c r="C401" s="4">
        <f>SE(B401="";"";SEERRO(PROCV(B401;'Cadastro Dizimistas'!$B$3:$C$502;2;FALSO);""))</f>
        <v/>
      </c>
      <c r="D401" s="4">
        <f>SE(A401="";"";ÍNDICE(Configurações!$B$35:$B$46;MÊS(A401)))</f>
        <v/>
      </c>
      <c r="E401" s="17" t="n"/>
      <c r="F401" s="3" t="n"/>
      <c r="G401" s="3" t="n"/>
      <c r="H401" s="3" t="n"/>
    </row>
    <row r="402">
      <c r="A402" s="15" t="n"/>
      <c r="B402" s="3" t="n"/>
      <c r="C402" s="4">
        <f>SE(B402="";"";SEERRO(PROCV(B402;'Cadastro Dizimistas'!$B$3:$C$502;2;FALSO);""))</f>
        <v/>
      </c>
      <c r="D402" s="4">
        <f>SE(A402="";"";ÍNDICE(Configurações!$B$35:$B$46;MÊS(A402)))</f>
        <v/>
      </c>
      <c r="E402" s="17" t="n"/>
      <c r="F402" s="3" t="n"/>
      <c r="G402" s="3" t="n"/>
      <c r="H402" s="3" t="n"/>
    </row>
    <row r="403">
      <c r="A403" s="15" t="n"/>
      <c r="B403" s="3" t="n"/>
      <c r="C403" s="4">
        <f>SE(B403="";"";SEERRO(PROCV(B403;'Cadastro Dizimistas'!$B$3:$C$502;2;FALSO);""))</f>
        <v/>
      </c>
      <c r="D403" s="4">
        <f>SE(A403="";"";ÍNDICE(Configurações!$B$35:$B$46;MÊS(A403)))</f>
        <v/>
      </c>
      <c r="E403" s="17" t="n"/>
      <c r="F403" s="3" t="n"/>
      <c r="G403" s="3" t="n"/>
      <c r="H403" s="3" t="n"/>
    </row>
    <row r="404">
      <c r="A404" s="15" t="n"/>
      <c r="B404" s="3" t="n"/>
      <c r="C404" s="4">
        <f>SE(B404="";"";SEERRO(PROCV(B404;'Cadastro Dizimistas'!$B$3:$C$502;2;FALSO);""))</f>
        <v/>
      </c>
      <c r="D404" s="4">
        <f>SE(A404="";"";ÍNDICE(Configurações!$B$35:$B$46;MÊS(A404)))</f>
        <v/>
      </c>
      <c r="E404" s="17" t="n"/>
      <c r="F404" s="3" t="n"/>
      <c r="G404" s="3" t="n"/>
      <c r="H404" s="3" t="n"/>
    </row>
    <row r="405">
      <c r="A405" s="15" t="n"/>
      <c r="B405" s="3" t="n"/>
      <c r="C405" s="4">
        <f>SE(B405="";"";SEERRO(PROCV(B405;'Cadastro Dizimistas'!$B$3:$C$502;2;FALSO);""))</f>
        <v/>
      </c>
      <c r="D405" s="4">
        <f>SE(A405="";"";ÍNDICE(Configurações!$B$35:$B$46;MÊS(A405)))</f>
        <v/>
      </c>
      <c r="E405" s="17" t="n"/>
      <c r="F405" s="3" t="n"/>
      <c r="G405" s="3" t="n"/>
      <c r="H405" s="3" t="n"/>
    </row>
    <row r="406">
      <c r="A406" s="15" t="n"/>
      <c r="B406" s="3" t="n"/>
      <c r="C406" s="4">
        <f>SE(B406="";"";SEERRO(PROCV(B406;'Cadastro Dizimistas'!$B$3:$C$502;2;FALSO);""))</f>
        <v/>
      </c>
      <c r="D406" s="4">
        <f>SE(A406="";"";ÍNDICE(Configurações!$B$35:$B$46;MÊS(A406)))</f>
        <v/>
      </c>
      <c r="E406" s="17" t="n"/>
      <c r="F406" s="3" t="n"/>
      <c r="G406" s="3" t="n"/>
      <c r="H406" s="3" t="n"/>
    </row>
    <row r="407">
      <c r="A407" s="15" t="n"/>
      <c r="B407" s="3" t="n"/>
      <c r="C407" s="4">
        <f>SE(B407="";"";SEERRO(PROCV(B407;'Cadastro Dizimistas'!$B$3:$C$502;2;FALSO);""))</f>
        <v/>
      </c>
      <c r="D407" s="4">
        <f>SE(A407="";"";ÍNDICE(Configurações!$B$35:$B$46;MÊS(A407)))</f>
        <v/>
      </c>
      <c r="E407" s="17" t="n"/>
      <c r="F407" s="3" t="n"/>
      <c r="G407" s="3" t="n"/>
      <c r="H407" s="3" t="n"/>
    </row>
    <row r="408">
      <c r="A408" s="15" t="n"/>
      <c r="B408" s="3" t="n"/>
      <c r="C408" s="4">
        <f>SE(B408="";"";SEERRO(PROCV(B408;'Cadastro Dizimistas'!$B$3:$C$502;2;FALSO);""))</f>
        <v/>
      </c>
      <c r="D408" s="4">
        <f>SE(A408="";"";ÍNDICE(Configurações!$B$35:$B$46;MÊS(A408)))</f>
        <v/>
      </c>
      <c r="E408" s="17" t="n"/>
      <c r="F408" s="3" t="n"/>
      <c r="G408" s="3" t="n"/>
      <c r="H408" s="3" t="n"/>
    </row>
    <row r="409">
      <c r="A409" s="15" t="n"/>
      <c r="B409" s="3" t="n"/>
      <c r="C409" s="4">
        <f>SE(B409="";"";SEERRO(PROCV(B409;'Cadastro Dizimistas'!$B$3:$C$502;2;FALSO);""))</f>
        <v/>
      </c>
      <c r="D409" s="4">
        <f>SE(A409="";"";ÍNDICE(Configurações!$B$35:$B$46;MÊS(A409)))</f>
        <v/>
      </c>
      <c r="E409" s="17" t="n"/>
      <c r="F409" s="3" t="n"/>
      <c r="G409" s="3" t="n"/>
      <c r="H409" s="3" t="n"/>
    </row>
    <row r="410">
      <c r="A410" s="15" t="n"/>
      <c r="B410" s="3" t="n"/>
      <c r="C410" s="4">
        <f>SE(B410="";"";SEERRO(PROCV(B410;'Cadastro Dizimistas'!$B$3:$C$502;2;FALSO);""))</f>
        <v/>
      </c>
      <c r="D410" s="4">
        <f>SE(A410="";"";ÍNDICE(Configurações!$B$35:$B$46;MÊS(A410)))</f>
        <v/>
      </c>
      <c r="E410" s="17" t="n"/>
      <c r="F410" s="3" t="n"/>
      <c r="G410" s="3" t="n"/>
      <c r="H410" s="3" t="n"/>
    </row>
    <row r="411">
      <c r="A411" s="15" t="n"/>
      <c r="B411" s="3" t="n"/>
      <c r="C411" s="4">
        <f>SE(B411="";"";SEERRO(PROCV(B411;'Cadastro Dizimistas'!$B$3:$C$502;2;FALSO);""))</f>
        <v/>
      </c>
      <c r="D411" s="4">
        <f>SE(A411="";"";ÍNDICE(Configurações!$B$35:$B$46;MÊS(A411)))</f>
        <v/>
      </c>
      <c r="E411" s="17" t="n"/>
      <c r="F411" s="3" t="n"/>
      <c r="G411" s="3" t="n"/>
      <c r="H411" s="3" t="n"/>
    </row>
    <row r="412">
      <c r="A412" s="15" t="n"/>
      <c r="B412" s="3" t="n"/>
      <c r="C412" s="4">
        <f>SE(B412="";"";SEERRO(PROCV(B412;'Cadastro Dizimistas'!$B$3:$C$502;2;FALSO);""))</f>
        <v/>
      </c>
      <c r="D412" s="4">
        <f>SE(A412="";"";ÍNDICE(Configurações!$B$35:$B$46;MÊS(A412)))</f>
        <v/>
      </c>
      <c r="E412" s="17" t="n"/>
      <c r="F412" s="3" t="n"/>
      <c r="G412" s="3" t="n"/>
      <c r="H412" s="3" t="n"/>
    </row>
    <row r="413">
      <c r="A413" s="15" t="n"/>
      <c r="B413" s="3" t="n"/>
      <c r="C413" s="4">
        <f>SE(B413="";"";SEERRO(PROCV(B413;'Cadastro Dizimistas'!$B$3:$C$502;2;FALSO);""))</f>
        <v/>
      </c>
      <c r="D413" s="4">
        <f>SE(A413="";"";ÍNDICE(Configurações!$B$35:$B$46;MÊS(A413)))</f>
        <v/>
      </c>
      <c r="E413" s="17" t="n"/>
      <c r="F413" s="3" t="n"/>
      <c r="G413" s="3" t="n"/>
      <c r="H413" s="3" t="n"/>
    </row>
    <row r="414">
      <c r="A414" s="15" t="n"/>
      <c r="B414" s="3" t="n"/>
      <c r="C414" s="4">
        <f>SE(B414="";"";SEERRO(PROCV(B414;'Cadastro Dizimistas'!$B$3:$C$502;2;FALSO);""))</f>
        <v/>
      </c>
      <c r="D414" s="4">
        <f>SE(A414="";"";ÍNDICE(Configurações!$B$35:$B$46;MÊS(A414)))</f>
        <v/>
      </c>
      <c r="E414" s="17" t="n"/>
      <c r="F414" s="3" t="n"/>
      <c r="G414" s="3" t="n"/>
      <c r="H414" s="3" t="n"/>
    </row>
    <row r="415">
      <c r="A415" s="15" t="n"/>
      <c r="B415" s="3" t="n"/>
      <c r="C415" s="4">
        <f>SE(B415="";"";SEERRO(PROCV(B415;'Cadastro Dizimistas'!$B$3:$C$502;2;FALSO);""))</f>
        <v/>
      </c>
      <c r="D415" s="4">
        <f>SE(A415="";"";ÍNDICE(Configurações!$B$35:$B$46;MÊS(A415)))</f>
        <v/>
      </c>
      <c r="E415" s="17" t="n"/>
      <c r="F415" s="3" t="n"/>
      <c r="G415" s="3" t="n"/>
      <c r="H415" s="3" t="n"/>
    </row>
    <row r="416">
      <c r="A416" s="15" t="n"/>
      <c r="B416" s="3" t="n"/>
      <c r="C416" s="4">
        <f>SE(B416="";"";SEERRO(PROCV(B416;'Cadastro Dizimistas'!$B$3:$C$502;2;FALSO);""))</f>
        <v/>
      </c>
      <c r="D416" s="4">
        <f>SE(A416="";"";ÍNDICE(Configurações!$B$35:$B$46;MÊS(A416)))</f>
        <v/>
      </c>
      <c r="E416" s="17" t="n"/>
      <c r="F416" s="3" t="n"/>
      <c r="G416" s="3" t="n"/>
      <c r="H416" s="3" t="n"/>
    </row>
    <row r="417">
      <c r="A417" s="15" t="n"/>
      <c r="B417" s="3" t="n"/>
      <c r="C417" s="4">
        <f>SE(B417="";"";SEERRO(PROCV(B417;'Cadastro Dizimistas'!$B$3:$C$502;2;FALSO);""))</f>
        <v/>
      </c>
      <c r="D417" s="4">
        <f>SE(A417="";"";ÍNDICE(Configurações!$B$35:$B$46;MÊS(A417)))</f>
        <v/>
      </c>
      <c r="E417" s="17" t="n"/>
      <c r="F417" s="3" t="n"/>
      <c r="G417" s="3" t="n"/>
      <c r="H417" s="3" t="n"/>
    </row>
    <row r="418">
      <c r="A418" s="15" t="n"/>
      <c r="B418" s="3" t="n"/>
      <c r="C418" s="4">
        <f>SE(B418="";"";SEERRO(PROCV(B418;'Cadastro Dizimistas'!$B$3:$C$502;2;FALSO);""))</f>
        <v/>
      </c>
      <c r="D418" s="4">
        <f>SE(A418="";"";ÍNDICE(Configurações!$B$35:$B$46;MÊS(A418)))</f>
        <v/>
      </c>
      <c r="E418" s="17" t="n"/>
      <c r="F418" s="3" t="n"/>
      <c r="G418" s="3" t="n"/>
      <c r="H418" s="3" t="n"/>
    </row>
    <row r="419">
      <c r="A419" s="15" t="n"/>
      <c r="B419" s="3" t="n"/>
      <c r="C419" s="4">
        <f>SE(B419="";"";SEERRO(PROCV(B419;'Cadastro Dizimistas'!$B$3:$C$502;2;FALSO);""))</f>
        <v/>
      </c>
      <c r="D419" s="4">
        <f>SE(A419="";"";ÍNDICE(Configurações!$B$35:$B$46;MÊS(A419)))</f>
        <v/>
      </c>
      <c r="E419" s="17" t="n"/>
      <c r="F419" s="3" t="n"/>
      <c r="G419" s="3" t="n"/>
      <c r="H419" s="3" t="n"/>
    </row>
    <row r="420">
      <c r="A420" s="15" t="n"/>
      <c r="B420" s="3" t="n"/>
      <c r="C420" s="4">
        <f>SE(B420="";"";SEERRO(PROCV(B420;'Cadastro Dizimistas'!$B$3:$C$502;2;FALSO);""))</f>
        <v/>
      </c>
      <c r="D420" s="4">
        <f>SE(A420="";"";ÍNDICE(Configurações!$B$35:$B$46;MÊS(A420)))</f>
        <v/>
      </c>
      <c r="E420" s="17" t="n"/>
      <c r="F420" s="3" t="n"/>
      <c r="G420" s="3" t="n"/>
      <c r="H420" s="3" t="n"/>
    </row>
    <row r="421">
      <c r="A421" s="15" t="n"/>
      <c r="B421" s="3" t="n"/>
      <c r="C421" s="4">
        <f>SE(B421="";"";SEERRO(PROCV(B421;'Cadastro Dizimistas'!$B$3:$C$502;2;FALSO);""))</f>
        <v/>
      </c>
      <c r="D421" s="4">
        <f>SE(A421="";"";ÍNDICE(Configurações!$B$35:$B$46;MÊS(A421)))</f>
        <v/>
      </c>
      <c r="E421" s="17" t="n"/>
      <c r="F421" s="3" t="n"/>
      <c r="G421" s="3" t="n"/>
      <c r="H421" s="3" t="n"/>
    </row>
    <row r="422">
      <c r="A422" s="15" t="n"/>
      <c r="B422" s="3" t="n"/>
      <c r="C422" s="4">
        <f>SE(B422="";"";SEERRO(PROCV(B422;'Cadastro Dizimistas'!$B$3:$C$502;2;FALSO);""))</f>
        <v/>
      </c>
      <c r="D422" s="4">
        <f>SE(A422="";"";ÍNDICE(Configurações!$B$35:$B$46;MÊS(A422)))</f>
        <v/>
      </c>
      <c r="E422" s="17" t="n"/>
      <c r="F422" s="3" t="n"/>
      <c r="G422" s="3" t="n"/>
      <c r="H422" s="3" t="n"/>
    </row>
    <row r="423">
      <c r="A423" s="15" t="n"/>
      <c r="B423" s="3" t="n"/>
      <c r="C423" s="4">
        <f>SE(B423="";"";SEERRO(PROCV(B423;'Cadastro Dizimistas'!$B$3:$C$502;2;FALSO);""))</f>
        <v/>
      </c>
      <c r="D423" s="4">
        <f>SE(A423="";"";ÍNDICE(Configurações!$B$35:$B$46;MÊS(A423)))</f>
        <v/>
      </c>
      <c r="E423" s="17" t="n"/>
      <c r="F423" s="3" t="n"/>
      <c r="G423" s="3" t="n"/>
      <c r="H423" s="3" t="n"/>
    </row>
    <row r="424">
      <c r="A424" s="15" t="n"/>
      <c r="B424" s="3" t="n"/>
      <c r="C424" s="4">
        <f>SE(B424="";"";SEERRO(PROCV(B424;'Cadastro Dizimistas'!$B$3:$C$502;2;FALSO);""))</f>
        <v/>
      </c>
      <c r="D424" s="4">
        <f>SE(A424="";"";ÍNDICE(Configurações!$B$35:$B$46;MÊS(A424)))</f>
        <v/>
      </c>
      <c r="E424" s="17" t="n"/>
      <c r="F424" s="3" t="n"/>
      <c r="G424" s="3" t="n"/>
      <c r="H424" s="3" t="n"/>
    </row>
    <row r="425">
      <c r="A425" s="15" t="n"/>
      <c r="B425" s="3" t="n"/>
      <c r="C425" s="4">
        <f>SE(B425="";"";SEERRO(PROCV(B425;'Cadastro Dizimistas'!$B$3:$C$502;2;FALSO);""))</f>
        <v/>
      </c>
      <c r="D425" s="4">
        <f>SE(A425="";"";ÍNDICE(Configurações!$B$35:$B$46;MÊS(A425)))</f>
        <v/>
      </c>
      <c r="E425" s="17" t="n"/>
      <c r="F425" s="3" t="n"/>
      <c r="G425" s="3" t="n"/>
      <c r="H425" s="3" t="n"/>
    </row>
    <row r="426">
      <c r="A426" s="15" t="n"/>
      <c r="B426" s="3" t="n"/>
      <c r="C426" s="4">
        <f>SE(B426="";"";SEERRO(PROCV(B426;'Cadastro Dizimistas'!$B$3:$C$502;2;FALSO);""))</f>
        <v/>
      </c>
      <c r="D426" s="4">
        <f>SE(A426="";"";ÍNDICE(Configurações!$B$35:$B$46;MÊS(A426)))</f>
        <v/>
      </c>
      <c r="E426" s="17" t="n"/>
      <c r="F426" s="3" t="n"/>
      <c r="G426" s="3" t="n"/>
      <c r="H426" s="3" t="n"/>
    </row>
    <row r="427">
      <c r="A427" s="15" t="n"/>
      <c r="B427" s="3" t="n"/>
      <c r="C427" s="4">
        <f>SE(B427="";"";SEERRO(PROCV(B427;'Cadastro Dizimistas'!$B$3:$C$502;2;FALSO);""))</f>
        <v/>
      </c>
      <c r="D427" s="4">
        <f>SE(A427="";"";ÍNDICE(Configurações!$B$35:$B$46;MÊS(A427)))</f>
        <v/>
      </c>
      <c r="E427" s="17" t="n"/>
      <c r="F427" s="3" t="n"/>
      <c r="G427" s="3" t="n"/>
      <c r="H427" s="3" t="n"/>
    </row>
    <row r="428">
      <c r="A428" s="15" t="n"/>
      <c r="B428" s="3" t="n"/>
      <c r="C428" s="4">
        <f>SE(B428="";"";SEERRO(PROCV(B428;'Cadastro Dizimistas'!$B$3:$C$502;2;FALSO);""))</f>
        <v/>
      </c>
      <c r="D428" s="4">
        <f>SE(A428="";"";ÍNDICE(Configurações!$B$35:$B$46;MÊS(A428)))</f>
        <v/>
      </c>
      <c r="E428" s="17" t="n"/>
      <c r="F428" s="3" t="n"/>
      <c r="G428" s="3" t="n"/>
      <c r="H428" s="3" t="n"/>
    </row>
    <row r="429">
      <c r="A429" s="15" t="n"/>
      <c r="B429" s="3" t="n"/>
      <c r="C429" s="4">
        <f>SE(B429="";"";SEERRO(PROCV(B429;'Cadastro Dizimistas'!$B$3:$C$502;2;FALSO);""))</f>
        <v/>
      </c>
      <c r="D429" s="4">
        <f>SE(A429="";"";ÍNDICE(Configurações!$B$35:$B$46;MÊS(A429)))</f>
        <v/>
      </c>
      <c r="E429" s="17" t="n"/>
      <c r="F429" s="3" t="n"/>
      <c r="G429" s="3" t="n"/>
      <c r="H429" s="3" t="n"/>
    </row>
    <row r="430">
      <c r="A430" s="15" t="n"/>
      <c r="B430" s="3" t="n"/>
      <c r="C430" s="4">
        <f>SE(B430="";"";SEERRO(PROCV(B430;'Cadastro Dizimistas'!$B$3:$C$502;2;FALSO);""))</f>
        <v/>
      </c>
      <c r="D430" s="4">
        <f>SE(A430="";"";ÍNDICE(Configurações!$B$35:$B$46;MÊS(A430)))</f>
        <v/>
      </c>
      <c r="E430" s="17" t="n"/>
      <c r="F430" s="3" t="n"/>
      <c r="G430" s="3" t="n"/>
      <c r="H430" s="3" t="n"/>
    </row>
    <row r="431">
      <c r="A431" s="15" t="n"/>
      <c r="B431" s="3" t="n"/>
      <c r="C431" s="4">
        <f>SE(B431="";"";SEERRO(PROCV(B431;'Cadastro Dizimistas'!$B$3:$C$502;2;FALSO);""))</f>
        <v/>
      </c>
      <c r="D431" s="4">
        <f>SE(A431="";"";ÍNDICE(Configurações!$B$35:$B$46;MÊS(A431)))</f>
        <v/>
      </c>
      <c r="E431" s="17" t="n"/>
      <c r="F431" s="3" t="n"/>
      <c r="G431" s="3" t="n"/>
      <c r="H431" s="3" t="n"/>
    </row>
    <row r="432">
      <c r="A432" s="15" t="n"/>
      <c r="B432" s="3" t="n"/>
      <c r="C432" s="4">
        <f>SE(B432="";"";SEERRO(PROCV(B432;'Cadastro Dizimistas'!$B$3:$C$502;2;FALSO);""))</f>
        <v/>
      </c>
      <c r="D432" s="4">
        <f>SE(A432="";"";ÍNDICE(Configurações!$B$35:$B$46;MÊS(A432)))</f>
        <v/>
      </c>
      <c r="E432" s="17" t="n"/>
      <c r="F432" s="3" t="n"/>
      <c r="G432" s="3" t="n"/>
      <c r="H432" s="3" t="n"/>
    </row>
    <row r="433">
      <c r="A433" s="15" t="n"/>
      <c r="B433" s="3" t="n"/>
      <c r="C433" s="4">
        <f>SE(B433="";"";SEERRO(PROCV(B433;'Cadastro Dizimistas'!$B$3:$C$502;2;FALSO);""))</f>
        <v/>
      </c>
      <c r="D433" s="4">
        <f>SE(A433="";"";ÍNDICE(Configurações!$B$35:$B$46;MÊS(A433)))</f>
        <v/>
      </c>
      <c r="E433" s="17" t="n"/>
      <c r="F433" s="3" t="n"/>
      <c r="G433" s="3" t="n"/>
      <c r="H433" s="3" t="n"/>
    </row>
    <row r="434">
      <c r="A434" s="15" t="n"/>
      <c r="B434" s="3" t="n"/>
      <c r="C434" s="4">
        <f>SE(B434="";"";SEERRO(PROCV(B434;'Cadastro Dizimistas'!$B$3:$C$502;2;FALSO);""))</f>
        <v/>
      </c>
      <c r="D434" s="4">
        <f>SE(A434="";"";ÍNDICE(Configurações!$B$35:$B$46;MÊS(A434)))</f>
        <v/>
      </c>
      <c r="E434" s="17" t="n"/>
      <c r="F434" s="3" t="n"/>
      <c r="G434" s="3" t="n"/>
      <c r="H434" s="3" t="n"/>
    </row>
    <row r="435">
      <c r="A435" s="15" t="n"/>
      <c r="B435" s="3" t="n"/>
      <c r="C435" s="4">
        <f>SE(B435="";"";SEERRO(PROCV(B435;'Cadastro Dizimistas'!$B$3:$C$502;2;FALSO);""))</f>
        <v/>
      </c>
      <c r="D435" s="4">
        <f>SE(A435="";"";ÍNDICE(Configurações!$B$35:$B$46;MÊS(A435)))</f>
        <v/>
      </c>
      <c r="E435" s="17" t="n"/>
      <c r="F435" s="3" t="n"/>
      <c r="G435" s="3" t="n"/>
      <c r="H435" s="3" t="n"/>
    </row>
    <row r="436">
      <c r="A436" s="15" t="n"/>
      <c r="B436" s="3" t="n"/>
      <c r="C436" s="4">
        <f>SE(B436="";"";SEERRO(PROCV(B436;'Cadastro Dizimistas'!$B$3:$C$502;2;FALSO);""))</f>
        <v/>
      </c>
      <c r="D436" s="4">
        <f>SE(A436="";"";ÍNDICE(Configurações!$B$35:$B$46;MÊS(A436)))</f>
        <v/>
      </c>
      <c r="E436" s="17" t="n"/>
      <c r="F436" s="3" t="n"/>
      <c r="G436" s="3" t="n"/>
      <c r="H436" s="3" t="n"/>
    </row>
    <row r="437">
      <c r="A437" s="15" t="n"/>
      <c r="B437" s="3" t="n"/>
      <c r="C437" s="4">
        <f>SE(B437="";"";SEERRO(PROCV(B437;'Cadastro Dizimistas'!$B$3:$C$502;2;FALSO);""))</f>
        <v/>
      </c>
      <c r="D437" s="4">
        <f>SE(A437="";"";ÍNDICE(Configurações!$B$35:$B$46;MÊS(A437)))</f>
        <v/>
      </c>
      <c r="E437" s="17" t="n"/>
      <c r="F437" s="3" t="n"/>
      <c r="G437" s="3" t="n"/>
      <c r="H437" s="3" t="n"/>
    </row>
    <row r="438">
      <c r="A438" s="15" t="n"/>
      <c r="B438" s="3" t="n"/>
      <c r="C438" s="4">
        <f>SE(B438="";"";SEERRO(PROCV(B438;'Cadastro Dizimistas'!$B$3:$C$502;2;FALSO);""))</f>
        <v/>
      </c>
      <c r="D438" s="4">
        <f>SE(A438="";"";ÍNDICE(Configurações!$B$35:$B$46;MÊS(A438)))</f>
        <v/>
      </c>
      <c r="E438" s="17" t="n"/>
      <c r="F438" s="3" t="n"/>
      <c r="G438" s="3" t="n"/>
      <c r="H438" s="3" t="n"/>
    </row>
    <row r="439">
      <c r="A439" s="15" t="n"/>
      <c r="B439" s="3" t="n"/>
      <c r="C439" s="4">
        <f>SE(B439="";"";SEERRO(PROCV(B439;'Cadastro Dizimistas'!$B$3:$C$502;2;FALSO);""))</f>
        <v/>
      </c>
      <c r="D439" s="4">
        <f>SE(A439="";"";ÍNDICE(Configurações!$B$35:$B$46;MÊS(A439)))</f>
        <v/>
      </c>
      <c r="E439" s="17" t="n"/>
      <c r="F439" s="3" t="n"/>
      <c r="G439" s="3" t="n"/>
      <c r="H439" s="3" t="n"/>
    </row>
    <row r="440">
      <c r="A440" s="15" t="n"/>
      <c r="B440" s="3" t="n"/>
      <c r="C440" s="4">
        <f>SE(B440="";"";SEERRO(PROCV(B440;'Cadastro Dizimistas'!$B$3:$C$502;2;FALSO);""))</f>
        <v/>
      </c>
      <c r="D440" s="4">
        <f>SE(A440="";"";ÍNDICE(Configurações!$B$35:$B$46;MÊS(A440)))</f>
        <v/>
      </c>
      <c r="E440" s="17" t="n"/>
      <c r="F440" s="3" t="n"/>
      <c r="G440" s="3" t="n"/>
      <c r="H440" s="3" t="n"/>
    </row>
    <row r="441">
      <c r="A441" s="15" t="n"/>
      <c r="B441" s="3" t="n"/>
      <c r="C441" s="4">
        <f>SE(B441="";"";SEERRO(PROCV(B441;'Cadastro Dizimistas'!$B$3:$C$502;2;FALSO);""))</f>
        <v/>
      </c>
      <c r="D441" s="4">
        <f>SE(A441="";"";ÍNDICE(Configurações!$B$35:$B$46;MÊS(A441)))</f>
        <v/>
      </c>
      <c r="E441" s="17" t="n"/>
      <c r="F441" s="3" t="n"/>
      <c r="G441" s="3" t="n"/>
      <c r="H441" s="3" t="n"/>
    </row>
    <row r="442">
      <c r="A442" s="15" t="n"/>
      <c r="B442" s="3" t="n"/>
      <c r="C442" s="4">
        <f>SE(B442="";"";SEERRO(PROCV(B442;'Cadastro Dizimistas'!$B$3:$C$502;2;FALSO);""))</f>
        <v/>
      </c>
      <c r="D442" s="4">
        <f>SE(A442="";"";ÍNDICE(Configurações!$B$35:$B$46;MÊS(A442)))</f>
        <v/>
      </c>
      <c r="E442" s="17" t="n"/>
      <c r="F442" s="3" t="n"/>
      <c r="G442" s="3" t="n"/>
      <c r="H442" s="3" t="n"/>
    </row>
    <row r="443">
      <c r="A443" s="15" t="n"/>
      <c r="B443" s="3" t="n"/>
      <c r="C443" s="4">
        <f>SE(B443="";"";SEERRO(PROCV(B443;'Cadastro Dizimistas'!$B$3:$C$502;2;FALSO);""))</f>
        <v/>
      </c>
      <c r="D443" s="4">
        <f>SE(A443="";"";ÍNDICE(Configurações!$B$35:$B$46;MÊS(A443)))</f>
        <v/>
      </c>
      <c r="E443" s="17" t="n"/>
      <c r="F443" s="3" t="n"/>
      <c r="G443" s="3" t="n"/>
      <c r="H443" s="3" t="n"/>
    </row>
    <row r="444">
      <c r="A444" s="15" t="n"/>
      <c r="B444" s="3" t="n"/>
      <c r="C444" s="4">
        <f>SE(B444="";"";SEERRO(PROCV(B444;'Cadastro Dizimistas'!$B$3:$C$502;2;FALSO);""))</f>
        <v/>
      </c>
      <c r="D444" s="4">
        <f>SE(A444="";"";ÍNDICE(Configurações!$B$35:$B$46;MÊS(A444)))</f>
        <v/>
      </c>
      <c r="E444" s="17" t="n"/>
      <c r="F444" s="3" t="n"/>
      <c r="G444" s="3" t="n"/>
      <c r="H444" s="3" t="n"/>
    </row>
    <row r="445">
      <c r="A445" s="15" t="n"/>
      <c r="B445" s="3" t="n"/>
      <c r="C445" s="4">
        <f>SE(B445="";"";SEERRO(PROCV(B445;'Cadastro Dizimistas'!$B$3:$C$502;2;FALSO);""))</f>
        <v/>
      </c>
      <c r="D445" s="4">
        <f>SE(A445="";"";ÍNDICE(Configurações!$B$35:$B$46;MÊS(A445)))</f>
        <v/>
      </c>
      <c r="E445" s="17" t="n"/>
      <c r="F445" s="3" t="n"/>
      <c r="G445" s="3" t="n"/>
      <c r="H445" s="3" t="n"/>
    </row>
    <row r="446">
      <c r="A446" s="15" t="n"/>
      <c r="B446" s="3" t="n"/>
      <c r="C446" s="4">
        <f>SE(B446="";"";SEERRO(PROCV(B446;'Cadastro Dizimistas'!$B$3:$C$502;2;FALSO);""))</f>
        <v/>
      </c>
      <c r="D446" s="4">
        <f>SE(A446="";"";ÍNDICE(Configurações!$B$35:$B$46;MÊS(A446)))</f>
        <v/>
      </c>
      <c r="E446" s="17" t="n"/>
      <c r="F446" s="3" t="n"/>
      <c r="G446" s="3" t="n"/>
      <c r="H446" s="3" t="n"/>
    </row>
    <row r="447">
      <c r="A447" s="15" t="n"/>
      <c r="B447" s="3" t="n"/>
      <c r="C447" s="4">
        <f>SE(B447="";"";SEERRO(PROCV(B447;'Cadastro Dizimistas'!$B$3:$C$502;2;FALSO);""))</f>
        <v/>
      </c>
      <c r="D447" s="4">
        <f>SE(A447="";"";ÍNDICE(Configurações!$B$35:$B$46;MÊS(A447)))</f>
        <v/>
      </c>
      <c r="E447" s="17" t="n"/>
      <c r="F447" s="3" t="n"/>
      <c r="G447" s="3" t="n"/>
      <c r="H447" s="3" t="n"/>
    </row>
    <row r="448">
      <c r="A448" s="15" t="n"/>
      <c r="B448" s="3" t="n"/>
      <c r="C448" s="4">
        <f>SE(B448="";"";SEERRO(PROCV(B448;'Cadastro Dizimistas'!$B$3:$C$502;2;FALSO);""))</f>
        <v/>
      </c>
      <c r="D448" s="4">
        <f>SE(A448="";"";ÍNDICE(Configurações!$B$35:$B$46;MÊS(A448)))</f>
        <v/>
      </c>
      <c r="E448" s="17" t="n"/>
      <c r="F448" s="3" t="n"/>
      <c r="G448" s="3" t="n"/>
      <c r="H448" s="3" t="n"/>
    </row>
    <row r="449">
      <c r="A449" s="15" t="n"/>
      <c r="B449" s="3" t="n"/>
      <c r="C449" s="4">
        <f>SE(B449="";"";SEERRO(PROCV(B449;'Cadastro Dizimistas'!$B$3:$C$502;2;FALSO);""))</f>
        <v/>
      </c>
      <c r="D449" s="4">
        <f>SE(A449="";"";ÍNDICE(Configurações!$B$35:$B$46;MÊS(A449)))</f>
        <v/>
      </c>
      <c r="E449" s="17" t="n"/>
      <c r="F449" s="3" t="n"/>
      <c r="G449" s="3" t="n"/>
      <c r="H449" s="3" t="n"/>
    </row>
    <row r="450">
      <c r="A450" s="15" t="n"/>
      <c r="B450" s="3" t="n"/>
      <c r="C450" s="4">
        <f>SE(B450="";"";SEERRO(PROCV(B450;'Cadastro Dizimistas'!$B$3:$C$502;2;FALSO);""))</f>
        <v/>
      </c>
      <c r="D450" s="4">
        <f>SE(A450="";"";ÍNDICE(Configurações!$B$35:$B$46;MÊS(A450)))</f>
        <v/>
      </c>
      <c r="E450" s="17" t="n"/>
      <c r="F450" s="3" t="n"/>
      <c r="G450" s="3" t="n"/>
      <c r="H450" s="3" t="n"/>
    </row>
    <row r="451">
      <c r="A451" s="15" t="n"/>
      <c r="B451" s="3" t="n"/>
      <c r="C451" s="4">
        <f>SE(B451="";"";SEERRO(PROCV(B451;'Cadastro Dizimistas'!$B$3:$C$502;2;FALSO);""))</f>
        <v/>
      </c>
      <c r="D451" s="4">
        <f>SE(A451="";"";ÍNDICE(Configurações!$B$35:$B$46;MÊS(A451)))</f>
        <v/>
      </c>
      <c r="E451" s="17" t="n"/>
      <c r="F451" s="3" t="n"/>
      <c r="G451" s="3" t="n"/>
      <c r="H451" s="3" t="n"/>
    </row>
    <row r="452">
      <c r="A452" s="15" t="n"/>
      <c r="B452" s="3" t="n"/>
      <c r="C452" s="4">
        <f>SE(B452="";"";SEERRO(PROCV(B452;'Cadastro Dizimistas'!$B$3:$C$502;2;FALSO);""))</f>
        <v/>
      </c>
      <c r="D452" s="4">
        <f>SE(A452="";"";ÍNDICE(Configurações!$B$35:$B$46;MÊS(A452)))</f>
        <v/>
      </c>
      <c r="E452" s="17" t="n"/>
      <c r="F452" s="3" t="n"/>
      <c r="G452" s="3" t="n"/>
      <c r="H452" s="3" t="n"/>
    </row>
    <row r="453">
      <c r="A453" s="15" t="n"/>
      <c r="B453" s="3" t="n"/>
      <c r="C453" s="4">
        <f>SE(B453="";"";SEERRO(PROCV(B453;'Cadastro Dizimistas'!$B$3:$C$502;2;FALSO);""))</f>
        <v/>
      </c>
      <c r="D453" s="4">
        <f>SE(A453="";"";ÍNDICE(Configurações!$B$35:$B$46;MÊS(A453)))</f>
        <v/>
      </c>
      <c r="E453" s="17" t="n"/>
      <c r="F453" s="3" t="n"/>
      <c r="G453" s="3" t="n"/>
      <c r="H453" s="3" t="n"/>
    </row>
    <row r="454">
      <c r="A454" s="15" t="n"/>
      <c r="B454" s="3" t="n"/>
      <c r="C454" s="4">
        <f>SE(B454="";"";SEERRO(PROCV(B454;'Cadastro Dizimistas'!$B$3:$C$502;2;FALSO);""))</f>
        <v/>
      </c>
      <c r="D454" s="4">
        <f>SE(A454="";"";ÍNDICE(Configurações!$B$35:$B$46;MÊS(A454)))</f>
        <v/>
      </c>
      <c r="E454" s="17" t="n"/>
      <c r="F454" s="3" t="n"/>
      <c r="G454" s="3" t="n"/>
      <c r="H454" s="3" t="n"/>
    </row>
    <row r="455">
      <c r="A455" s="15" t="n"/>
      <c r="B455" s="3" t="n"/>
      <c r="C455" s="4">
        <f>SE(B455="";"";SEERRO(PROCV(B455;'Cadastro Dizimistas'!$B$3:$C$502;2;FALSO);""))</f>
        <v/>
      </c>
      <c r="D455" s="4">
        <f>SE(A455="";"";ÍNDICE(Configurações!$B$35:$B$46;MÊS(A455)))</f>
        <v/>
      </c>
      <c r="E455" s="17" t="n"/>
      <c r="F455" s="3" t="n"/>
      <c r="G455" s="3" t="n"/>
      <c r="H455" s="3" t="n"/>
    </row>
    <row r="456">
      <c r="A456" s="15" t="n"/>
      <c r="B456" s="3" t="n"/>
      <c r="C456" s="4">
        <f>SE(B456="";"";SEERRO(PROCV(B456;'Cadastro Dizimistas'!$B$3:$C$502;2;FALSO);""))</f>
        <v/>
      </c>
      <c r="D456" s="4">
        <f>SE(A456="";"";ÍNDICE(Configurações!$B$35:$B$46;MÊS(A456)))</f>
        <v/>
      </c>
      <c r="E456" s="17" t="n"/>
      <c r="F456" s="3" t="n"/>
      <c r="G456" s="3" t="n"/>
      <c r="H456" s="3" t="n"/>
    </row>
    <row r="457">
      <c r="A457" s="15" t="n"/>
      <c r="B457" s="3" t="n"/>
      <c r="C457" s="4">
        <f>SE(B457="";"";SEERRO(PROCV(B457;'Cadastro Dizimistas'!$B$3:$C$502;2;FALSO);""))</f>
        <v/>
      </c>
      <c r="D457" s="4">
        <f>SE(A457="";"";ÍNDICE(Configurações!$B$35:$B$46;MÊS(A457)))</f>
        <v/>
      </c>
      <c r="E457" s="17" t="n"/>
      <c r="F457" s="3" t="n"/>
      <c r="G457" s="3" t="n"/>
      <c r="H457" s="3" t="n"/>
    </row>
    <row r="458">
      <c r="A458" s="15" t="n"/>
      <c r="B458" s="3" t="n"/>
      <c r="C458" s="4">
        <f>SE(B458="";"";SEERRO(PROCV(B458;'Cadastro Dizimistas'!$B$3:$C$502;2;FALSO);""))</f>
        <v/>
      </c>
      <c r="D458" s="4">
        <f>SE(A458="";"";ÍNDICE(Configurações!$B$35:$B$46;MÊS(A458)))</f>
        <v/>
      </c>
      <c r="E458" s="17" t="n"/>
      <c r="F458" s="3" t="n"/>
      <c r="G458" s="3" t="n"/>
      <c r="H458" s="3" t="n"/>
    </row>
    <row r="459">
      <c r="A459" s="15" t="n"/>
      <c r="B459" s="3" t="n"/>
      <c r="C459" s="4">
        <f>SE(B459="";"";SEERRO(PROCV(B459;'Cadastro Dizimistas'!$B$3:$C$502;2;FALSO);""))</f>
        <v/>
      </c>
      <c r="D459" s="4">
        <f>SE(A459="";"";ÍNDICE(Configurações!$B$35:$B$46;MÊS(A459)))</f>
        <v/>
      </c>
      <c r="E459" s="17" t="n"/>
      <c r="F459" s="3" t="n"/>
      <c r="G459" s="3" t="n"/>
      <c r="H459" s="3" t="n"/>
    </row>
    <row r="460">
      <c r="A460" s="15" t="n"/>
      <c r="B460" s="3" t="n"/>
      <c r="C460" s="4">
        <f>SE(B460="";"";SEERRO(PROCV(B460;'Cadastro Dizimistas'!$B$3:$C$502;2;FALSO);""))</f>
        <v/>
      </c>
      <c r="D460" s="4">
        <f>SE(A460="";"";ÍNDICE(Configurações!$B$35:$B$46;MÊS(A460)))</f>
        <v/>
      </c>
      <c r="E460" s="17" t="n"/>
      <c r="F460" s="3" t="n"/>
      <c r="G460" s="3" t="n"/>
      <c r="H460" s="3" t="n"/>
    </row>
    <row r="461">
      <c r="A461" s="15" t="n"/>
      <c r="B461" s="3" t="n"/>
      <c r="C461" s="4">
        <f>SE(B461="";"";SEERRO(PROCV(B461;'Cadastro Dizimistas'!$B$3:$C$502;2;FALSO);""))</f>
        <v/>
      </c>
      <c r="D461" s="4">
        <f>SE(A461="";"";ÍNDICE(Configurações!$B$35:$B$46;MÊS(A461)))</f>
        <v/>
      </c>
      <c r="E461" s="17" t="n"/>
      <c r="F461" s="3" t="n"/>
      <c r="G461" s="3" t="n"/>
      <c r="H461" s="3" t="n"/>
    </row>
    <row r="462">
      <c r="A462" s="15" t="n"/>
      <c r="B462" s="3" t="n"/>
      <c r="C462" s="4">
        <f>SE(B462="";"";SEERRO(PROCV(B462;'Cadastro Dizimistas'!$B$3:$C$502;2;FALSO);""))</f>
        <v/>
      </c>
      <c r="D462" s="4">
        <f>SE(A462="";"";ÍNDICE(Configurações!$B$35:$B$46;MÊS(A462)))</f>
        <v/>
      </c>
      <c r="E462" s="17" t="n"/>
      <c r="F462" s="3" t="n"/>
      <c r="G462" s="3" t="n"/>
      <c r="H462" s="3" t="n"/>
    </row>
    <row r="463">
      <c r="A463" s="15" t="n"/>
      <c r="B463" s="3" t="n"/>
      <c r="C463" s="4">
        <f>SE(B463="";"";SEERRO(PROCV(B463;'Cadastro Dizimistas'!$B$3:$C$502;2;FALSO);""))</f>
        <v/>
      </c>
      <c r="D463" s="4">
        <f>SE(A463="";"";ÍNDICE(Configurações!$B$35:$B$46;MÊS(A463)))</f>
        <v/>
      </c>
      <c r="E463" s="17" t="n"/>
      <c r="F463" s="3" t="n"/>
      <c r="G463" s="3" t="n"/>
      <c r="H463" s="3" t="n"/>
    </row>
    <row r="464">
      <c r="A464" s="15" t="n"/>
      <c r="B464" s="3" t="n"/>
      <c r="C464" s="4">
        <f>SE(B464="";"";SEERRO(PROCV(B464;'Cadastro Dizimistas'!$B$3:$C$502;2;FALSO);""))</f>
        <v/>
      </c>
      <c r="D464" s="4">
        <f>SE(A464="";"";ÍNDICE(Configurações!$B$35:$B$46;MÊS(A464)))</f>
        <v/>
      </c>
      <c r="E464" s="17" t="n"/>
      <c r="F464" s="3" t="n"/>
      <c r="G464" s="3" t="n"/>
      <c r="H464" s="3" t="n"/>
    </row>
    <row r="465">
      <c r="A465" s="15" t="n"/>
      <c r="B465" s="3" t="n"/>
      <c r="C465" s="4">
        <f>SE(B465="";"";SEERRO(PROCV(B465;'Cadastro Dizimistas'!$B$3:$C$502;2;FALSO);""))</f>
        <v/>
      </c>
      <c r="D465" s="4">
        <f>SE(A465="";"";ÍNDICE(Configurações!$B$35:$B$46;MÊS(A465)))</f>
        <v/>
      </c>
      <c r="E465" s="17" t="n"/>
      <c r="F465" s="3" t="n"/>
      <c r="G465" s="3" t="n"/>
      <c r="H465" s="3" t="n"/>
    </row>
    <row r="466">
      <c r="A466" s="15" t="n"/>
      <c r="B466" s="3" t="n"/>
      <c r="C466" s="4">
        <f>SE(B466="";"";SEERRO(PROCV(B466;'Cadastro Dizimistas'!$B$3:$C$502;2;FALSO);""))</f>
        <v/>
      </c>
      <c r="D466" s="4">
        <f>SE(A466="";"";ÍNDICE(Configurações!$B$35:$B$46;MÊS(A466)))</f>
        <v/>
      </c>
      <c r="E466" s="17" t="n"/>
      <c r="F466" s="3" t="n"/>
      <c r="G466" s="3" t="n"/>
      <c r="H466" s="3" t="n"/>
    </row>
    <row r="467">
      <c r="A467" s="15" t="n"/>
      <c r="B467" s="3" t="n"/>
      <c r="C467" s="4">
        <f>SE(B467="";"";SEERRO(PROCV(B467;'Cadastro Dizimistas'!$B$3:$C$502;2;FALSO);""))</f>
        <v/>
      </c>
      <c r="D467" s="4">
        <f>SE(A467="";"";ÍNDICE(Configurações!$B$35:$B$46;MÊS(A467)))</f>
        <v/>
      </c>
      <c r="E467" s="17" t="n"/>
      <c r="F467" s="3" t="n"/>
      <c r="G467" s="3" t="n"/>
      <c r="H467" s="3" t="n"/>
    </row>
    <row r="468">
      <c r="A468" s="15" t="n"/>
      <c r="B468" s="3" t="n"/>
      <c r="C468" s="4">
        <f>SE(B468="";"";SEERRO(PROCV(B468;'Cadastro Dizimistas'!$B$3:$C$502;2;FALSO);""))</f>
        <v/>
      </c>
      <c r="D468" s="4">
        <f>SE(A468="";"";ÍNDICE(Configurações!$B$35:$B$46;MÊS(A468)))</f>
        <v/>
      </c>
      <c r="E468" s="17" t="n"/>
      <c r="F468" s="3" t="n"/>
      <c r="G468" s="3" t="n"/>
      <c r="H468" s="3" t="n"/>
    </row>
    <row r="469">
      <c r="A469" s="15" t="n"/>
      <c r="B469" s="3" t="n"/>
      <c r="C469" s="4">
        <f>SE(B469="";"";SEERRO(PROCV(B469;'Cadastro Dizimistas'!$B$3:$C$502;2;FALSO);""))</f>
        <v/>
      </c>
      <c r="D469" s="4">
        <f>SE(A469="";"";ÍNDICE(Configurações!$B$35:$B$46;MÊS(A469)))</f>
        <v/>
      </c>
      <c r="E469" s="17" t="n"/>
      <c r="F469" s="3" t="n"/>
      <c r="G469" s="3" t="n"/>
      <c r="H469" s="3" t="n"/>
    </row>
    <row r="470">
      <c r="A470" s="15" t="n"/>
      <c r="B470" s="3" t="n"/>
      <c r="C470" s="4">
        <f>SE(B470="";"";SEERRO(PROCV(B470;'Cadastro Dizimistas'!$B$3:$C$502;2;FALSO);""))</f>
        <v/>
      </c>
      <c r="D470" s="4">
        <f>SE(A470="";"";ÍNDICE(Configurações!$B$35:$B$46;MÊS(A470)))</f>
        <v/>
      </c>
      <c r="E470" s="17" t="n"/>
      <c r="F470" s="3" t="n"/>
      <c r="G470" s="3" t="n"/>
      <c r="H470" s="3" t="n"/>
    </row>
    <row r="471">
      <c r="A471" s="15" t="n"/>
      <c r="B471" s="3" t="n"/>
      <c r="C471" s="4">
        <f>SE(B471="";"";SEERRO(PROCV(B471;'Cadastro Dizimistas'!$B$3:$C$502;2;FALSO);""))</f>
        <v/>
      </c>
      <c r="D471" s="4">
        <f>SE(A471="";"";ÍNDICE(Configurações!$B$35:$B$46;MÊS(A471)))</f>
        <v/>
      </c>
      <c r="E471" s="17" t="n"/>
      <c r="F471" s="3" t="n"/>
      <c r="G471" s="3" t="n"/>
      <c r="H471" s="3" t="n"/>
    </row>
    <row r="472">
      <c r="A472" s="15" t="n"/>
      <c r="B472" s="3" t="n"/>
      <c r="C472" s="4">
        <f>SE(B472="";"";SEERRO(PROCV(B472;'Cadastro Dizimistas'!$B$3:$C$502;2;FALSO);""))</f>
        <v/>
      </c>
      <c r="D472" s="4">
        <f>SE(A472="";"";ÍNDICE(Configurações!$B$35:$B$46;MÊS(A472)))</f>
        <v/>
      </c>
      <c r="E472" s="17" t="n"/>
      <c r="F472" s="3" t="n"/>
      <c r="G472" s="3" t="n"/>
      <c r="H472" s="3" t="n"/>
    </row>
    <row r="473">
      <c r="A473" s="15" t="n"/>
      <c r="B473" s="3" t="n"/>
      <c r="C473" s="4">
        <f>SE(B473="";"";SEERRO(PROCV(B473;'Cadastro Dizimistas'!$B$3:$C$502;2;FALSO);""))</f>
        <v/>
      </c>
      <c r="D473" s="4">
        <f>SE(A473="";"";ÍNDICE(Configurações!$B$35:$B$46;MÊS(A473)))</f>
        <v/>
      </c>
      <c r="E473" s="17" t="n"/>
      <c r="F473" s="3" t="n"/>
      <c r="G473" s="3" t="n"/>
      <c r="H473" s="3" t="n"/>
    </row>
    <row r="474">
      <c r="A474" s="15" t="n"/>
      <c r="B474" s="3" t="n"/>
      <c r="C474" s="4">
        <f>SE(B474="";"";SEERRO(PROCV(B474;'Cadastro Dizimistas'!$B$3:$C$502;2;FALSO);""))</f>
        <v/>
      </c>
      <c r="D474" s="4">
        <f>SE(A474="";"";ÍNDICE(Configurações!$B$35:$B$46;MÊS(A474)))</f>
        <v/>
      </c>
      <c r="E474" s="17" t="n"/>
      <c r="F474" s="3" t="n"/>
      <c r="G474" s="3" t="n"/>
      <c r="H474" s="3" t="n"/>
    </row>
    <row r="475">
      <c r="A475" s="15" t="n"/>
      <c r="B475" s="3" t="n"/>
      <c r="C475" s="4">
        <f>SE(B475="";"";SEERRO(PROCV(B475;'Cadastro Dizimistas'!$B$3:$C$502;2;FALSO);""))</f>
        <v/>
      </c>
      <c r="D475" s="4">
        <f>SE(A475="";"";ÍNDICE(Configurações!$B$35:$B$46;MÊS(A475)))</f>
        <v/>
      </c>
      <c r="E475" s="17" t="n"/>
      <c r="F475" s="3" t="n"/>
      <c r="G475" s="3" t="n"/>
      <c r="H475" s="3" t="n"/>
    </row>
    <row r="476">
      <c r="A476" s="15" t="n"/>
      <c r="B476" s="3" t="n"/>
      <c r="C476" s="4">
        <f>SE(B476="";"";SEERRO(PROCV(B476;'Cadastro Dizimistas'!$B$3:$C$502;2;FALSO);""))</f>
        <v/>
      </c>
      <c r="D476" s="4">
        <f>SE(A476="";"";ÍNDICE(Configurações!$B$35:$B$46;MÊS(A476)))</f>
        <v/>
      </c>
      <c r="E476" s="17" t="n"/>
      <c r="F476" s="3" t="n"/>
      <c r="G476" s="3" t="n"/>
      <c r="H476" s="3" t="n"/>
    </row>
    <row r="477">
      <c r="A477" s="15" t="n"/>
      <c r="B477" s="3" t="n"/>
      <c r="C477" s="4">
        <f>SE(B477="";"";SEERRO(PROCV(B477;'Cadastro Dizimistas'!$B$3:$C$502;2;FALSO);""))</f>
        <v/>
      </c>
      <c r="D477" s="4">
        <f>SE(A477="";"";ÍNDICE(Configurações!$B$35:$B$46;MÊS(A477)))</f>
        <v/>
      </c>
      <c r="E477" s="17" t="n"/>
      <c r="F477" s="3" t="n"/>
      <c r="G477" s="3" t="n"/>
      <c r="H477" s="3" t="n"/>
    </row>
    <row r="478">
      <c r="A478" s="15" t="n"/>
      <c r="B478" s="3" t="n"/>
      <c r="C478" s="4">
        <f>SE(B478="";"";SEERRO(PROCV(B478;'Cadastro Dizimistas'!$B$3:$C$502;2;FALSO);""))</f>
        <v/>
      </c>
      <c r="D478" s="4">
        <f>SE(A478="";"";ÍNDICE(Configurações!$B$35:$B$46;MÊS(A478)))</f>
        <v/>
      </c>
      <c r="E478" s="17" t="n"/>
      <c r="F478" s="3" t="n"/>
      <c r="G478" s="3" t="n"/>
      <c r="H478" s="3" t="n"/>
    </row>
    <row r="479">
      <c r="A479" s="15" t="n"/>
      <c r="B479" s="3" t="n"/>
      <c r="C479" s="4">
        <f>SE(B479="";"";SEERRO(PROCV(B479;'Cadastro Dizimistas'!$B$3:$C$502;2;FALSO);""))</f>
        <v/>
      </c>
      <c r="D479" s="4">
        <f>SE(A479="";"";ÍNDICE(Configurações!$B$35:$B$46;MÊS(A479)))</f>
        <v/>
      </c>
      <c r="E479" s="17" t="n"/>
      <c r="F479" s="3" t="n"/>
      <c r="G479" s="3" t="n"/>
      <c r="H479" s="3" t="n"/>
    </row>
    <row r="480">
      <c r="A480" s="15" t="n"/>
      <c r="B480" s="3" t="n"/>
      <c r="C480" s="4">
        <f>SE(B480="";"";SEERRO(PROCV(B480;'Cadastro Dizimistas'!$B$3:$C$502;2;FALSO);""))</f>
        <v/>
      </c>
      <c r="D480" s="4">
        <f>SE(A480="";"";ÍNDICE(Configurações!$B$35:$B$46;MÊS(A480)))</f>
        <v/>
      </c>
      <c r="E480" s="17" t="n"/>
      <c r="F480" s="3" t="n"/>
      <c r="G480" s="3" t="n"/>
      <c r="H480" s="3" t="n"/>
    </row>
    <row r="481">
      <c r="A481" s="15" t="n"/>
      <c r="B481" s="3" t="n"/>
      <c r="C481" s="4">
        <f>SE(B481="";"";SEERRO(PROCV(B481;'Cadastro Dizimistas'!$B$3:$C$502;2;FALSO);""))</f>
        <v/>
      </c>
      <c r="D481" s="4">
        <f>SE(A481="";"";ÍNDICE(Configurações!$B$35:$B$46;MÊS(A481)))</f>
        <v/>
      </c>
      <c r="E481" s="17" t="n"/>
      <c r="F481" s="3" t="n"/>
      <c r="G481" s="3" t="n"/>
      <c r="H481" s="3" t="n"/>
    </row>
    <row r="482">
      <c r="A482" s="15" t="n"/>
      <c r="B482" s="3" t="n"/>
      <c r="C482" s="4">
        <f>SE(B482="";"";SEERRO(PROCV(B482;'Cadastro Dizimistas'!$B$3:$C$502;2;FALSO);""))</f>
        <v/>
      </c>
      <c r="D482" s="4">
        <f>SE(A482="";"";ÍNDICE(Configurações!$B$35:$B$46;MÊS(A482)))</f>
        <v/>
      </c>
      <c r="E482" s="17" t="n"/>
      <c r="F482" s="3" t="n"/>
      <c r="G482" s="3" t="n"/>
      <c r="H482" s="3" t="n"/>
    </row>
    <row r="483">
      <c r="A483" s="15" t="n"/>
      <c r="B483" s="3" t="n"/>
      <c r="C483" s="4">
        <f>SE(B483="";"";SEERRO(PROCV(B483;'Cadastro Dizimistas'!$B$3:$C$502;2;FALSO);""))</f>
        <v/>
      </c>
      <c r="D483" s="4">
        <f>SE(A483="";"";ÍNDICE(Configurações!$B$35:$B$46;MÊS(A483)))</f>
        <v/>
      </c>
      <c r="E483" s="17" t="n"/>
      <c r="F483" s="3" t="n"/>
      <c r="G483" s="3" t="n"/>
      <c r="H483" s="3" t="n"/>
    </row>
    <row r="484">
      <c r="A484" s="15" t="n"/>
      <c r="B484" s="3" t="n"/>
      <c r="C484" s="4">
        <f>SE(B484="";"";SEERRO(PROCV(B484;'Cadastro Dizimistas'!$B$3:$C$502;2;FALSO);""))</f>
        <v/>
      </c>
      <c r="D484" s="4">
        <f>SE(A484="";"";ÍNDICE(Configurações!$B$35:$B$46;MÊS(A484)))</f>
        <v/>
      </c>
      <c r="E484" s="17" t="n"/>
      <c r="F484" s="3" t="n"/>
      <c r="G484" s="3" t="n"/>
      <c r="H484" s="3" t="n"/>
    </row>
    <row r="485">
      <c r="A485" s="15" t="n"/>
      <c r="B485" s="3" t="n"/>
      <c r="C485" s="4">
        <f>SE(B485="";"";SEERRO(PROCV(B485;'Cadastro Dizimistas'!$B$3:$C$502;2;FALSO);""))</f>
        <v/>
      </c>
      <c r="D485" s="4">
        <f>SE(A485="";"";ÍNDICE(Configurações!$B$35:$B$46;MÊS(A485)))</f>
        <v/>
      </c>
      <c r="E485" s="17" t="n"/>
      <c r="F485" s="3" t="n"/>
      <c r="G485" s="3" t="n"/>
      <c r="H485" s="3" t="n"/>
    </row>
    <row r="486">
      <c r="A486" s="15" t="n"/>
      <c r="B486" s="3" t="n"/>
      <c r="C486" s="4">
        <f>SE(B486="";"";SEERRO(PROCV(B486;'Cadastro Dizimistas'!$B$3:$C$502;2;FALSO);""))</f>
        <v/>
      </c>
      <c r="D486" s="4">
        <f>SE(A486="";"";ÍNDICE(Configurações!$B$35:$B$46;MÊS(A486)))</f>
        <v/>
      </c>
      <c r="E486" s="17" t="n"/>
      <c r="F486" s="3" t="n"/>
      <c r="G486" s="3" t="n"/>
      <c r="H486" s="3" t="n"/>
    </row>
    <row r="487">
      <c r="A487" s="15" t="n"/>
      <c r="B487" s="3" t="n"/>
      <c r="C487" s="4">
        <f>SE(B487="";"";SEERRO(PROCV(B487;'Cadastro Dizimistas'!$B$3:$C$502;2;FALSO);""))</f>
        <v/>
      </c>
      <c r="D487" s="4">
        <f>SE(A487="";"";ÍNDICE(Configurações!$B$35:$B$46;MÊS(A487)))</f>
        <v/>
      </c>
      <c r="E487" s="17" t="n"/>
      <c r="F487" s="3" t="n"/>
      <c r="G487" s="3" t="n"/>
      <c r="H487" s="3" t="n"/>
    </row>
    <row r="488">
      <c r="A488" s="15" t="n"/>
      <c r="B488" s="3" t="n"/>
      <c r="C488" s="4">
        <f>SE(B488="";"";SEERRO(PROCV(B488;'Cadastro Dizimistas'!$B$3:$C$502;2;FALSO);""))</f>
        <v/>
      </c>
      <c r="D488" s="4">
        <f>SE(A488="";"";ÍNDICE(Configurações!$B$35:$B$46;MÊS(A488)))</f>
        <v/>
      </c>
      <c r="E488" s="17" t="n"/>
      <c r="F488" s="3" t="n"/>
      <c r="G488" s="3" t="n"/>
      <c r="H488" s="3" t="n"/>
    </row>
    <row r="489">
      <c r="A489" s="15" t="n"/>
      <c r="B489" s="3" t="n"/>
      <c r="C489" s="4">
        <f>SE(B489="";"";SEERRO(PROCV(B489;'Cadastro Dizimistas'!$B$3:$C$502;2;FALSO);""))</f>
        <v/>
      </c>
      <c r="D489" s="4">
        <f>SE(A489="";"";ÍNDICE(Configurações!$B$35:$B$46;MÊS(A489)))</f>
        <v/>
      </c>
      <c r="E489" s="17" t="n"/>
      <c r="F489" s="3" t="n"/>
      <c r="G489" s="3" t="n"/>
      <c r="H489" s="3" t="n"/>
    </row>
    <row r="490">
      <c r="A490" s="15" t="n"/>
      <c r="B490" s="3" t="n"/>
      <c r="C490" s="4">
        <f>SE(B490="";"";SEERRO(PROCV(B490;'Cadastro Dizimistas'!$B$3:$C$502;2;FALSO);""))</f>
        <v/>
      </c>
      <c r="D490" s="4">
        <f>SE(A490="";"";ÍNDICE(Configurações!$B$35:$B$46;MÊS(A490)))</f>
        <v/>
      </c>
      <c r="E490" s="17" t="n"/>
      <c r="F490" s="3" t="n"/>
      <c r="G490" s="3" t="n"/>
      <c r="H490" s="3" t="n"/>
    </row>
    <row r="491">
      <c r="A491" s="15" t="n"/>
      <c r="B491" s="3" t="n"/>
      <c r="C491" s="4">
        <f>SE(B491="";"";SEERRO(PROCV(B491;'Cadastro Dizimistas'!$B$3:$C$502;2;FALSO);""))</f>
        <v/>
      </c>
      <c r="D491" s="4">
        <f>SE(A491="";"";ÍNDICE(Configurações!$B$35:$B$46;MÊS(A491)))</f>
        <v/>
      </c>
      <c r="E491" s="17" t="n"/>
      <c r="F491" s="3" t="n"/>
      <c r="G491" s="3" t="n"/>
      <c r="H491" s="3" t="n"/>
    </row>
    <row r="492">
      <c r="A492" s="15" t="n"/>
      <c r="B492" s="3" t="n"/>
      <c r="C492" s="4">
        <f>SE(B492="";"";SEERRO(PROCV(B492;'Cadastro Dizimistas'!$B$3:$C$502;2;FALSO);""))</f>
        <v/>
      </c>
      <c r="D492" s="4">
        <f>SE(A492="";"";ÍNDICE(Configurações!$B$35:$B$46;MÊS(A492)))</f>
        <v/>
      </c>
      <c r="E492" s="17" t="n"/>
      <c r="F492" s="3" t="n"/>
      <c r="G492" s="3" t="n"/>
      <c r="H492" s="3" t="n"/>
    </row>
    <row r="493">
      <c r="A493" s="15" t="n"/>
      <c r="B493" s="3" t="n"/>
      <c r="C493" s="4">
        <f>SE(B493="";"";SEERRO(PROCV(B493;'Cadastro Dizimistas'!$B$3:$C$502;2;FALSO);""))</f>
        <v/>
      </c>
      <c r="D493" s="4">
        <f>SE(A493="";"";ÍNDICE(Configurações!$B$35:$B$46;MÊS(A493)))</f>
        <v/>
      </c>
      <c r="E493" s="17" t="n"/>
      <c r="F493" s="3" t="n"/>
      <c r="G493" s="3" t="n"/>
      <c r="H493" s="3" t="n"/>
    </row>
    <row r="494">
      <c r="A494" s="15" t="n"/>
      <c r="B494" s="3" t="n"/>
      <c r="C494" s="4">
        <f>SE(B494="";"";SEERRO(PROCV(B494;'Cadastro Dizimistas'!$B$3:$C$502;2;FALSO);""))</f>
        <v/>
      </c>
      <c r="D494" s="4">
        <f>SE(A494="";"";ÍNDICE(Configurações!$B$35:$B$46;MÊS(A494)))</f>
        <v/>
      </c>
      <c r="E494" s="17" t="n"/>
      <c r="F494" s="3" t="n"/>
      <c r="G494" s="3" t="n"/>
      <c r="H494" s="3" t="n"/>
    </row>
    <row r="495">
      <c r="A495" s="15" t="n"/>
      <c r="B495" s="3" t="n"/>
      <c r="C495" s="4">
        <f>SE(B495="";"";SEERRO(PROCV(B495;'Cadastro Dizimistas'!$B$3:$C$502;2;FALSO);""))</f>
        <v/>
      </c>
      <c r="D495" s="4">
        <f>SE(A495="";"";ÍNDICE(Configurações!$B$35:$B$46;MÊS(A495)))</f>
        <v/>
      </c>
      <c r="E495" s="17" t="n"/>
      <c r="F495" s="3" t="n"/>
      <c r="G495" s="3" t="n"/>
      <c r="H495" s="3" t="n"/>
    </row>
    <row r="496">
      <c r="A496" s="15" t="n"/>
      <c r="B496" s="3" t="n"/>
      <c r="C496" s="4">
        <f>SE(B496="";"";SEERRO(PROCV(B496;'Cadastro Dizimistas'!$B$3:$C$502;2;FALSO);""))</f>
        <v/>
      </c>
      <c r="D496" s="4">
        <f>SE(A496="";"";ÍNDICE(Configurações!$B$35:$B$46;MÊS(A496)))</f>
        <v/>
      </c>
      <c r="E496" s="17" t="n"/>
      <c r="F496" s="3" t="n"/>
      <c r="G496" s="3" t="n"/>
      <c r="H496" s="3" t="n"/>
    </row>
    <row r="497">
      <c r="A497" s="15" t="n"/>
      <c r="B497" s="3" t="n"/>
      <c r="C497" s="4">
        <f>SE(B497="";"";SEERRO(PROCV(B497;'Cadastro Dizimistas'!$B$3:$C$502;2;FALSO);""))</f>
        <v/>
      </c>
      <c r="D497" s="4">
        <f>SE(A497="";"";ÍNDICE(Configurações!$B$35:$B$46;MÊS(A497)))</f>
        <v/>
      </c>
      <c r="E497" s="17" t="n"/>
      <c r="F497" s="3" t="n"/>
      <c r="G497" s="3" t="n"/>
      <c r="H497" s="3" t="n"/>
    </row>
    <row r="498">
      <c r="A498" s="15" t="n"/>
      <c r="B498" s="3" t="n"/>
      <c r="C498" s="4">
        <f>SE(B498="";"";SEERRO(PROCV(B498;'Cadastro Dizimistas'!$B$3:$C$502;2;FALSO);""))</f>
        <v/>
      </c>
      <c r="D498" s="4">
        <f>SE(A498="";"";ÍNDICE(Configurações!$B$35:$B$46;MÊS(A498)))</f>
        <v/>
      </c>
      <c r="E498" s="17" t="n"/>
      <c r="F498" s="3" t="n"/>
      <c r="G498" s="3" t="n"/>
      <c r="H498" s="3" t="n"/>
    </row>
    <row r="499">
      <c r="A499" s="15" t="n"/>
      <c r="B499" s="3" t="n"/>
      <c r="C499" s="4">
        <f>SE(B499="";"";SEERRO(PROCV(B499;'Cadastro Dizimistas'!$B$3:$C$502;2;FALSO);""))</f>
        <v/>
      </c>
      <c r="D499" s="4">
        <f>SE(A499="";"";ÍNDICE(Configurações!$B$35:$B$46;MÊS(A499)))</f>
        <v/>
      </c>
      <c r="E499" s="17" t="n"/>
      <c r="F499" s="3" t="n"/>
      <c r="G499" s="3" t="n"/>
      <c r="H499" s="3" t="n"/>
    </row>
    <row r="500">
      <c r="A500" s="15" t="n"/>
      <c r="B500" s="3" t="n"/>
      <c r="C500" s="4">
        <f>SE(B500="";"";SEERRO(PROCV(B500;'Cadastro Dizimistas'!$B$3:$C$502;2;FALSO);""))</f>
        <v/>
      </c>
      <c r="D500" s="4">
        <f>SE(A500="";"";ÍNDICE(Configurações!$B$35:$B$46;MÊS(A500)))</f>
        <v/>
      </c>
      <c r="E500" s="17" t="n"/>
      <c r="F500" s="3" t="n"/>
      <c r="G500" s="3" t="n"/>
      <c r="H500" s="3" t="n"/>
    </row>
    <row r="501">
      <c r="A501" s="15" t="n"/>
      <c r="B501" s="3" t="n"/>
      <c r="C501" s="4">
        <f>SE(B501="";"";SEERRO(PROCV(B501;'Cadastro Dizimistas'!$B$3:$C$502;2;FALSO);""))</f>
        <v/>
      </c>
      <c r="D501" s="4">
        <f>SE(A501="";"";ÍNDICE(Configurações!$B$35:$B$46;MÊS(A501)))</f>
        <v/>
      </c>
      <c r="E501" s="17" t="n"/>
      <c r="F501" s="3" t="n"/>
      <c r="G501" s="3" t="n"/>
      <c r="H501" s="3" t="n"/>
    </row>
    <row r="502">
      <c r="A502" s="15" t="n"/>
      <c r="B502" s="3" t="n"/>
      <c r="C502" s="4">
        <f>SE(B502="";"";SEERRO(PROCV(B502;'Cadastro Dizimistas'!$B$3:$C$502;2;FALSO);""))</f>
        <v/>
      </c>
      <c r="D502" s="4">
        <f>SE(A502="";"";ÍNDICE(Configurações!$B$35:$B$46;MÊS(A502)))</f>
        <v/>
      </c>
      <c r="E502" s="17" t="n"/>
      <c r="F502" s="3" t="n"/>
      <c r="G502" s="3" t="n"/>
      <c r="H50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H2"/>
  <mergeCells count="1">
    <mergeCell ref="A1:H1"/>
  </mergeCells>
  <dataValidations count="4">
    <dataValidation sqref="A3:A502" showDropDown="0" showInputMessage="0" showErrorMessage="0" allowBlank="1" error="Informe uma data válida (dd/mm/aaaa)." type="date" operator="between">
      <formula1>DATE(2020,1,1)</formula1>
      <formula2>DATE(2035,12,31)</formula2>
    </dataValidation>
    <dataValidation sqref="B3:B502" showDropDown="0" showInputMessage="0" showErrorMessage="0" allowBlank="1" errorTitle="Valor inválido" error="Selecione um valor da lista." type="list">
      <formula1>='Cadastro Dizimistas'!$B$3:$B$502</formula1>
    </dataValidation>
    <dataValidation sqref="F3:F502" showDropDown="0" showInputMessage="0" showErrorMessage="0" allowBlank="1" errorTitle="Valor inválido" error="Selecione um valor da lista." type="list">
      <formula1>=Configurações!$E$36:$E$42</formula1>
    </dataValidation>
    <dataValidation sqref="G3:G502" showDropDown="0" showInputMessage="0" showErrorMessage="0" allowBlank="1" errorTitle="Valor inválido" error="Selecione um valor da lista." type="list">
      <formula1>=Configurações!$J$36:$J$37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2" customWidth="1" min="5" max="5"/>
    <col width="22" customWidth="1" min="6" max="6"/>
    <col width="28" customWidth="1" min="7" max="7"/>
  </cols>
  <sheetData>
    <row r="1" ht="40" customHeight="1">
      <c r="A1" s="1" t="inlineStr">
        <is>
          <t>🎁  Doações</t>
        </is>
      </c>
    </row>
    <row r="2" ht="28" customHeight="1">
      <c r="A2" s="14" t="inlineStr">
        <is>
          <t>Data</t>
        </is>
      </c>
      <c r="B2" s="14" t="inlineStr">
        <is>
          <t>Doador</t>
        </is>
      </c>
      <c r="C2" s="14" t="inlineStr">
        <is>
          <t>Tipo da Doação</t>
        </is>
      </c>
      <c r="D2" s="14" t="inlineStr">
        <is>
          <t>Valor</t>
        </is>
      </c>
      <c r="E2" s="14" t="inlineStr">
        <is>
          <t>Conta</t>
        </is>
      </c>
      <c r="F2" s="14" t="inlineStr">
        <is>
          <t>Destinação</t>
        </is>
      </c>
      <c r="G2" s="14" t="inlineStr">
        <is>
          <t>Observação</t>
        </is>
      </c>
    </row>
    <row r="3">
      <c r="A3" s="15" t="n"/>
      <c r="B3" s="3" t="n"/>
      <c r="C3" s="3" t="n"/>
      <c r="D3" s="17" t="n"/>
      <c r="E3" s="3" t="n"/>
      <c r="F3" s="3" t="n"/>
      <c r="G3" s="3" t="n"/>
    </row>
    <row r="4">
      <c r="A4" s="15" t="n"/>
      <c r="B4" s="3" t="n"/>
      <c r="C4" s="3" t="n"/>
      <c r="D4" s="17" t="n"/>
      <c r="E4" s="3" t="n"/>
      <c r="F4" s="3" t="n"/>
      <c r="G4" s="3" t="n"/>
    </row>
    <row r="5">
      <c r="A5" s="15" t="n"/>
      <c r="B5" s="3" t="n"/>
      <c r="C5" s="3" t="n"/>
      <c r="D5" s="17" t="n"/>
      <c r="E5" s="3" t="n"/>
      <c r="F5" s="3" t="n"/>
      <c r="G5" s="3" t="n"/>
    </row>
    <row r="6">
      <c r="A6" s="15" t="n"/>
      <c r="B6" s="3" t="n"/>
      <c r="C6" s="3" t="n"/>
      <c r="D6" s="17" t="n"/>
      <c r="E6" s="3" t="n"/>
      <c r="F6" s="3" t="n"/>
      <c r="G6" s="3" t="n"/>
    </row>
    <row r="7">
      <c r="A7" s="15" t="n"/>
      <c r="B7" s="3" t="n"/>
      <c r="C7" s="3" t="n"/>
      <c r="D7" s="17" t="n"/>
      <c r="E7" s="3" t="n"/>
      <c r="F7" s="3" t="n"/>
      <c r="G7" s="3" t="n"/>
    </row>
    <row r="8">
      <c r="A8" s="15" t="n"/>
      <c r="B8" s="3" t="n"/>
      <c r="C8" s="3" t="n"/>
      <c r="D8" s="17" t="n"/>
      <c r="E8" s="3" t="n"/>
      <c r="F8" s="3" t="n"/>
      <c r="G8" s="3" t="n"/>
    </row>
    <row r="9">
      <c r="A9" s="15" t="n"/>
      <c r="B9" s="3" t="n"/>
      <c r="C9" s="3" t="n"/>
      <c r="D9" s="17" t="n"/>
      <c r="E9" s="3" t="n"/>
      <c r="F9" s="3" t="n"/>
      <c r="G9" s="3" t="n"/>
    </row>
    <row r="10">
      <c r="A10" s="15" t="n"/>
      <c r="B10" s="3" t="n"/>
      <c r="C10" s="3" t="n"/>
      <c r="D10" s="17" t="n"/>
      <c r="E10" s="3" t="n"/>
      <c r="F10" s="3" t="n"/>
      <c r="G10" s="3" t="n"/>
    </row>
    <row r="11">
      <c r="A11" s="15" t="n"/>
      <c r="B11" s="3" t="n"/>
      <c r="C11" s="3" t="n"/>
      <c r="D11" s="17" t="n"/>
      <c r="E11" s="3" t="n"/>
      <c r="F11" s="3" t="n"/>
      <c r="G11" s="3" t="n"/>
    </row>
    <row r="12">
      <c r="A12" s="15" t="n"/>
      <c r="B12" s="3" t="n"/>
      <c r="C12" s="3" t="n"/>
      <c r="D12" s="17" t="n"/>
      <c r="E12" s="3" t="n"/>
      <c r="F12" s="3" t="n"/>
      <c r="G12" s="3" t="n"/>
    </row>
    <row r="13">
      <c r="A13" s="15" t="n"/>
      <c r="B13" s="3" t="n"/>
      <c r="C13" s="3" t="n"/>
      <c r="D13" s="17" t="n"/>
      <c r="E13" s="3" t="n"/>
      <c r="F13" s="3" t="n"/>
      <c r="G13" s="3" t="n"/>
    </row>
    <row r="14">
      <c r="A14" s="15" t="n"/>
      <c r="B14" s="3" t="n"/>
      <c r="C14" s="3" t="n"/>
      <c r="D14" s="17" t="n"/>
      <c r="E14" s="3" t="n"/>
      <c r="F14" s="3" t="n"/>
      <c r="G14" s="3" t="n"/>
    </row>
    <row r="15">
      <c r="A15" s="15" t="n"/>
      <c r="B15" s="3" t="n"/>
      <c r="C15" s="3" t="n"/>
      <c r="D15" s="17" t="n"/>
      <c r="E15" s="3" t="n"/>
      <c r="F15" s="3" t="n"/>
      <c r="G15" s="3" t="n"/>
    </row>
    <row r="16">
      <c r="A16" s="15" t="n"/>
      <c r="B16" s="3" t="n"/>
      <c r="C16" s="3" t="n"/>
      <c r="D16" s="17" t="n"/>
      <c r="E16" s="3" t="n"/>
      <c r="F16" s="3" t="n"/>
      <c r="G16" s="3" t="n"/>
    </row>
    <row r="17">
      <c r="A17" s="15" t="n"/>
      <c r="B17" s="3" t="n"/>
      <c r="C17" s="3" t="n"/>
      <c r="D17" s="17" t="n"/>
      <c r="E17" s="3" t="n"/>
      <c r="F17" s="3" t="n"/>
      <c r="G17" s="3" t="n"/>
    </row>
    <row r="18">
      <c r="A18" s="15" t="n"/>
      <c r="B18" s="3" t="n"/>
      <c r="C18" s="3" t="n"/>
      <c r="D18" s="17" t="n"/>
      <c r="E18" s="3" t="n"/>
      <c r="F18" s="3" t="n"/>
      <c r="G18" s="3" t="n"/>
    </row>
    <row r="19">
      <c r="A19" s="15" t="n"/>
      <c r="B19" s="3" t="n"/>
      <c r="C19" s="3" t="n"/>
      <c r="D19" s="17" t="n"/>
      <c r="E19" s="3" t="n"/>
      <c r="F19" s="3" t="n"/>
      <c r="G19" s="3" t="n"/>
    </row>
    <row r="20">
      <c r="A20" s="15" t="n"/>
      <c r="B20" s="3" t="n"/>
      <c r="C20" s="3" t="n"/>
      <c r="D20" s="17" t="n"/>
      <c r="E20" s="3" t="n"/>
      <c r="F20" s="3" t="n"/>
      <c r="G20" s="3" t="n"/>
    </row>
    <row r="21">
      <c r="A21" s="15" t="n"/>
      <c r="B21" s="3" t="n"/>
      <c r="C21" s="3" t="n"/>
      <c r="D21" s="17" t="n"/>
      <c r="E21" s="3" t="n"/>
      <c r="F21" s="3" t="n"/>
      <c r="G21" s="3" t="n"/>
    </row>
    <row r="22">
      <c r="A22" s="15" t="n"/>
      <c r="B22" s="3" t="n"/>
      <c r="C22" s="3" t="n"/>
      <c r="D22" s="17" t="n"/>
      <c r="E22" s="3" t="n"/>
      <c r="F22" s="3" t="n"/>
      <c r="G22" s="3" t="n"/>
    </row>
    <row r="23">
      <c r="A23" s="15" t="n"/>
      <c r="B23" s="3" t="n"/>
      <c r="C23" s="3" t="n"/>
      <c r="D23" s="17" t="n"/>
      <c r="E23" s="3" t="n"/>
      <c r="F23" s="3" t="n"/>
      <c r="G23" s="3" t="n"/>
    </row>
    <row r="24">
      <c r="A24" s="15" t="n"/>
      <c r="B24" s="3" t="n"/>
      <c r="C24" s="3" t="n"/>
      <c r="D24" s="17" t="n"/>
      <c r="E24" s="3" t="n"/>
      <c r="F24" s="3" t="n"/>
      <c r="G24" s="3" t="n"/>
    </row>
    <row r="25">
      <c r="A25" s="15" t="n"/>
      <c r="B25" s="3" t="n"/>
      <c r="C25" s="3" t="n"/>
      <c r="D25" s="17" t="n"/>
      <c r="E25" s="3" t="n"/>
      <c r="F25" s="3" t="n"/>
      <c r="G25" s="3" t="n"/>
    </row>
    <row r="26">
      <c r="A26" s="15" t="n"/>
      <c r="B26" s="3" t="n"/>
      <c r="C26" s="3" t="n"/>
      <c r="D26" s="17" t="n"/>
      <c r="E26" s="3" t="n"/>
      <c r="F26" s="3" t="n"/>
      <c r="G26" s="3" t="n"/>
    </row>
    <row r="27">
      <c r="A27" s="15" t="n"/>
      <c r="B27" s="3" t="n"/>
      <c r="C27" s="3" t="n"/>
      <c r="D27" s="17" t="n"/>
      <c r="E27" s="3" t="n"/>
      <c r="F27" s="3" t="n"/>
      <c r="G27" s="3" t="n"/>
    </row>
    <row r="28">
      <c r="A28" s="15" t="n"/>
      <c r="B28" s="3" t="n"/>
      <c r="C28" s="3" t="n"/>
      <c r="D28" s="17" t="n"/>
      <c r="E28" s="3" t="n"/>
      <c r="F28" s="3" t="n"/>
      <c r="G28" s="3" t="n"/>
    </row>
    <row r="29">
      <c r="A29" s="15" t="n"/>
      <c r="B29" s="3" t="n"/>
      <c r="C29" s="3" t="n"/>
      <c r="D29" s="17" t="n"/>
      <c r="E29" s="3" t="n"/>
      <c r="F29" s="3" t="n"/>
      <c r="G29" s="3" t="n"/>
    </row>
    <row r="30">
      <c r="A30" s="15" t="n"/>
      <c r="B30" s="3" t="n"/>
      <c r="C30" s="3" t="n"/>
      <c r="D30" s="17" t="n"/>
      <c r="E30" s="3" t="n"/>
      <c r="F30" s="3" t="n"/>
      <c r="G30" s="3" t="n"/>
    </row>
    <row r="31">
      <c r="A31" s="15" t="n"/>
      <c r="B31" s="3" t="n"/>
      <c r="C31" s="3" t="n"/>
      <c r="D31" s="17" t="n"/>
      <c r="E31" s="3" t="n"/>
      <c r="F31" s="3" t="n"/>
      <c r="G31" s="3" t="n"/>
    </row>
    <row r="32">
      <c r="A32" s="15" t="n"/>
      <c r="B32" s="3" t="n"/>
      <c r="C32" s="3" t="n"/>
      <c r="D32" s="17" t="n"/>
      <c r="E32" s="3" t="n"/>
      <c r="F32" s="3" t="n"/>
      <c r="G32" s="3" t="n"/>
    </row>
    <row r="33">
      <c r="A33" s="15" t="n"/>
      <c r="B33" s="3" t="n"/>
      <c r="C33" s="3" t="n"/>
      <c r="D33" s="17" t="n"/>
      <c r="E33" s="3" t="n"/>
      <c r="F33" s="3" t="n"/>
      <c r="G33" s="3" t="n"/>
    </row>
    <row r="34">
      <c r="A34" s="15" t="n"/>
      <c r="B34" s="3" t="n"/>
      <c r="C34" s="3" t="n"/>
      <c r="D34" s="17" t="n"/>
      <c r="E34" s="3" t="n"/>
      <c r="F34" s="3" t="n"/>
      <c r="G34" s="3" t="n"/>
    </row>
    <row r="35">
      <c r="A35" s="15" t="n"/>
      <c r="B35" s="3" t="n"/>
      <c r="C35" s="3" t="n"/>
      <c r="D35" s="17" t="n"/>
      <c r="E35" s="3" t="n"/>
      <c r="F35" s="3" t="n"/>
      <c r="G35" s="3" t="n"/>
    </row>
    <row r="36">
      <c r="A36" s="15" t="n"/>
      <c r="B36" s="3" t="n"/>
      <c r="C36" s="3" t="n"/>
      <c r="D36" s="17" t="n"/>
      <c r="E36" s="3" t="n"/>
      <c r="F36" s="3" t="n"/>
      <c r="G36" s="3" t="n"/>
    </row>
    <row r="37">
      <c r="A37" s="15" t="n"/>
      <c r="B37" s="3" t="n"/>
      <c r="C37" s="3" t="n"/>
      <c r="D37" s="17" t="n"/>
      <c r="E37" s="3" t="n"/>
      <c r="F37" s="3" t="n"/>
      <c r="G37" s="3" t="n"/>
    </row>
    <row r="38">
      <c r="A38" s="15" t="n"/>
      <c r="B38" s="3" t="n"/>
      <c r="C38" s="3" t="n"/>
      <c r="D38" s="17" t="n"/>
      <c r="E38" s="3" t="n"/>
      <c r="F38" s="3" t="n"/>
      <c r="G38" s="3" t="n"/>
    </row>
    <row r="39">
      <c r="A39" s="15" t="n"/>
      <c r="B39" s="3" t="n"/>
      <c r="C39" s="3" t="n"/>
      <c r="D39" s="17" t="n"/>
      <c r="E39" s="3" t="n"/>
      <c r="F39" s="3" t="n"/>
      <c r="G39" s="3" t="n"/>
    </row>
    <row r="40">
      <c r="A40" s="15" t="n"/>
      <c r="B40" s="3" t="n"/>
      <c r="C40" s="3" t="n"/>
      <c r="D40" s="17" t="n"/>
      <c r="E40" s="3" t="n"/>
      <c r="F40" s="3" t="n"/>
      <c r="G40" s="3" t="n"/>
    </row>
    <row r="41">
      <c r="A41" s="15" t="n"/>
      <c r="B41" s="3" t="n"/>
      <c r="C41" s="3" t="n"/>
      <c r="D41" s="17" t="n"/>
      <c r="E41" s="3" t="n"/>
      <c r="F41" s="3" t="n"/>
      <c r="G41" s="3" t="n"/>
    </row>
    <row r="42">
      <c r="A42" s="15" t="n"/>
      <c r="B42" s="3" t="n"/>
      <c r="C42" s="3" t="n"/>
      <c r="D42" s="17" t="n"/>
      <c r="E42" s="3" t="n"/>
      <c r="F42" s="3" t="n"/>
      <c r="G42" s="3" t="n"/>
    </row>
    <row r="43">
      <c r="A43" s="15" t="n"/>
      <c r="B43" s="3" t="n"/>
      <c r="C43" s="3" t="n"/>
      <c r="D43" s="17" t="n"/>
      <c r="E43" s="3" t="n"/>
      <c r="F43" s="3" t="n"/>
      <c r="G43" s="3" t="n"/>
    </row>
    <row r="44">
      <c r="A44" s="15" t="n"/>
      <c r="B44" s="3" t="n"/>
      <c r="C44" s="3" t="n"/>
      <c r="D44" s="17" t="n"/>
      <c r="E44" s="3" t="n"/>
      <c r="F44" s="3" t="n"/>
      <c r="G44" s="3" t="n"/>
    </row>
    <row r="45">
      <c r="A45" s="15" t="n"/>
      <c r="B45" s="3" t="n"/>
      <c r="C45" s="3" t="n"/>
      <c r="D45" s="17" t="n"/>
      <c r="E45" s="3" t="n"/>
      <c r="F45" s="3" t="n"/>
      <c r="G45" s="3" t="n"/>
    </row>
    <row r="46">
      <c r="A46" s="15" t="n"/>
      <c r="B46" s="3" t="n"/>
      <c r="C46" s="3" t="n"/>
      <c r="D46" s="17" t="n"/>
      <c r="E46" s="3" t="n"/>
      <c r="F46" s="3" t="n"/>
      <c r="G46" s="3" t="n"/>
    </row>
    <row r="47">
      <c r="A47" s="15" t="n"/>
      <c r="B47" s="3" t="n"/>
      <c r="C47" s="3" t="n"/>
      <c r="D47" s="17" t="n"/>
      <c r="E47" s="3" t="n"/>
      <c r="F47" s="3" t="n"/>
      <c r="G47" s="3" t="n"/>
    </row>
    <row r="48">
      <c r="A48" s="15" t="n"/>
      <c r="B48" s="3" t="n"/>
      <c r="C48" s="3" t="n"/>
      <c r="D48" s="17" t="n"/>
      <c r="E48" s="3" t="n"/>
      <c r="F48" s="3" t="n"/>
      <c r="G48" s="3" t="n"/>
    </row>
    <row r="49">
      <c r="A49" s="15" t="n"/>
      <c r="B49" s="3" t="n"/>
      <c r="C49" s="3" t="n"/>
      <c r="D49" s="17" t="n"/>
      <c r="E49" s="3" t="n"/>
      <c r="F49" s="3" t="n"/>
      <c r="G49" s="3" t="n"/>
    </row>
    <row r="50">
      <c r="A50" s="15" t="n"/>
      <c r="B50" s="3" t="n"/>
      <c r="C50" s="3" t="n"/>
      <c r="D50" s="17" t="n"/>
      <c r="E50" s="3" t="n"/>
      <c r="F50" s="3" t="n"/>
      <c r="G50" s="3" t="n"/>
    </row>
    <row r="51">
      <c r="A51" s="15" t="n"/>
      <c r="B51" s="3" t="n"/>
      <c r="C51" s="3" t="n"/>
      <c r="D51" s="17" t="n"/>
      <c r="E51" s="3" t="n"/>
      <c r="F51" s="3" t="n"/>
      <c r="G51" s="3" t="n"/>
    </row>
    <row r="52">
      <c r="A52" s="15" t="n"/>
      <c r="B52" s="3" t="n"/>
      <c r="C52" s="3" t="n"/>
      <c r="D52" s="17" t="n"/>
      <c r="E52" s="3" t="n"/>
      <c r="F52" s="3" t="n"/>
      <c r="G52" s="3" t="n"/>
    </row>
    <row r="53">
      <c r="A53" s="15" t="n"/>
      <c r="B53" s="3" t="n"/>
      <c r="C53" s="3" t="n"/>
      <c r="D53" s="17" t="n"/>
      <c r="E53" s="3" t="n"/>
      <c r="F53" s="3" t="n"/>
      <c r="G53" s="3" t="n"/>
    </row>
    <row r="54">
      <c r="A54" s="15" t="n"/>
      <c r="B54" s="3" t="n"/>
      <c r="C54" s="3" t="n"/>
      <c r="D54" s="17" t="n"/>
      <c r="E54" s="3" t="n"/>
      <c r="F54" s="3" t="n"/>
      <c r="G54" s="3" t="n"/>
    </row>
    <row r="55">
      <c r="A55" s="15" t="n"/>
      <c r="B55" s="3" t="n"/>
      <c r="C55" s="3" t="n"/>
      <c r="D55" s="17" t="n"/>
      <c r="E55" s="3" t="n"/>
      <c r="F55" s="3" t="n"/>
      <c r="G55" s="3" t="n"/>
    </row>
    <row r="56">
      <c r="A56" s="15" t="n"/>
      <c r="B56" s="3" t="n"/>
      <c r="C56" s="3" t="n"/>
      <c r="D56" s="17" t="n"/>
      <c r="E56" s="3" t="n"/>
      <c r="F56" s="3" t="n"/>
      <c r="G56" s="3" t="n"/>
    </row>
    <row r="57">
      <c r="A57" s="15" t="n"/>
      <c r="B57" s="3" t="n"/>
      <c r="C57" s="3" t="n"/>
      <c r="D57" s="17" t="n"/>
      <c r="E57" s="3" t="n"/>
      <c r="F57" s="3" t="n"/>
      <c r="G57" s="3" t="n"/>
    </row>
    <row r="58">
      <c r="A58" s="15" t="n"/>
      <c r="B58" s="3" t="n"/>
      <c r="C58" s="3" t="n"/>
      <c r="D58" s="17" t="n"/>
      <c r="E58" s="3" t="n"/>
      <c r="F58" s="3" t="n"/>
      <c r="G58" s="3" t="n"/>
    </row>
    <row r="59">
      <c r="A59" s="15" t="n"/>
      <c r="B59" s="3" t="n"/>
      <c r="C59" s="3" t="n"/>
      <c r="D59" s="17" t="n"/>
      <c r="E59" s="3" t="n"/>
      <c r="F59" s="3" t="n"/>
      <c r="G59" s="3" t="n"/>
    </row>
    <row r="60">
      <c r="A60" s="15" t="n"/>
      <c r="B60" s="3" t="n"/>
      <c r="C60" s="3" t="n"/>
      <c r="D60" s="17" t="n"/>
      <c r="E60" s="3" t="n"/>
      <c r="F60" s="3" t="n"/>
      <c r="G60" s="3" t="n"/>
    </row>
    <row r="61">
      <c r="A61" s="15" t="n"/>
      <c r="B61" s="3" t="n"/>
      <c r="C61" s="3" t="n"/>
      <c r="D61" s="17" t="n"/>
      <c r="E61" s="3" t="n"/>
      <c r="F61" s="3" t="n"/>
      <c r="G61" s="3" t="n"/>
    </row>
    <row r="62">
      <c r="A62" s="15" t="n"/>
      <c r="B62" s="3" t="n"/>
      <c r="C62" s="3" t="n"/>
      <c r="D62" s="17" t="n"/>
      <c r="E62" s="3" t="n"/>
      <c r="F62" s="3" t="n"/>
      <c r="G62" s="3" t="n"/>
    </row>
    <row r="63">
      <c r="A63" s="15" t="n"/>
      <c r="B63" s="3" t="n"/>
      <c r="C63" s="3" t="n"/>
      <c r="D63" s="17" t="n"/>
      <c r="E63" s="3" t="n"/>
      <c r="F63" s="3" t="n"/>
      <c r="G63" s="3" t="n"/>
    </row>
    <row r="64">
      <c r="A64" s="15" t="n"/>
      <c r="B64" s="3" t="n"/>
      <c r="C64" s="3" t="n"/>
      <c r="D64" s="17" t="n"/>
      <c r="E64" s="3" t="n"/>
      <c r="F64" s="3" t="n"/>
      <c r="G64" s="3" t="n"/>
    </row>
    <row r="65">
      <c r="A65" s="15" t="n"/>
      <c r="B65" s="3" t="n"/>
      <c r="C65" s="3" t="n"/>
      <c r="D65" s="17" t="n"/>
      <c r="E65" s="3" t="n"/>
      <c r="F65" s="3" t="n"/>
      <c r="G65" s="3" t="n"/>
    </row>
    <row r="66">
      <c r="A66" s="15" t="n"/>
      <c r="B66" s="3" t="n"/>
      <c r="C66" s="3" t="n"/>
      <c r="D66" s="17" t="n"/>
      <c r="E66" s="3" t="n"/>
      <c r="F66" s="3" t="n"/>
      <c r="G66" s="3" t="n"/>
    </row>
    <row r="67">
      <c r="A67" s="15" t="n"/>
      <c r="B67" s="3" t="n"/>
      <c r="C67" s="3" t="n"/>
      <c r="D67" s="17" t="n"/>
      <c r="E67" s="3" t="n"/>
      <c r="F67" s="3" t="n"/>
      <c r="G67" s="3" t="n"/>
    </row>
    <row r="68">
      <c r="A68" s="15" t="n"/>
      <c r="B68" s="3" t="n"/>
      <c r="C68" s="3" t="n"/>
      <c r="D68" s="17" t="n"/>
      <c r="E68" s="3" t="n"/>
      <c r="F68" s="3" t="n"/>
      <c r="G68" s="3" t="n"/>
    </row>
    <row r="69">
      <c r="A69" s="15" t="n"/>
      <c r="B69" s="3" t="n"/>
      <c r="C69" s="3" t="n"/>
      <c r="D69" s="17" t="n"/>
      <c r="E69" s="3" t="n"/>
      <c r="F69" s="3" t="n"/>
      <c r="G69" s="3" t="n"/>
    </row>
    <row r="70">
      <c r="A70" s="15" t="n"/>
      <c r="B70" s="3" t="n"/>
      <c r="C70" s="3" t="n"/>
      <c r="D70" s="17" t="n"/>
      <c r="E70" s="3" t="n"/>
      <c r="F70" s="3" t="n"/>
      <c r="G70" s="3" t="n"/>
    </row>
    <row r="71">
      <c r="A71" s="15" t="n"/>
      <c r="B71" s="3" t="n"/>
      <c r="C71" s="3" t="n"/>
      <c r="D71" s="17" t="n"/>
      <c r="E71" s="3" t="n"/>
      <c r="F71" s="3" t="n"/>
      <c r="G71" s="3" t="n"/>
    </row>
    <row r="72">
      <c r="A72" s="15" t="n"/>
      <c r="B72" s="3" t="n"/>
      <c r="C72" s="3" t="n"/>
      <c r="D72" s="17" t="n"/>
      <c r="E72" s="3" t="n"/>
      <c r="F72" s="3" t="n"/>
      <c r="G72" s="3" t="n"/>
    </row>
    <row r="73">
      <c r="A73" s="15" t="n"/>
      <c r="B73" s="3" t="n"/>
      <c r="C73" s="3" t="n"/>
      <c r="D73" s="17" t="n"/>
      <c r="E73" s="3" t="n"/>
      <c r="F73" s="3" t="n"/>
      <c r="G73" s="3" t="n"/>
    </row>
    <row r="74">
      <c r="A74" s="15" t="n"/>
      <c r="B74" s="3" t="n"/>
      <c r="C74" s="3" t="n"/>
      <c r="D74" s="17" t="n"/>
      <c r="E74" s="3" t="n"/>
      <c r="F74" s="3" t="n"/>
      <c r="G74" s="3" t="n"/>
    </row>
    <row r="75">
      <c r="A75" s="15" t="n"/>
      <c r="B75" s="3" t="n"/>
      <c r="C75" s="3" t="n"/>
      <c r="D75" s="17" t="n"/>
      <c r="E75" s="3" t="n"/>
      <c r="F75" s="3" t="n"/>
      <c r="G75" s="3" t="n"/>
    </row>
    <row r="76">
      <c r="A76" s="15" t="n"/>
      <c r="B76" s="3" t="n"/>
      <c r="C76" s="3" t="n"/>
      <c r="D76" s="17" t="n"/>
      <c r="E76" s="3" t="n"/>
      <c r="F76" s="3" t="n"/>
      <c r="G76" s="3" t="n"/>
    </row>
    <row r="77">
      <c r="A77" s="15" t="n"/>
      <c r="B77" s="3" t="n"/>
      <c r="C77" s="3" t="n"/>
      <c r="D77" s="17" t="n"/>
      <c r="E77" s="3" t="n"/>
      <c r="F77" s="3" t="n"/>
      <c r="G77" s="3" t="n"/>
    </row>
    <row r="78">
      <c r="A78" s="15" t="n"/>
      <c r="B78" s="3" t="n"/>
      <c r="C78" s="3" t="n"/>
      <c r="D78" s="17" t="n"/>
      <c r="E78" s="3" t="n"/>
      <c r="F78" s="3" t="n"/>
      <c r="G78" s="3" t="n"/>
    </row>
    <row r="79">
      <c r="A79" s="15" t="n"/>
      <c r="B79" s="3" t="n"/>
      <c r="C79" s="3" t="n"/>
      <c r="D79" s="17" t="n"/>
      <c r="E79" s="3" t="n"/>
      <c r="F79" s="3" t="n"/>
      <c r="G79" s="3" t="n"/>
    </row>
    <row r="80">
      <c r="A80" s="15" t="n"/>
      <c r="B80" s="3" t="n"/>
      <c r="C80" s="3" t="n"/>
      <c r="D80" s="17" t="n"/>
      <c r="E80" s="3" t="n"/>
      <c r="F80" s="3" t="n"/>
      <c r="G80" s="3" t="n"/>
    </row>
    <row r="81">
      <c r="A81" s="15" t="n"/>
      <c r="B81" s="3" t="n"/>
      <c r="C81" s="3" t="n"/>
      <c r="D81" s="17" t="n"/>
      <c r="E81" s="3" t="n"/>
      <c r="F81" s="3" t="n"/>
      <c r="G81" s="3" t="n"/>
    </row>
    <row r="82">
      <c r="A82" s="15" t="n"/>
      <c r="B82" s="3" t="n"/>
      <c r="C82" s="3" t="n"/>
      <c r="D82" s="17" t="n"/>
      <c r="E82" s="3" t="n"/>
      <c r="F82" s="3" t="n"/>
      <c r="G82" s="3" t="n"/>
    </row>
    <row r="83">
      <c r="A83" s="15" t="n"/>
      <c r="B83" s="3" t="n"/>
      <c r="C83" s="3" t="n"/>
      <c r="D83" s="17" t="n"/>
      <c r="E83" s="3" t="n"/>
      <c r="F83" s="3" t="n"/>
      <c r="G83" s="3" t="n"/>
    </row>
    <row r="84">
      <c r="A84" s="15" t="n"/>
      <c r="B84" s="3" t="n"/>
      <c r="C84" s="3" t="n"/>
      <c r="D84" s="17" t="n"/>
      <c r="E84" s="3" t="n"/>
      <c r="F84" s="3" t="n"/>
      <c r="G84" s="3" t="n"/>
    </row>
    <row r="85">
      <c r="A85" s="15" t="n"/>
      <c r="B85" s="3" t="n"/>
      <c r="C85" s="3" t="n"/>
      <c r="D85" s="17" t="n"/>
      <c r="E85" s="3" t="n"/>
      <c r="F85" s="3" t="n"/>
      <c r="G85" s="3" t="n"/>
    </row>
    <row r="86">
      <c r="A86" s="15" t="n"/>
      <c r="B86" s="3" t="n"/>
      <c r="C86" s="3" t="n"/>
      <c r="D86" s="17" t="n"/>
      <c r="E86" s="3" t="n"/>
      <c r="F86" s="3" t="n"/>
      <c r="G86" s="3" t="n"/>
    </row>
    <row r="87">
      <c r="A87" s="15" t="n"/>
      <c r="B87" s="3" t="n"/>
      <c r="C87" s="3" t="n"/>
      <c r="D87" s="17" t="n"/>
      <c r="E87" s="3" t="n"/>
      <c r="F87" s="3" t="n"/>
      <c r="G87" s="3" t="n"/>
    </row>
    <row r="88">
      <c r="A88" s="15" t="n"/>
      <c r="B88" s="3" t="n"/>
      <c r="C88" s="3" t="n"/>
      <c r="D88" s="17" t="n"/>
      <c r="E88" s="3" t="n"/>
      <c r="F88" s="3" t="n"/>
      <c r="G88" s="3" t="n"/>
    </row>
    <row r="89">
      <c r="A89" s="15" t="n"/>
      <c r="B89" s="3" t="n"/>
      <c r="C89" s="3" t="n"/>
      <c r="D89" s="17" t="n"/>
      <c r="E89" s="3" t="n"/>
      <c r="F89" s="3" t="n"/>
      <c r="G89" s="3" t="n"/>
    </row>
    <row r="90">
      <c r="A90" s="15" t="n"/>
      <c r="B90" s="3" t="n"/>
      <c r="C90" s="3" t="n"/>
      <c r="D90" s="17" t="n"/>
      <c r="E90" s="3" t="n"/>
      <c r="F90" s="3" t="n"/>
      <c r="G90" s="3" t="n"/>
    </row>
    <row r="91">
      <c r="A91" s="15" t="n"/>
      <c r="B91" s="3" t="n"/>
      <c r="C91" s="3" t="n"/>
      <c r="D91" s="17" t="n"/>
      <c r="E91" s="3" t="n"/>
      <c r="F91" s="3" t="n"/>
      <c r="G91" s="3" t="n"/>
    </row>
    <row r="92">
      <c r="A92" s="15" t="n"/>
      <c r="B92" s="3" t="n"/>
      <c r="C92" s="3" t="n"/>
      <c r="D92" s="17" t="n"/>
      <c r="E92" s="3" t="n"/>
      <c r="F92" s="3" t="n"/>
      <c r="G92" s="3" t="n"/>
    </row>
    <row r="93">
      <c r="A93" s="15" t="n"/>
      <c r="B93" s="3" t="n"/>
      <c r="C93" s="3" t="n"/>
      <c r="D93" s="17" t="n"/>
      <c r="E93" s="3" t="n"/>
      <c r="F93" s="3" t="n"/>
      <c r="G93" s="3" t="n"/>
    </row>
    <row r="94">
      <c r="A94" s="15" t="n"/>
      <c r="B94" s="3" t="n"/>
      <c r="C94" s="3" t="n"/>
      <c r="D94" s="17" t="n"/>
      <c r="E94" s="3" t="n"/>
      <c r="F94" s="3" t="n"/>
      <c r="G94" s="3" t="n"/>
    </row>
    <row r="95">
      <c r="A95" s="15" t="n"/>
      <c r="B95" s="3" t="n"/>
      <c r="C95" s="3" t="n"/>
      <c r="D95" s="17" t="n"/>
      <c r="E95" s="3" t="n"/>
      <c r="F95" s="3" t="n"/>
      <c r="G95" s="3" t="n"/>
    </row>
    <row r="96">
      <c r="A96" s="15" t="n"/>
      <c r="B96" s="3" t="n"/>
      <c r="C96" s="3" t="n"/>
      <c r="D96" s="17" t="n"/>
      <c r="E96" s="3" t="n"/>
      <c r="F96" s="3" t="n"/>
      <c r="G96" s="3" t="n"/>
    </row>
    <row r="97">
      <c r="A97" s="15" t="n"/>
      <c r="B97" s="3" t="n"/>
      <c r="C97" s="3" t="n"/>
      <c r="D97" s="17" t="n"/>
      <c r="E97" s="3" t="n"/>
      <c r="F97" s="3" t="n"/>
      <c r="G97" s="3" t="n"/>
    </row>
    <row r="98">
      <c r="A98" s="15" t="n"/>
      <c r="B98" s="3" t="n"/>
      <c r="C98" s="3" t="n"/>
      <c r="D98" s="17" t="n"/>
      <c r="E98" s="3" t="n"/>
      <c r="F98" s="3" t="n"/>
      <c r="G98" s="3" t="n"/>
    </row>
    <row r="99">
      <c r="A99" s="15" t="n"/>
      <c r="B99" s="3" t="n"/>
      <c r="C99" s="3" t="n"/>
      <c r="D99" s="17" t="n"/>
      <c r="E99" s="3" t="n"/>
      <c r="F99" s="3" t="n"/>
      <c r="G99" s="3" t="n"/>
    </row>
    <row r="100">
      <c r="A100" s="15" t="n"/>
      <c r="B100" s="3" t="n"/>
      <c r="C100" s="3" t="n"/>
      <c r="D100" s="17" t="n"/>
      <c r="E100" s="3" t="n"/>
      <c r="F100" s="3" t="n"/>
      <c r="G100" s="3" t="n"/>
    </row>
    <row r="101">
      <c r="A101" s="15" t="n"/>
      <c r="B101" s="3" t="n"/>
      <c r="C101" s="3" t="n"/>
      <c r="D101" s="17" t="n"/>
      <c r="E101" s="3" t="n"/>
      <c r="F101" s="3" t="n"/>
      <c r="G101" s="3" t="n"/>
    </row>
    <row r="102">
      <c r="A102" s="15" t="n"/>
      <c r="B102" s="3" t="n"/>
      <c r="C102" s="3" t="n"/>
      <c r="D102" s="17" t="n"/>
      <c r="E102" s="3" t="n"/>
      <c r="F102" s="3" t="n"/>
      <c r="G102" s="3" t="n"/>
    </row>
    <row r="103">
      <c r="A103" s="15" t="n"/>
      <c r="B103" s="3" t="n"/>
      <c r="C103" s="3" t="n"/>
      <c r="D103" s="17" t="n"/>
      <c r="E103" s="3" t="n"/>
      <c r="F103" s="3" t="n"/>
      <c r="G103" s="3" t="n"/>
    </row>
    <row r="104">
      <c r="A104" s="15" t="n"/>
      <c r="B104" s="3" t="n"/>
      <c r="C104" s="3" t="n"/>
      <c r="D104" s="17" t="n"/>
      <c r="E104" s="3" t="n"/>
      <c r="F104" s="3" t="n"/>
      <c r="G104" s="3" t="n"/>
    </row>
    <row r="105">
      <c r="A105" s="15" t="n"/>
      <c r="B105" s="3" t="n"/>
      <c r="C105" s="3" t="n"/>
      <c r="D105" s="17" t="n"/>
      <c r="E105" s="3" t="n"/>
      <c r="F105" s="3" t="n"/>
      <c r="G105" s="3" t="n"/>
    </row>
    <row r="106">
      <c r="A106" s="15" t="n"/>
      <c r="B106" s="3" t="n"/>
      <c r="C106" s="3" t="n"/>
      <c r="D106" s="17" t="n"/>
      <c r="E106" s="3" t="n"/>
      <c r="F106" s="3" t="n"/>
      <c r="G106" s="3" t="n"/>
    </row>
    <row r="107">
      <c r="A107" s="15" t="n"/>
      <c r="B107" s="3" t="n"/>
      <c r="C107" s="3" t="n"/>
      <c r="D107" s="17" t="n"/>
      <c r="E107" s="3" t="n"/>
      <c r="F107" s="3" t="n"/>
      <c r="G107" s="3" t="n"/>
    </row>
    <row r="108">
      <c r="A108" s="15" t="n"/>
      <c r="B108" s="3" t="n"/>
      <c r="C108" s="3" t="n"/>
      <c r="D108" s="17" t="n"/>
      <c r="E108" s="3" t="n"/>
      <c r="F108" s="3" t="n"/>
      <c r="G108" s="3" t="n"/>
    </row>
    <row r="109">
      <c r="A109" s="15" t="n"/>
      <c r="B109" s="3" t="n"/>
      <c r="C109" s="3" t="n"/>
      <c r="D109" s="17" t="n"/>
      <c r="E109" s="3" t="n"/>
      <c r="F109" s="3" t="n"/>
      <c r="G109" s="3" t="n"/>
    </row>
    <row r="110">
      <c r="A110" s="15" t="n"/>
      <c r="B110" s="3" t="n"/>
      <c r="C110" s="3" t="n"/>
      <c r="D110" s="17" t="n"/>
      <c r="E110" s="3" t="n"/>
      <c r="F110" s="3" t="n"/>
      <c r="G110" s="3" t="n"/>
    </row>
    <row r="111">
      <c r="A111" s="15" t="n"/>
      <c r="B111" s="3" t="n"/>
      <c r="C111" s="3" t="n"/>
      <c r="D111" s="17" t="n"/>
      <c r="E111" s="3" t="n"/>
      <c r="F111" s="3" t="n"/>
      <c r="G111" s="3" t="n"/>
    </row>
    <row r="112">
      <c r="A112" s="15" t="n"/>
      <c r="B112" s="3" t="n"/>
      <c r="C112" s="3" t="n"/>
      <c r="D112" s="17" t="n"/>
      <c r="E112" s="3" t="n"/>
      <c r="F112" s="3" t="n"/>
      <c r="G112" s="3" t="n"/>
    </row>
    <row r="113">
      <c r="A113" s="15" t="n"/>
      <c r="B113" s="3" t="n"/>
      <c r="C113" s="3" t="n"/>
      <c r="D113" s="17" t="n"/>
      <c r="E113" s="3" t="n"/>
      <c r="F113" s="3" t="n"/>
      <c r="G113" s="3" t="n"/>
    </row>
    <row r="114">
      <c r="A114" s="15" t="n"/>
      <c r="B114" s="3" t="n"/>
      <c r="C114" s="3" t="n"/>
      <c r="D114" s="17" t="n"/>
      <c r="E114" s="3" t="n"/>
      <c r="F114" s="3" t="n"/>
      <c r="G114" s="3" t="n"/>
    </row>
    <row r="115">
      <c r="A115" s="15" t="n"/>
      <c r="B115" s="3" t="n"/>
      <c r="C115" s="3" t="n"/>
      <c r="D115" s="17" t="n"/>
      <c r="E115" s="3" t="n"/>
      <c r="F115" s="3" t="n"/>
      <c r="G115" s="3" t="n"/>
    </row>
    <row r="116">
      <c r="A116" s="15" t="n"/>
      <c r="B116" s="3" t="n"/>
      <c r="C116" s="3" t="n"/>
      <c r="D116" s="17" t="n"/>
      <c r="E116" s="3" t="n"/>
      <c r="F116" s="3" t="n"/>
      <c r="G116" s="3" t="n"/>
    </row>
    <row r="117">
      <c r="A117" s="15" t="n"/>
      <c r="B117" s="3" t="n"/>
      <c r="C117" s="3" t="n"/>
      <c r="D117" s="17" t="n"/>
      <c r="E117" s="3" t="n"/>
      <c r="F117" s="3" t="n"/>
      <c r="G117" s="3" t="n"/>
    </row>
    <row r="118">
      <c r="A118" s="15" t="n"/>
      <c r="B118" s="3" t="n"/>
      <c r="C118" s="3" t="n"/>
      <c r="D118" s="17" t="n"/>
      <c r="E118" s="3" t="n"/>
      <c r="F118" s="3" t="n"/>
      <c r="G118" s="3" t="n"/>
    </row>
    <row r="119">
      <c r="A119" s="15" t="n"/>
      <c r="B119" s="3" t="n"/>
      <c r="C119" s="3" t="n"/>
      <c r="D119" s="17" t="n"/>
      <c r="E119" s="3" t="n"/>
      <c r="F119" s="3" t="n"/>
      <c r="G119" s="3" t="n"/>
    </row>
    <row r="120">
      <c r="A120" s="15" t="n"/>
      <c r="B120" s="3" t="n"/>
      <c r="C120" s="3" t="n"/>
      <c r="D120" s="17" t="n"/>
      <c r="E120" s="3" t="n"/>
      <c r="F120" s="3" t="n"/>
      <c r="G120" s="3" t="n"/>
    </row>
    <row r="121">
      <c r="A121" s="15" t="n"/>
      <c r="B121" s="3" t="n"/>
      <c r="C121" s="3" t="n"/>
      <c r="D121" s="17" t="n"/>
      <c r="E121" s="3" t="n"/>
      <c r="F121" s="3" t="n"/>
      <c r="G121" s="3" t="n"/>
    </row>
    <row r="122">
      <c r="A122" s="15" t="n"/>
      <c r="B122" s="3" t="n"/>
      <c r="C122" s="3" t="n"/>
      <c r="D122" s="17" t="n"/>
      <c r="E122" s="3" t="n"/>
      <c r="F122" s="3" t="n"/>
      <c r="G122" s="3" t="n"/>
    </row>
    <row r="123">
      <c r="A123" s="15" t="n"/>
      <c r="B123" s="3" t="n"/>
      <c r="C123" s="3" t="n"/>
      <c r="D123" s="17" t="n"/>
      <c r="E123" s="3" t="n"/>
      <c r="F123" s="3" t="n"/>
      <c r="G123" s="3" t="n"/>
    </row>
    <row r="124">
      <c r="A124" s="15" t="n"/>
      <c r="B124" s="3" t="n"/>
      <c r="C124" s="3" t="n"/>
      <c r="D124" s="17" t="n"/>
      <c r="E124" s="3" t="n"/>
      <c r="F124" s="3" t="n"/>
      <c r="G124" s="3" t="n"/>
    </row>
    <row r="125">
      <c r="A125" s="15" t="n"/>
      <c r="B125" s="3" t="n"/>
      <c r="C125" s="3" t="n"/>
      <c r="D125" s="17" t="n"/>
      <c r="E125" s="3" t="n"/>
      <c r="F125" s="3" t="n"/>
      <c r="G125" s="3" t="n"/>
    </row>
    <row r="126">
      <c r="A126" s="15" t="n"/>
      <c r="B126" s="3" t="n"/>
      <c r="C126" s="3" t="n"/>
      <c r="D126" s="17" t="n"/>
      <c r="E126" s="3" t="n"/>
      <c r="F126" s="3" t="n"/>
      <c r="G126" s="3" t="n"/>
    </row>
    <row r="127">
      <c r="A127" s="15" t="n"/>
      <c r="B127" s="3" t="n"/>
      <c r="C127" s="3" t="n"/>
      <c r="D127" s="17" t="n"/>
      <c r="E127" s="3" t="n"/>
      <c r="F127" s="3" t="n"/>
      <c r="G127" s="3" t="n"/>
    </row>
    <row r="128">
      <c r="A128" s="15" t="n"/>
      <c r="B128" s="3" t="n"/>
      <c r="C128" s="3" t="n"/>
      <c r="D128" s="17" t="n"/>
      <c r="E128" s="3" t="n"/>
      <c r="F128" s="3" t="n"/>
      <c r="G128" s="3" t="n"/>
    </row>
    <row r="129">
      <c r="A129" s="15" t="n"/>
      <c r="B129" s="3" t="n"/>
      <c r="C129" s="3" t="n"/>
      <c r="D129" s="17" t="n"/>
      <c r="E129" s="3" t="n"/>
      <c r="F129" s="3" t="n"/>
      <c r="G129" s="3" t="n"/>
    </row>
    <row r="130">
      <c r="A130" s="15" t="n"/>
      <c r="B130" s="3" t="n"/>
      <c r="C130" s="3" t="n"/>
      <c r="D130" s="17" t="n"/>
      <c r="E130" s="3" t="n"/>
      <c r="F130" s="3" t="n"/>
      <c r="G130" s="3" t="n"/>
    </row>
    <row r="131">
      <c r="A131" s="15" t="n"/>
      <c r="B131" s="3" t="n"/>
      <c r="C131" s="3" t="n"/>
      <c r="D131" s="17" t="n"/>
      <c r="E131" s="3" t="n"/>
      <c r="F131" s="3" t="n"/>
      <c r="G131" s="3" t="n"/>
    </row>
    <row r="132">
      <c r="A132" s="15" t="n"/>
      <c r="B132" s="3" t="n"/>
      <c r="C132" s="3" t="n"/>
      <c r="D132" s="17" t="n"/>
      <c r="E132" s="3" t="n"/>
      <c r="F132" s="3" t="n"/>
      <c r="G132" s="3" t="n"/>
    </row>
    <row r="133">
      <c r="A133" s="15" t="n"/>
      <c r="B133" s="3" t="n"/>
      <c r="C133" s="3" t="n"/>
      <c r="D133" s="17" t="n"/>
      <c r="E133" s="3" t="n"/>
      <c r="F133" s="3" t="n"/>
      <c r="G133" s="3" t="n"/>
    </row>
    <row r="134">
      <c r="A134" s="15" t="n"/>
      <c r="B134" s="3" t="n"/>
      <c r="C134" s="3" t="n"/>
      <c r="D134" s="17" t="n"/>
      <c r="E134" s="3" t="n"/>
      <c r="F134" s="3" t="n"/>
      <c r="G134" s="3" t="n"/>
    </row>
    <row r="135">
      <c r="A135" s="15" t="n"/>
      <c r="B135" s="3" t="n"/>
      <c r="C135" s="3" t="n"/>
      <c r="D135" s="17" t="n"/>
      <c r="E135" s="3" t="n"/>
      <c r="F135" s="3" t="n"/>
      <c r="G135" s="3" t="n"/>
    </row>
    <row r="136">
      <c r="A136" s="15" t="n"/>
      <c r="B136" s="3" t="n"/>
      <c r="C136" s="3" t="n"/>
      <c r="D136" s="17" t="n"/>
      <c r="E136" s="3" t="n"/>
      <c r="F136" s="3" t="n"/>
      <c r="G136" s="3" t="n"/>
    </row>
    <row r="137">
      <c r="A137" s="15" t="n"/>
      <c r="B137" s="3" t="n"/>
      <c r="C137" s="3" t="n"/>
      <c r="D137" s="17" t="n"/>
      <c r="E137" s="3" t="n"/>
      <c r="F137" s="3" t="n"/>
      <c r="G137" s="3" t="n"/>
    </row>
    <row r="138">
      <c r="A138" s="15" t="n"/>
      <c r="B138" s="3" t="n"/>
      <c r="C138" s="3" t="n"/>
      <c r="D138" s="17" t="n"/>
      <c r="E138" s="3" t="n"/>
      <c r="F138" s="3" t="n"/>
      <c r="G138" s="3" t="n"/>
    </row>
    <row r="139">
      <c r="A139" s="15" t="n"/>
      <c r="B139" s="3" t="n"/>
      <c r="C139" s="3" t="n"/>
      <c r="D139" s="17" t="n"/>
      <c r="E139" s="3" t="n"/>
      <c r="F139" s="3" t="n"/>
      <c r="G139" s="3" t="n"/>
    </row>
    <row r="140">
      <c r="A140" s="15" t="n"/>
      <c r="B140" s="3" t="n"/>
      <c r="C140" s="3" t="n"/>
      <c r="D140" s="17" t="n"/>
      <c r="E140" s="3" t="n"/>
      <c r="F140" s="3" t="n"/>
      <c r="G140" s="3" t="n"/>
    </row>
    <row r="141">
      <c r="A141" s="15" t="n"/>
      <c r="B141" s="3" t="n"/>
      <c r="C141" s="3" t="n"/>
      <c r="D141" s="17" t="n"/>
      <c r="E141" s="3" t="n"/>
      <c r="F141" s="3" t="n"/>
      <c r="G141" s="3" t="n"/>
    </row>
    <row r="142">
      <c r="A142" s="15" t="n"/>
      <c r="B142" s="3" t="n"/>
      <c r="C142" s="3" t="n"/>
      <c r="D142" s="17" t="n"/>
      <c r="E142" s="3" t="n"/>
      <c r="F142" s="3" t="n"/>
      <c r="G142" s="3" t="n"/>
    </row>
    <row r="143">
      <c r="A143" s="15" t="n"/>
      <c r="B143" s="3" t="n"/>
      <c r="C143" s="3" t="n"/>
      <c r="D143" s="17" t="n"/>
      <c r="E143" s="3" t="n"/>
      <c r="F143" s="3" t="n"/>
      <c r="G143" s="3" t="n"/>
    </row>
    <row r="144">
      <c r="A144" s="15" t="n"/>
      <c r="B144" s="3" t="n"/>
      <c r="C144" s="3" t="n"/>
      <c r="D144" s="17" t="n"/>
      <c r="E144" s="3" t="n"/>
      <c r="F144" s="3" t="n"/>
      <c r="G144" s="3" t="n"/>
    </row>
    <row r="145">
      <c r="A145" s="15" t="n"/>
      <c r="B145" s="3" t="n"/>
      <c r="C145" s="3" t="n"/>
      <c r="D145" s="17" t="n"/>
      <c r="E145" s="3" t="n"/>
      <c r="F145" s="3" t="n"/>
      <c r="G145" s="3" t="n"/>
    </row>
    <row r="146">
      <c r="A146" s="15" t="n"/>
      <c r="B146" s="3" t="n"/>
      <c r="C146" s="3" t="n"/>
      <c r="D146" s="17" t="n"/>
      <c r="E146" s="3" t="n"/>
      <c r="F146" s="3" t="n"/>
      <c r="G146" s="3" t="n"/>
    </row>
    <row r="147">
      <c r="A147" s="15" t="n"/>
      <c r="B147" s="3" t="n"/>
      <c r="C147" s="3" t="n"/>
      <c r="D147" s="17" t="n"/>
      <c r="E147" s="3" t="n"/>
      <c r="F147" s="3" t="n"/>
      <c r="G147" s="3" t="n"/>
    </row>
    <row r="148">
      <c r="A148" s="15" t="n"/>
      <c r="B148" s="3" t="n"/>
      <c r="C148" s="3" t="n"/>
      <c r="D148" s="17" t="n"/>
      <c r="E148" s="3" t="n"/>
      <c r="F148" s="3" t="n"/>
      <c r="G148" s="3" t="n"/>
    </row>
    <row r="149">
      <c r="A149" s="15" t="n"/>
      <c r="B149" s="3" t="n"/>
      <c r="C149" s="3" t="n"/>
      <c r="D149" s="17" t="n"/>
      <c r="E149" s="3" t="n"/>
      <c r="F149" s="3" t="n"/>
      <c r="G149" s="3" t="n"/>
    </row>
    <row r="150">
      <c r="A150" s="15" t="n"/>
      <c r="B150" s="3" t="n"/>
      <c r="C150" s="3" t="n"/>
      <c r="D150" s="17" t="n"/>
      <c r="E150" s="3" t="n"/>
      <c r="F150" s="3" t="n"/>
      <c r="G150" s="3" t="n"/>
    </row>
    <row r="151">
      <c r="A151" s="15" t="n"/>
      <c r="B151" s="3" t="n"/>
      <c r="C151" s="3" t="n"/>
      <c r="D151" s="17" t="n"/>
      <c r="E151" s="3" t="n"/>
      <c r="F151" s="3" t="n"/>
      <c r="G151" s="3" t="n"/>
    </row>
    <row r="152">
      <c r="A152" s="15" t="n"/>
      <c r="B152" s="3" t="n"/>
      <c r="C152" s="3" t="n"/>
      <c r="D152" s="17" t="n"/>
      <c r="E152" s="3" t="n"/>
      <c r="F152" s="3" t="n"/>
      <c r="G152" s="3" t="n"/>
    </row>
    <row r="153">
      <c r="A153" s="15" t="n"/>
      <c r="B153" s="3" t="n"/>
      <c r="C153" s="3" t="n"/>
      <c r="D153" s="17" t="n"/>
      <c r="E153" s="3" t="n"/>
      <c r="F153" s="3" t="n"/>
      <c r="G153" s="3" t="n"/>
    </row>
    <row r="154">
      <c r="A154" s="15" t="n"/>
      <c r="B154" s="3" t="n"/>
      <c r="C154" s="3" t="n"/>
      <c r="D154" s="17" t="n"/>
      <c r="E154" s="3" t="n"/>
      <c r="F154" s="3" t="n"/>
      <c r="G154" s="3" t="n"/>
    </row>
    <row r="155">
      <c r="A155" s="15" t="n"/>
      <c r="B155" s="3" t="n"/>
      <c r="C155" s="3" t="n"/>
      <c r="D155" s="17" t="n"/>
      <c r="E155" s="3" t="n"/>
      <c r="F155" s="3" t="n"/>
      <c r="G155" s="3" t="n"/>
    </row>
    <row r="156">
      <c r="A156" s="15" t="n"/>
      <c r="B156" s="3" t="n"/>
      <c r="C156" s="3" t="n"/>
      <c r="D156" s="17" t="n"/>
      <c r="E156" s="3" t="n"/>
      <c r="F156" s="3" t="n"/>
      <c r="G156" s="3" t="n"/>
    </row>
    <row r="157">
      <c r="A157" s="15" t="n"/>
      <c r="B157" s="3" t="n"/>
      <c r="C157" s="3" t="n"/>
      <c r="D157" s="17" t="n"/>
      <c r="E157" s="3" t="n"/>
      <c r="F157" s="3" t="n"/>
      <c r="G157" s="3" t="n"/>
    </row>
    <row r="158">
      <c r="A158" s="15" t="n"/>
      <c r="B158" s="3" t="n"/>
      <c r="C158" s="3" t="n"/>
      <c r="D158" s="17" t="n"/>
      <c r="E158" s="3" t="n"/>
      <c r="F158" s="3" t="n"/>
      <c r="G158" s="3" t="n"/>
    </row>
    <row r="159">
      <c r="A159" s="15" t="n"/>
      <c r="B159" s="3" t="n"/>
      <c r="C159" s="3" t="n"/>
      <c r="D159" s="17" t="n"/>
      <c r="E159" s="3" t="n"/>
      <c r="F159" s="3" t="n"/>
      <c r="G159" s="3" t="n"/>
    </row>
    <row r="160">
      <c r="A160" s="15" t="n"/>
      <c r="B160" s="3" t="n"/>
      <c r="C160" s="3" t="n"/>
      <c r="D160" s="17" t="n"/>
      <c r="E160" s="3" t="n"/>
      <c r="F160" s="3" t="n"/>
      <c r="G160" s="3" t="n"/>
    </row>
    <row r="161">
      <c r="A161" s="15" t="n"/>
      <c r="B161" s="3" t="n"/>
      <c r="C161" s="3" t="n"/>
      <c r="D161" s="17" t="n"/>
      <c r="E161" s="3" t="n"/>
      <c r="F161" s="3" t="n"/>
      <c r="G161" s="3" t="n"/>
    </row>
    <row r="162">
      <c r="A162" s="15" t="n"/>
      <c r="B162" s="3" t="n"/>
      <c r="C162" s="3" t="n"/>
      <c r="D162" s="17" t="n"/>
      <c r="E162" s="3" t="n"/>
      <c r="F162" s="3" t="n"/>
      <c r="G162" s="3" t="n"/>
    </row>
    <row r="163">
      <c r="A163" s="15" t="n"/>
      <c r="B163" s="3" t="n"/>
      <c r="C163" s="3" t="n"/>
      <c r="D163" s="17" t="n"/>
      <c r="E163" s="3" t="n"/>
      <c r="F163" s="3" t="n"/>
      <c r="G163" s="3" t="n"/>
    </row>
    <row r="164">
      <c r="A164" s="15" t="n"/>
      <c r="B164" s="3" t="n"/>
      <c r="C164" s="3" t="n"/>
      <c r="D164" s="17" t="n"/>
      <c r="E164" s="3" t="n"/>
      <c r="F164" s="3" t="n"/>
      <c r="G164" s="3" t="n"/>
    </row>
    <row r="165">
      <c r="A165" s="15" t="n"/>
      <c r="B165" s="3" t="n"/>
      <c r="C165" s="3" t="n"/>
      <c r="D165" s="17" t="n"/>
      <c r="E165" s="3" t="n"/>
      <c r="F165" s="3" t="n"/>
      <c r="G165" s="3" t="n"/>
    </row>
    <row r="166">
      <c r="A166" s="15" t="n"/>
      <c r="B166" s="3" t="n"/>
      <c r="C166" s="3" t="n"/>
      <c r="D166" s="17" t="n"/>
      <c r="E166" s="3" t="n"/>
      <c r="F166" s="3" t="n"/>
      <c r="G166" s="3" t="n"/>
    </row>
    <row r="167">
      <c r="A167" s="15" t="n"/>
      <c r="B167" s="3" t="n"/>
      <c r="C167" s="3" t="n"/>
      <c r="D167" s="17" t="n"/>
      <c r="E167" s="3" t="n"/>
      <c r="F167" s="3" t="n"/>
      <c r="G167" s="3" t="n"/>
    </row>
    <row r="168">
      <c r="A168" s="15" t="n"/>
      <c r="B168" s="3" t="n"/>
      <c r="C168" s="3" t="n"/>
      <c r="D168" s="17" t="n"/>
      <c r="E168" s="3" t="n"/>
      <c r="F168" s="3" t="n"/>
      <c r="G168" s="3" t="n"/>
    </row>
    <row r="169">
      <c r="A169" s="15" t="n"/>
      <c r="B169" s="3" t="n"/>
      <c r="C169" s="3" t="n"/>
      <c r="D169" s="17" t="n"/>
      <c r="E169" s="3" t="n"/>
      <c r="F169" s="3" t="n"/>
      <c r="G169" s="3" t="n"/>
    </row>
    <row r="170">
      <c r="A170" s="15" t="n"/>
      <c r="B170" s="3" t="n"/>
      <c r="C170" s="3" t="n"/>
      <c r="D170" s="17" t="n"/>
      <c r="E170" s="3" t="n"/>
      <c r="F170" s="3" t="n"/>
      <c r="G170" s="3" t="n"/>
    </row>
    <row r="171">
      <c r="A171" s="15" t="n"/>
      <c r="B171" s="3" t="n"/>
      <c r="C171" s="3" t="n"/>
      <c r="D171" s="17" t="n"/>
      <c r="E171" s="3" t="n"/>
      <c r="F171" s="3" t="n"/>
      <c r="G171" s="3" t="n"/>
    </row>
    <row r="172">
      <c r="A172" s="15" t="n"/>
      <c r="B172" s="3" t="n"/>
      <c r="C172" s="3" t="n"/>
      <c r="D172" s="17" t="n"/>
      <c r="E172" s="3" t="n"/>
      <c r="F172" s="3" t="n"/>
      <c r="G172" s="3" t="n"/>
    </row>
    <row r="173">
      <c r="A173" s="15" t="n"/>
      <c r="B173" s="3" t="n"/>
      <c r="C173" s="3" t="n"/>
      <c r="D173" s="17" t="n"/>
      <c r="E173" s="3" t="n"/>
      <c r="F173" s="3" t="n"/>
      <c r="G173" s="3" t="n"/>
    </row>
    <row r="174">
      <c r="A174" s="15" t="n"/>
      <c r="B174" s="3" t="n"/>
      <c r="C174" s="3" t="n"/>
      <c r="D174" s="17" t="n"/>
      <c r="E174" s="3" t="n"/>
      <c r="F174" s="3" t="n"/>
      <c r="G174" s="3" t="n"/>
    </row>
    <row r="175">
      <c r="A175" s="15" t="n"/>
      <c r="B175" s="3" t="n"/>
      <c r="C175" s="3" t="n"/>
      <c r="D175" s="17" t="n"/>
      <c r="E175" s="3" t="n"/>
      <c r="F175" s="3" t="n"/>
      <c r="G175" s="3" t="n"/>
    </row>
    <row r="176">
      <c r="A176" s="15" t="n"/>
      <c r="B176" s="3" t="n"/>
      <c r="C176" s="3" t="n"/>
      <c r="D176" s="17" t="n"/>
      <c r="E176" s="3" t="n"/>
      <c r="F176" s="3" t="n"/>
      <c r="G176" s="3" t="n"/>
    </row>
    <row r="177">
      <c r="A177" s="15" t="n"/>
      <c r="B177" s="3" t="n"/>
      <c r="C177" s="3" t="n"/>
      <c r="D177" s="17" t="n"/>
      <c r="E177" s="3" t="n"/>
      <c r="F177" s="3" t="n"/>
      <c r="G177" s="3" t="n"/>
    </row>
    <row r="178">
      <c r="A178" s="15" t="n"/>
      <c r="B178" s="3" t="n"/>
      <c r="C178" s="3" t="n"/>
      <c r="D178" s="17" t="n"/>
      <c r="E178" s="3" t="n"/>
      <c r="F178" s="3" t="n"/>
      <c r="G178" s="3" t="n"/>
    </row>
    <row r="179">
      <c r="A179" s="15" t="n"/>
      <c r="B179" s="3" t="n"/>
      <c r="C179" s="3" t="n"/>
      <c r="D179" s="17" t="n"/>
      <c r="E179" s="3" t="n"/>
      <c r="F179" s="3" t="n"/>
      <c r="G179" s="3" t="n"/>
    </row>
    <row r="180">
      <c r="A180" s="15" t="n"/>
      <c r="B180" s="3" t="n"/>
      <c r="C180" s="3" t="n"/>
      <c r="D180" s="17" t="n"/>
      <c r="E180" s="3" t="n"/>
      <c r="F180" s="3" t="n"/>
      <c r="G180" s="3" t="n"/>
    </row>
    <row r="181">
      <c r="A181" s="15" t="n"/>
      <c r="B181" s="3" t="n"/>
      <c r="C181" s="3" t="n"/>
      <c r="D181" s="17" t="n"/>
      <c r="E181" s="3" t="n"/>
      <c r="F181" s="3" t="n"/>
      <c r="G181" s="3" t="n"/>
    </row>
    <row r="182">
      <c r="A182" s="15" t="n"/>
      <c r="B182" s="3" t="n"/>
      <c r="C182" s="3" t="n"/>
      <c r="D182" s="17" t="n"/>
      <c r="E182" s="3" t="n"/>
      <c r="F182" s="3" t="n"/>
      <c r="G182" s="3" t="n"/>
    </row>
    <row r="183">
      <c r="A183" s="15" t="n"/>
      <c r="B183" s="3" t="n"/>
      <c r="C183" s="3" t="n"/>
      <c r="D183" s="17" t="n"/>
      <c r="E183" s="3" t="n"/>
      <c r="F183" s="3" t="n"/>
      <c r="G183" s="3" t="n"/>
    </row>
    <row r="184">
      <c r="A184" s="15" t="n"/>
      <c r="B184" s="3" t="n"/>
      <c r="C184" s="3" t="n"/>
      <c r="D184" s="17" t="n"/>
      <c r="E184" s="3" t="n"/>
      <c r="F184" s="3" t="n"/>
      <c r="G184" s="3" t="n"/>
    </row>
    <row r="185">
      <c r="A185" s="15" t="n"/>
      <c r="B185" s="3" t="n"/>
      <c r="C185" s="3" t="n"/>
      <c r="D185" s="17" t="n"/>
      <c r="E185" s="3" t="n"/>
      <c r="F185" s="3" t="n"/>
      <c r="G185" s="3" t="n"/>
    </row>
    <row r="186">
      <c r="A186" s="15" t="n"/>
      <c r="B186" s="3" t="n"/>
      <c r="C186" s="3" t="n"/>
      <c r="D186" s="17" t="n"/>
      <c r="E186" s="3" t="n"/>
      <c r="F186" s="3" t="n"/>
      <c r="G186" s="3" t="n"/>
    </row>
    <row r="187">
      <c r="A187" s="15" t="n"/>
      <c r="B187" s="3" t="n"/>
      <c r="C187" s="3" t="n"/>
      <c r="D187" s="17" t="n"/>
      <c r="E187" s="3" t="n"/>
      <c r="F187" s="3" t="n"/>
      <c r="G187" s="3" t="n"/>
    </row>
    <row r="188">
      <c r="A188" s="15" t="n"/>
      <c r="B188" s="3" t="n"/>
      <c r="C188" s="3" t="n"/>
      <c r="D188" s="17" t="n"/>
      <c r="E188" s="3" t="n"/>
      <c r="F188" s="3" t="n"/>
      <c r="G188" s="3" t="n"/>
    </row>
    <row r="189">
      <c r="A189" s="15" t="n"/>
      <c r="B189" s="3" t="n"/>
      <c r="C189" s="3" t="n"/>
      <c r="D189" s="17" t="n"/>
      <c r="E189" s="3" t="n"/>
      <c r="F189" s="3" t="n"/>
      <c r="G189" s="3" t="n"/>
    </row>
    <row r="190">
      <c r="A190" s="15" t="n"/>
      <c r="B190" s="3" t="n"/>
      <c r="C190" s="3" t="n"/>
      <c r="D190" s="17" t="n"/>
      <c r="E190" s="3" t="n"/>
      <c r="F190" s="3" t="n"/>
      <c r="G190" s="3" t="n"/>
    </row>
    <row r="191">
      <c r="A191" s="15" t="n"/>
      <c r="B191" s="3" t="n"/>
      <c r="C191" s="3" t="n"/>
      <c r="D191" s="17" t="n"/>
      <c r="E191" s="3" t="n"/>
      <c r="F191" s="3" t="n"/>
      <c r="G191" s="3" t="n"/>
    </row>
    <row r="192">
      <c r="A192" s="15" t="n"/>
      <c r="B192" s="3" t="n"/>
      <c r="C192" s="3" t="n"/>
      <c r="D192" s="17" t="n"/>
      <c r="E192" s="3" t="n"/>
      <c r="F192" s="3" t="n"/>
      <c r="G192" s="3" t="n"/>
    </row>
    <row r="193">
      <c r="A193" s="15" t="n"/>
      <c r="B193" s="3" t="n"/>
      <c r="C193" s="3" t="n"/>
      <c r="D193" s="17" t="n"/>
      <c r="E193" s="3" t="n"/>
      <c r="F193" s="3" t="n"/>
      <c r="G193" s="3" t="n"/>
    </row>
    <row r="194">
      <c r="A194" s="15" t="n"/>
      <c r="B194" s="3" t="n"/>
      <c r="C194" s="3" t="n"/>
      <c r="D194" s="17" t="n"/>
      <c r="E194" s="3" t="n"/>
      <c r="F194" s="3" t="n"/>
      <c r="G194" s="3" t="n"/>
    </row>
    <row r="195">
      <c r="A195" s="15" t="n"/>
      <c r="B195" s="3" t="n"/>
      <c r="C195" s="3" t="n"/>
      <c r="D195" s="17" t="n"/>
      <c r="E195" s="3" t="n"/>
      <c r="F195" s="3" t="n"/>
      <c r="G195" s="3" t="n"/>
    </row>
    <row r="196">
      <c r="A196" s="15" t="n"/>
      <c r="B196" s="3" t="n"/>
      <c r="C196" s="3" t="n"/>
      <c r="D196" s="17" t="n"/>
      <c r="E196" s="3" t="n"/>
      <c r="F196" s="3" t="n"/>
      <c r="G196" s="3" t="n"/>
    </row>
    <row r="197">
      <c r="A197" s="15" t="n"/>
      <c r="B197" s="3" t="n"/>
      <c r="C197" s="3" t="n"/>
      <c r="D197" s="17" t="n"/>
      <c r="E197" s="3" t="n"/>
      <c r="F197" s="3" t="n"/>
      <c r="G197" s="3" t="n"/>
    </row>
    <row r="198">
      <c r="A198" s="15" t="n"/>
      <c r="B198" s="3" t="n"/>
      <c r="C198" s="3" t="n"/>
      <c r="D198" s="17" t="n"/>
      <c r="E198" s="3" t="n"/>
      <c r="F198" s="3" t="n"/>
      <c r="G198" s="3" t="n"/>
    </row>
    <row r="199">
      <c r="A199" s="15" t="n"/>
      <c r="B199" s="3" t="n"/>
      <c r="C199" s="3" t="n"/>
      <c r="D199" s="17" t="n"/>
      <c r="E199" s="3" t="n"/>
      <c r="F199" s="3" t="n"/>
      <c r="G199" s="3" t="n"/>
    </row>
    <row r="200">
      <c r="A200" s="15" t="n"/>
      <c r="B200" s="3" t="n"/>
      <c r="C200" s="3" t="n"/>
      <c r="D200" s="17" t="n"/>
      <c r="E200" s="3" t="n"/>
      <c r="F200" s="3" t="n"/>
      <c r="G200" s="3" t="n"/>
    </row>
    <row r="201">
      <c r="A201" s="15" t="n"/>
      <c r="B201" s="3" t="n"/>
      <c r="C201" s="3" t="n"/>
      <c r="D201" s="17" t="n"/>
      <c r="E201" s="3" t="n"/>
      <c r="F201" s="3" t="n"/>
      <c r="G201" s="3" t="n"/>
    </row>
    <row r="202">
      <c r="A202" s="15" t="n"/>
      <c r="B202" s="3" t="n"/>
      <c r="C202" s="3" t="n"/>
      <c r="D202" s="17" t="n"/>
      <c r="E202" s="3" t="n"/>
      <c r="F202" s="3" t="n"/>
      <c r="G202" s="3" t="n"/>
    </row>
    <row r="203">
      <c r="A203" s="15" t="n"/>
      <c r="B203" s="3" t="n"/>
      <c r="C203" s="3" t="n"/>
      <c r="D203" s="17" t="n"/>
      <c r="E203" s="3" t="n"/>
      <c r="F203" s="3" t="n"/>
      <c r="G203" s="3" t="n"/>
    </row>
    <row r="204">
      <c r="A204" s="15" t="n"/>
      <c r="B204" s="3" t="n"/>
      <c r="C204" s="3" t="n"/>
      <c r="D204" s="17" t="n"/>
      <c r="E204" s="3" t="n"/>
      <c r="F204" s="3" t="n"/>
      <c r="G204" s="3" t="n"/>
    </row>
    <row r="205">
      <c r="A205" s="15" t="n"/>
      <c r="B205" s="3" t="n"/>
      <c r="C205" s="3" t="n"/>
      <c r="D205" s="17" t="n"/>
      <c r="E205" s="3" t="n"/>
      <c r="F205" s="3" t="n"/>
      <c r="G205" s="3" t="n"/>
    </row>
    <row r="206">
      <c r="A206" s="15" t="n"/>
      <c r="B206" s="3" t="n"/>
      <c r="C206" s="3" t="n"/>
      <c r="D206" s="17" t="n"/>
      <c r="E206" s="3" t="n"/>
      <c r="F206" s="3" t="n"/>
      <c r="G206" s="3" t="n"/>
    </row>
    <row r="207">
      <c r="A207" s="15" t="n"/>
      <c r="B207" s="3" t="n"/>
      <c r="C207" s="3" t="n"/>
      <c r="D207" s="17" t="n"/>
      <c r="E207" s="3" t="n"/>
      <c r="F207" s="3" t="n"/>
      <c r="G207" s="3" t="n"/>
    </row>
    <row r="208">
      <c r="A208" s="15" t="n"/>
      <c r="B208" s="3" t="n"/>
      <c r="C208" s="3" t="n"/>
      <c r="D208" s="17" t="n"/>
      <c r="E208" s="3" t="n"/>
      <c r="F208" s="3" t="n"/>
      <c r="G208" s="3" t="n"/>
    </row>
    <row r="209">
      <c r="A209" s="15" t="n"/>
      <c r="B209" s="3" t="n"/>
      <c r="C209" s="3" t="n"/>
      <c r="D209" s="17" t="n"/>
      <c r="E209" s="3" t="n"/>
      <c r="F209" s="3" t="n"/>
      <c r="G209" s="3" t="n"/>
    </row>
    <row r="210">
      <c r="A210" s="15" t="n"/>
      <c r="B210" s="3" t="n"/>
      <c r="C210" s="3" t="n"/>
      <c r="D210" s="17" t="n"/>
      <c r="E210" s="3" t="n"/>
      <c r="F210" s="3" t="n"/>
      <c r="G210" s="3" t="n"/>
    </row>
    <row r="211">
      <c r="A211" s="15" t="n"/>
      <c r="B211" s="3" t="n"/>
      <c r="C211" s="3" t="n"/>
      <c r="D211" s="17" t="n"/>
      <c r="E211" s="3" t="n"/>
      <c r="F211" s="3" t="n"/>
      <c r="G211" s="3" t="n"/>
    </row>
    <row r="212">
      <c r="A212" s="15" t="n"/>
      <c r="B212" s="3" t="n"/>
      <c r="C212" s="3" t="n"/>
      <c r="D212" s="17" t="n"/>
      <c r="E212" s="3" t="n"/>
      <c r="F212" s="3" t="n"/>
      <c r="G212" s="3" t="n"/>
    </row>
    <row r="213">
      <c r="A213" s="15" t="n"/>
      <c r="B213" s="3" t="n"/>
      <c r="C213" s="3" t="n"/>
      <c r="D213" s="17" t="n"/>
      <c r="E213" s="3" t="n"/>
      <c r="F213" s="3" t="n"/>
      <c r="G213" s="3" t="n"/>
    </row>
    <row r="214">
      <c r="A214" s="15" t="n"/>
      <c r="B214" s="3" t="n"/>
      <c r="C214" s="3" t="n"/>
      <c r="D214" s="17" t="n"/>
      <c r="E214" s="3" t="n"/>
      <c r="F214" s="3" t="n"/>
      <c r="G214" s="3" t="n"/>
    </row>
    <row r="215">
      <c r="A215" s="15" t="n"/>
      <c r="B215" s="3" t="n"/>
      <c r="C215" s="3" t="n"/>
      <c r="D215" s="17" t="n"/>
      <c r="E215" s="3" t="n"/>
      <c r="F215" s="3" t="n"/>
      <c r="G215" s="3" t="n"/>
    </row>
    <row r="216">
      <c r="A216" s="15" t="n"/>
      <c r="B216" s="3" t="n"/>
      <c r="C216" s="3" t="n"/>
      <c r="D216" s="17" t="n"/>
      <c r="E216" s="3" t="n"/>
      <c r="F216" s="3" t="n"/>
      <c r="G216" s="3" t="n"/>
    </row>
    <row r="217">
      <c r="A217" s="15" t="n"/>
      <c r="B217" s="3" t="n"/>
      <c r="C217" s="3" t="n"/>
      <c r="D217" s="17" t="n"/>
      <c r="E217" s="3" t="n"/>
      <c r="F217" s="3" t="n"/>
      <c r="G217" s="3" t="n"/>
    </row>
    <row r="218">
      <c r="A218" s="15" t="n"/>
      <c r="B218" s="3" t="n"/>
      <c r="C218" s="3" t="n"/>
      <c r="D218" s="17" t="n"/>
      <c r="E218" s="3" t="n"/>
      <c r="F218" s="3" t="n"/>
      <c r="G218" s="3" t="n"/>
    </row>
    <row r="219">
      <c r="A219" s="15" t="n"/>
      <c r="B219" s="3" t="n"/>
      <c r="C219" s="3" t="n"/>
      <c r="D219" s="17" t="n"/>
      <c r="E219" s="3" t="n"/>
      <c r="F219" s="3" t="n"/>
      <c r="G219" s="3" t="n"/>
    </row>
    <row r="220">
      <c r="A220" s="15" t="n"/>
      <c r="B220" s="3" t="n"/>
      <c r="C220" s="3" t="n"/>
      <c r="D220" s="17" t="n"/>
      <c r="E220" s="3" t="n"/>
      <c r="F220" s="3" t="n"/>
      <c r="G220" s="3" t="n"/>
    </row>
    <row r="221">
      <c r="A221" s="15" t="n"/>
      <c r="B221" s="3" t="n"/>
      <c r="C221" s="3" t="n"/>
      <c r="D221" s="17" t="n"/>
      <c r="E221" s="3" t="n"/>
      <c r="F221" s="3" t="n"/>
      <c r="G221" s="3" t="n"/>
    </row>
    <row r="222">
      <c r="A222" s="15" t="n"/>
      <c r="B222" s="3" t="n"/>
      <c r="C222" s="3" t="n"/>
      <c r="D222" s="17" t="n"/>
      <c r="E222" s="3" t="n"/>
      <c r="F222" s="3" t="n"/>
      <c r="G222" s="3" t="n"/>
    </row>
    <row r="223">
      <c r="A223" s="15" t="n"/>
      <c r="B223" s="3" t="n"/>
      <c r="C223" s="3" t="n"/>
      <c r="D223" s="17" t="n"/>
      <c r="E223" s="3" t="n"/>
      <c r="F223" s="3" t="n"/>
      <c r="G223" s="3" t="n"/>
    </row>
    <row r="224">
      <c r="A224" s="15" t="n"/>
      <c r="B224" s="3" t="n"/>
      <c r="C224" s="3" t="n"/>
      <c r="D224" s="17" t="n"/>
      <c r="E224" s="3" t="n"/>
      <c r="F224" s="3" t="n"/>
      <c r="G224" s="3" t="n"/>
    </row>
    <row r="225">
      <c r="A225" s="15" t="n"/>
      <c r="B225" s="3" t="n"/>
      <c r="C225" s="3" t="n"/>
      <c r="D225" s="17" t="n"/>
      <c r="E225" s="3" t="n"/>
      <c r="F225" s="3" t="n"/>
      <c r="G225" s="3" t="n"/>
    </row>
    <row r="226">
      <c r="A226" s="15" t="n"/>
      <c r="B226" s="3" t="n"/>
      <c r="C226" s="3" t="n"/>
      <c r="D226" s="17" t="n"/>
      <c r="E226" s="3" t="n"/>
      <c r="F226" s="3" t="n"/>
      <c r="G226" s="3" t="n"/>
    </row>
    <row r="227">
      <c r="A227" s="15" t="n"/>
      <c r="B227" s="3" t="n"/>
      <c r="C227" s="3" t="n"/>
      <c r="D227" s="17" t="n"/>
      <c r="E227" s="3" t="n"/>
      <c r="F227" s="3" t="n"/>
      <c r="G227" s="3" t="n"/>
    </row>
    <row r="228">
      <c r="A228" s="15" t="n"/>
      <c r="B228" s="3" t="n"/>
      <c r="C228" s="3" t="n"/>
      <c r="D228" s="17" t="n"/>
      <c r="E228" s="3" t="n"/>
      <c r="F228" s="3" t="n"/>
      <c r="G228" s="3" t="n"/>
    </row>
    <row r="229">
      <c r="A229" s="15" t="n"/>
      <c r="B229" s="3" t="n"/>
      <c r="C229" s="3" t="n"/>
      <c r="D229" s="17" t="n"/>
      <c r="E229" s="3" t="n"/>
      <c r="F229" s="3" t="n"/>
      <c r="G229" s="3" t="n"/>
    </row>
    <row r="230">
      <c r="A230" s="15" t="n"/>
      <c r="B230" s="3" t="n"/>
      <c r="C230" s="3" t="n"/>
      <c r="D230" s="17" t="n"/>
      <c r="E230" s="3" t="n"/>
      <c r="F230" s="3" t="n"/>
      <c r="G230" s="3" t="n"/>
    </row>
    <row r="231">
      <c r="A231" s="15" t="n"/>
      <c r="B231" s="3" t="n"/>
      <c r="C231" s="3" t="n"/>
      <c r="D231" s="17" t="n"/>
      <c r="E231" s="3" t="n"/>
      <c r="F231" s="3" t="n"/>
      <c r="G231" s="3" t="n"/>
    </row>
    <row r="232">
      <c r="A232" s="15" t="n"/>
      <c r="B232" s="3" t="n"/>
      <c r="C232" s="3" t="n"/>
      <c r="D232" s="17" t="n"/>
      <c r="E232" s="3" t="n"/>
      <c r="F232" s="3" t="n"/>
      <c r="G232" s="3" t="n"/>
    </row>
    <row r="233">
      <c r="A233" s="15" t="n"/>
      <c r="B233" s="3" t="n"/>
      <c r="C233" s="3" t="n"/>
      <c r="D233" s="17" t="n"/>
      <c r="E233" s="3" t="n"/>
      <c r="F233" s="3" t="n"/>
      <c r="G233" s="3" t="n"/>
    </row>
    <row r="234">
      <c r="A234" s="15" t="n"/>
      <c r="B234" s="3" t="n"/>
      <c r="C234" s="3" t="n"/>
      <c r="D234" s="17" t="n"/>
      <c r="E234" s="3" t="n"/>
      <c r="F234" s="3" t="n"/>
      <c r="G234" s="3" t="n"/>
    </row>
    <row r="235">
      <c r="A235" s="15" t="n"/>
      <c r="B235" s="3" t="n"/>
      <c r="C235" s="3" t="n"/>
      <c r="D235" s="17" t="n"/>
      <c r="E235" s="3" t="n"/>
      <c r="F235" s="3" t="n"/>
      <c r="G235" s="3" t="n"/>
    </row>
    <row r="236">
      <c r="A236" s="15" t="n"/>
      <c r="B236" s="3" t="n"/>
      <c r="C236" s="3" t="n"/>
      <c r="D236" s="17" t="n"/>
      <c r="E236" s="3" t="n"/>
      <c r="F236" s="3" t="n"/>
      <c r="G236" s="3" t="n"/>
    </row>
    <row r="237">
      <c r="A237" s="15" t="n"/>
      <c r="B237" s="3" t="n"/>
      <c r="C237" s="3" t="n"/>
      <c r="D237" s="17" t="n"/>
      <c r="E237" s="3" t="n"/>
      <c r="F237" s="3" t="n"/>
      <c r="G237" s="3" t="n"/>
    </row>
    <row r="238">
      <c r="A238" s="15" t="n"/>
      <c r="B238" s="3" t="n"/>
      <c r="C238" s="3" t="n"/>
      <c r="D238" s="17" t="n"/>
      <c r="E238" s="3" t="n"/>
      <c r="F238" s="3" t="n"/>
      <c r="G238" s="3" t="n"/>
    </row>
    <row r="239">
      <c r="A239" s="15" t="n"/>
      <c r="B239" s="3" t="n"/>
      <c r="C239" s="3" t="n"/>
      <c r="D239" s="17" t="n"/>
      <c r="E239" s="3" t="n"/>
      <c r="F239" s="3" t="n"/>
      <c r="G239" s="3" t="n"/>
    </row>
    <row r="240">
      <c r="A240" s="15" t="n"/>
      <c r="B240" s="3" t="n"/>
      <c r="C240" s="3" t="n"/>
      <c r="D240" s="17" t="n"/>
      <c r="E240" s="3" t="n"/>
      <c r="F240" s="3" t="n"/>
      <c r="G240" s="3" t="n"/>
    </row>
    <row r="241">
      <c r="A241" s="15" t="n"/>
      <c r="B241" s="3" t="n"/>
      <c r="C241" s="3" t="n"/>
      <c r="D241" s="17" t="n"/>
      <c r="E241" s="3" t="n"/>
      <c r="F241" s="3" t="n"/>
      <c r="G241" s="3" t="n"/>
    </row>
    <row r="242">
      <c r="A242" s="15" t="n"/>
      <c r="B242" s="3" t="n"/>
      <c r="C242" s="3" t="n"/>
      <c r="D242" s="17" t="n"/>
      <c r="E242" s="3" t="n"/>
      <c r="F242" s="3" t="n"/>
      <c r="G242" s="3" t="n"/>
    </row>
    <row r="243">
      <c r="A243" s="15" t="n"/>
      <c r="B243" s="3" t="n"/>
      <c r="C243" s="3" t="n"/>
      <c r="D243" s="17" t="n"/>
      <c r="E243" s="3" t="n"/>
      <c r="F243" s="3" t="n"/>
      <c r="G243" s="3" t="n"/>
    </row>
    <row r="244">
      <c r="A244" s="15" t="n"/>
      <c r="B244" s="3" t="n"/>
      <c r="C244" s="3" t="n"/>
      <c r="D244" s="17" t="n"/>
      <c r="E244" s="3" t="n"/>
      <c r="F244" s="3" t="n"/>
      <c r="G244" s="3" t="n"/>
    </row>
    <row r="245">
      <c r="A245" s="15" t="n"/>
      <c r="B245" s="3" t="n"/>
      <c r="C245" s="3" t="n"/>
      <c r="D245" s="17" t="n"/>
      <c r="E245" s="3" t="n"/>
      <c r="F245" s="3" t="n"/>
      <c r="G245" s="3" t="n"/>
    </row>
    <row r="246">
      <c r="A246" s="15" t="n"/>
      <c r="B246" s="3" t="n"/>
      <c r="C246" s="3" t="n"/>
      <c r="D246" s="17" t="n"/>
      <c r="E246" s="3" t="n"/>
      <c r="F246" s="3" t="n"/>
      <c r="G246" s="3" t="n"/>
    </row>
    <row r="247">
      <c r="A247" s="15" t="n"/>
      <c r="B247" s="3" t="n"/>
      <c r="C247" s="3" t="n"/>
      <c r="D247" s="17" t="n"/>
      <c r="E247" s="3" t="n"/>
      <c r="F247" s="3" t="n"/>
      <c r="G247" s="3" t="n"/>
    </row>
    <row r="248">
      <c r="A248" s="15" t="n"/>
      <c r="B248" s="3" t="n"/>
      <c r="C248" s="3" t="n"/>
      <c r="D248" s="17" t="n"/>
      <c r="E248" s="3" t="n"/>
      <c r="F248" s="3" t="n"/>
      <c r="G248" s="3" t="n"/>
    </row>
    <row r="249">
      <c r="A249" s="15" t="n"/>
      <c r="B249" s="3" t="n"/>
      <c r="C249" s="3" t="n"/>
      <c r="D249" s="17" t="n"/>
      <c r="E249" s="3" t="n"/>
      <c r="F249" s="3" t="n"/>
      <c r="G249" s="3" t="n"/>
    </row>
    <row r="250">
      <c r="A250" s="15" t="n"/>
      <c r="B250" s="3" t="n"/>
      <c r="C250" s="3" t="n"/>
      <c r="D250" s="17" t="n"/>
      <c r="E250" s="3" t="n"/>
      <c r="F250" s="3" t="n"/>
      <c r="G250" s="3" t="n"/>
    </row>
    <row r="251">
      <c r="A251" s="15" t="n"/>
      <c r="B251" s="3" t="n"/>
      <c r="C251" s="3" t="n"/>
      <c r="D251" s="17" t="n"/>
      <c r="E251" s="3" t="n"/>
      <c r="F251" s="3" t="n"/>
      <c r="G251" s="3" t="n"/>
    </row>
    <row r="252">
      <c r="A252" s="15" t="n"/>
      <c r="B252" s="3" t="n"/>
      <c r="C252" s="3" t="n"/>
      <c r="D252" s="17" t="n"/>
      <c r="E252" s="3" t="n"/>
      <c r="F252" s="3" t="n"/>
      <c r="G252" s="3" t="n"/>
    </row>
    <row r="253">
      <c r="A253" s="15" t="n"/>
      <c r="B253" s="3" t="n"/>
      <c r="C253" s="3" t="n"/>
      <c r="D253" s="17" t="n"/>
      <c r="E253" s="3" t="n"/>
      <c r="F253" s="3" t="n"/>
      <c r="G253" s="3" t="n"/>
    </row>
    <row r="254">
      <c r="A254" s="15" t="n"/>
      <c r="B254" s="3" t="n"/>
      <c r="C254" s="3" t="n"/>
      <c r="D254" s="17" t="n"/>
      <c r="E254" s="3" t="n"/>
      <c r="F254" s="3" t="n"/>
      <c r="G254" s="3" t="n"/>
    </row>
    <row r="255">
      <c r="A255" s="15" t="n"/>
      <c r="B255" s="3" t="n"/>
      <c r="C255" s="3" t="n"/>
      <c r="D255" s="17" t="n"/>
      <c r="E255" s="3" t="n"/>
      <c r="F255" s="3" t="n"/>
      <c r="G255" s="3" t="n"/>
    </row>
    <row r="256">
      <c r="A256" s="15" t="n"/>
      <c r="B256" s="3" t="n"/>
      <c r="C256" s="3" t="n"/>
      <c r="D256" s="17" t="n"/>
      <c r="E256" s="3" t="n"/>
      <c r="F256" s="3" t="n"/>
      <c r="G256" s="3" t="n"/>
    </row>
    <row r="257">
      <c r="A257" s="15" t="n"/>
      <c r="B257" s="3" t="n"/>
      <c r="C257" s="3" t="n"/>
      <c r="D257" s="17" t="n"/>
      <c r="E257" s="3" t="n"/>
      <c r="F257" s="3" t="n"/>
      <c r="G257" s="3" t="n"/>
    </row>
    <row r="258">
      <c r="A258" s="15" t="n"/>
      <c r="B258" s="3" t="n"/>
      <c r="C258" s="3" t="n"/>
      <c r="D258" s="17" t="n"/>
      <c r="E258" s="3" t="n"/>
      <c r="F258" s="3" t="n"/>
      <c r="G258" s="3" t="n"/>
    </row>
    <row r="259">
      <c r="A259" s="15" t="n"/>
      <c r="B259" s="3" t="n"/>
      <c r="C259" s="3" t="n"/>
      <c r="D259" s="17" t="n"/>
      <c r="E259" s="3" t="n"/>
      <c r="F259" s="3" t="n"/>
      <c r="G259" s="3" t="n"/>
    </row>
    <row r="260">
      <c r="A260" s="15" t="n"/>
      <c r="B260" s="3" t="n"/>
      <c r="C260" s="3" t="n"/>
      <c r="D260" s="17" t="n"/>
      <c r="E260" s="3" t="n"/>
      <c r="F260" s="3" t="n"/>
      <c r="G260" s="3" t="n"/>
    </row>
    <row r="261">
      <c r="A261" s="15" t="n"/>
      <c r="B261" s="3" t="n"/>
      <c r="C261" s="3" t="n"/>
      <c r="D261" s="17" t="n"/>
      <c r="E261" s="3" t="n"/>
      <c r="F261" s="3" t="n"/>
      <c r="G261" s="3" t="n"/>
    </row>
    <row r="262">
      <c r="A262" s="15" t="n"/>
      <c r="B262" s="3" t="n"/>
      <c r="C262" s="3" t="n"/>
      <c r="D262" s="17" t="n"/>
      <c r="E262" s="3" t="n"/>
      <c r="F262" s="3" t="n"/>
      <c r="G262" s="3" t="n"/>
    </row>
    <row r="263">
      <c r="A263" s="15" t="n"/>
      <c r="B263" s="3" t="n"/>
      <c r="C263" s="3" t="n"/>
      <c r="D263" s="17" t="n"/>
      <c r="E263" s="3" t="n"/>
      <c r="F263" s="3" t="n"/>
      <c r="G263" s="3" t="n"/>
    </row>
    <row r="264">
      <c r="A264" s="15" t="n"/>
      <c r="B264" s="3" t="n"/>
      <c r="C264" s="3" t="n"/>
      <c r="D264" s="17" t="n"/>
      <c r="E264" s="3" t="n"/>
      <c r="F264" s="3" t="n"/>
      <c r="G264" s="3" t="n"/>
    </row>
    <row r="265">
      <c r="A265" s="15" t="n"/>
      <c r="B265" s="3" t="n"/>
      <c r="C265" s="3" t="n"/>
      <c r="D265" s="17" t="n"/>
      <c r="E265" s="3" t="n"/>
      <c r="F265" s="3" t="n"/>
      <c r="G265" s="3" t="n"/>
    </row>
    <row r="266">
      <c r="A266" s="15" t="n"/>
      <c r="B266" s="3" t="n"/>
      <c r="C266" s="3" t="n"/>
      <c r="D266" s="17" t="n"/>
      <c r="E266" s="3" t="n"/>
      <c r="F266" s="3" t="n"/>
      <c r="G266" s="3" t="n"/>
    </row>
    <row r="267">
      <c r="A267" s="15" t="n"/>
      <c r="B267" s="3" t="n"/>
      <c r="C267" s="3" t="n"/>
      <c r="D267" s="17" t="n"/>
      <c r="E267" s="3" t="n"/>
      <c r="F267" s="3" t="n"/>
      <c r="G267" s="3" t="n"/>
    </row>
    <row r="268">
      <c r="A268" s="15" t="n"/>
      <c r="B268" s="3" t="n"/>
      <c r="C268" s="3" t="n"/>
      <c r="D268" s="17" t="n"/>
      <c r="E268" s="3" t="n"/>
      <c r="F268" s="3" t="n"/>
      <c r="G268" s="3" t="n"/>
    </row>
    <row r="269">
      <c r="A269" s="15" t="n"/>
      <c r="B269" s="3" t="n"/>
      <c r="C269" s="3" t="n"/>
      <c r="D269" s="17" t="n"/>
      <c r="E269" s="3" t="n"/>
      <c r="F269" s="3" t="n"/>
      <c r="G269" s="3" t="n"/>
    </row>
    <row r="270">
      <c r="A270" s="15" t="n"/>
      <c r="B270" s="3" t="n"/>
      <c r="C270" s="3" t="n"/>
      <c r="D270" s="17" t="n"/>
      <c r="E270" s="3" t="n"/>
      <c r="F270" s="3" t="n"/>
      <c r="G270" s="3" t="n"/>
    </row>
    <row r="271">
      <c r="A271" s="15" t="n"/>
      <c r="B271" s="3" t="n"/>
      <c r="C271" s="3" t="n"/>
      <c r="D271" s="17" t="n"/>
      <c r="E271" s="3" t="n"/>
      <c r="F271" s="3" t="n"/>
      <c r="G271" s="3" t="n"/>
    </row>
    <row r="272">
      <c r="A272" s="15" t="n"/>
      <c r="B272" s="3" t="n"/>
      <c r="C272" s="3" t="n"/>
      <c r="D272" s="17" t="n"/>
      <c r="E272" s="3" t="n"/>
      <c r="F272" s="3" t="n"/>
      <c r="G272" s="3" t="n"/>
    </row>
    <row r="273">
      <c r="A273" s="15" t="n"/>
      <c r="B273" s="3" t="n"/>
      <c r="C273" s="3" t="n"/>
      <c r="D273" s="17" t="n"/>
      <c r="E273" s="3" t="n"/>
      <c r="F273" s="3" t="n"/>
      <c r="G273" s="3" t="n"/>
    </row>
    <row r="274">
      <c r="A274" s="15" t="n"/>
      <c r="B274" s="3" t="n"/>
      <c r="C274" s="3" t="n"/>
      <c r="D274" s="17" t="n"/>
      <c r="E274" s="3" t="n"/>
      <c r="F274" s="3" t="n"/>
      <c r="G274" s="3" t="n"/>
    </row>
    <row r="275">
      <c r="A275" s="15" t="n"/>
      <c r="B275" s="3" t="n"/>
      <c r="C275" s="3" t="n"/>
      <c r="D275" s="17" t="n"/>
      <c r="E275" s="3" t="n"/>
      <c r="F275" s="3" t="n"/>
      <c r="G275" s="3" t="n"/>
    </row>
    <row r="276">
      <c r="A276" s="15" t="n"/>
      <c r="B276" s="3" t="n"/>
      <c r="C276" s="3" t="n"/>
      <c r="D276" s="17" t="n"/>
      <c r="E276" s="3" t="n"/>
      <c r="F276" s="3" t="n"/>
      <c r="G276" s="3" t="n"/>
    </row>
    <row r="277">
      <c r="A277" s="15" t="n"/>
      <c r="B277" s="3" t="n"/>
      <c r="C277" s="3" t="n"/>
      <c r="D277" s="17" t="n"/>
      <c r="E277" s="3" t="n"/>
      <c r="F277" s="3" t="n"/>
      <c r="G277" s="3" t="n"/>
    </row>
    <row r="278">
      <c r="A278" s="15" t="n"/>
      <c r="B278" s="3" t="n"/>
      <c r="C278" s="3" t="n"/>
      <c r="D278" s="17" t="n"/>
      <c r="E278" s="3" t="n"/>
      <c r="F278" s="3" t="n"/>
      <c r="G278" s="3" t="n"/>
    </row>
    <row r="279">
      <c r="A279" s="15" t="n"/>
      <c r="B279" s="3" t="n"/>
      <c r="C279" s="3" t="n"/>
      <c r="D279" s="17" t="n"/>
      <c r="E279" s="3" t="n"/>
      <c r="F279" s="3" t="n"/>
      <c r="G279" s="3" t="n"/>
    </row>
    <row r="280">
      <c r="A280" s="15" t="n"/>
      <c r="B280" s="3" t="n"/>
      <c r="C280" s="3" t="n"/>
      <c r="D280" s="17" t="n"/>
      <c r="E280" s="3" t="n"/>
      <c r="F280" s="3" t="n"/>
      <c r="G280" s="3" t="n"/>
    </row>
    <row r="281">
      <c r="A281" s="15" t="n"/>
      <c r="B281" s="3" t="n"/>
      <c r="C281" s="3" t="n"/>
      <c r="D281" s="17" t="n"/>
      <c r="E281" s="3" t="n"/>
      <c r="F281" s="3" t="n"/>
      <c r="G281" s="3" t="n"/>
    </row>
    <row r="282">
      <c r="A282" s="15" t="n"/>
      <c r="B282" s="3" t="n"/>
      <c r="C282" s="3" t="n"/>
      <c r="D282" s="17" t="n"/>
      <c r="E282" s="3" t="n"/>
      <c r="F282" s="3" t="n"/>
      <c r="G282" s="3" t="n"/>
    </row>
    <row r="283">
      <c r="A283" s="15" t="n"/>
      <c r="B283" s="3" t="n"/>
      <c r="C283" s="3" t="n"/>
      <c r="D283" s="17" t="n"/>
      <c r="E283" s="3" t="n"/>
      <c r="F283" s="3" t="n"/>
      <c r="G283" s="3" t="n"/>
    </row>
    <row r="284">
      <c r="A284" s="15" t="n"/>
      <c r="B284" s="3" t="n"/>
      <c r="C284" s="3" t="n"/>
      <c r="D284" s="17" t="n"/>
      <c r="E284" s="3" t="n"/>
      <c r="F284" s="3" t="n"/>
      <c r="G284" s="3" t="n"/>
    </row>
    <row r="285">
      <c r="A285" s="15" t="n"/>
      <c r="B285" s="3" t="n"/>
      <c r="C285" s="3" t="n"/>
      <c r="D285" s="17" t="n"/>
      <c r="E285" s="3" t="n"/>
      <c r="F285" s="3" t="n"/>
      <c r="G285" s="3" t="n"/>
    </row>
    <row r="286">
      <c r="A286" s="15" t="n"/>
      <c r="B286" s="3" t="n"/>
      <c r="C286" s="3" t="n"/>
      <c r="D286" s="17" t="n"/>
      <c r="E286" s="3" t="n"/>
      <c r="F286" s="3" t="n"/>
      <c r="G286" s="3" t="n"/>
    </row>
    <row r="287">
      <c r="A287" s="15" t="n"/>
      <c r="B287" s="3" t="n"/>
      <c r="C287" s="3" t="n"/>
      <c r="D287" s="17" t="n"/>
      <c r="E287" s="3" t="n"/>
      <c r="F287" s="3" t="n"/>
      <c r="G287" s="3" t="n"/>
    </row>
    <row r="288">
      <c r="A288" s="15" t="n"/>
      <c r="B288" s="3" t="n"/>
      <c r="C288" s="3" t="n"/>
      <c r="D288" s="17" t="n"/>
      <c r="E288" s="3" t="n"/>
      <c r="F288" s="3" t="n"/>
      <c r="G288" s="3" t="n"/>
    </row>
    <row r="289">
      <c r="A289" s="15" t="n"/>
      <c r="B289" s="3" t="n"/>
      <c r="C289" s="3" t="n"/>
      <c r="D289" s="17" t="n"/>
      <c r="E289" s="3" t="n"/>
      <c r="F289" s="3" t="n"/>
      <c r="G289" s="3" t="n"/>
    </row>
    <row r="290">
      <c r="A290" s="15" t="n"/>
      <c r="B290" s="3" t="n"/>
      <c r="C290" s="3" t="n"/>
      <c r="D290" s="17" t="n"/>
      <c r="E290" s="3" t="n"/>
      <c r="F290" s="3" t="n"/>
      <c r="G290" s="3" t="n"/>
    </row>
    <row r="291">
      <c r="A291" s="15" t="n"/>
      <c r="B291" s="3" t="n"/>
      <c r="C291" s="3" t="n"/>
      <c r="D291" s="17" t="n"/>
      <c r="E291" s="3" t="n"/>
      <c r="F291" s="3" t="n"/>
      <c r="G291" s="3" t="n"/>
    </row>
    <row r="292">
      <c r="A292" s="15" t="n"/>
      <c r="B292" s="3" t="n"/>
      <c r="C292" s="3" t="n"/>
      <c r="D292" s="17" t="n"/>
      <c r="E292" s="3" t="n"/>
      <c r="F292" s="3" t="n"/>
      <c r="G292" s="3" t="n"/>
    </row>
    <row r="293">
      <c r="A293" s="15" t="n"/>
      <c r="B293" s="3" t="n"/>
      <c r="C293" s="3" t="n"/>
      <c r="D293" s="17" t="n"/>
      <c r="E293" s="3" t="n"/>
      <c r="F293" s="3" t="n"/>
      <c r="G293" s="3" t="n"/>
    </row>
    <row r="294">
      <c r="A294" s="15" t="n"/>
      <c r="B294" s="3" t="n"/>
      <c r="C294" s="3" t="n"/>
      <c r="D294" s="17" t="n"/>
      <c r="E294" s="3" t="n"/>
      <c r="F294" s="3" t="n"/>
      <c r="G294" s="3" t="n"/>
    </row>
    <row r="295">
      <c r="A295" s="15" t="n"/>
      <c r="B295" s="3" t="n"/>
      <c r="C295" s="3" t="n"/>
      <c r="D295" s="17" t="n"/>
      <c r="E295" s="3" t="n"/>
      <c r="F295" s="3" t="n"/>
      <c r="G295" s="3" t="n"/>
    </row>
    <row r="296">
      <c r="A296" s="15" t="n"/>
      <c r="B296" s="3" t="n"/>
      <c r="C296" s="3" t="n"/>
      <c r="D296" s="17" t="n"/>
      <c r="E296" s="3" t="n"/>
      <c r="F296" s="3" t="n"/>
      <c r="G296" s="3" t="n"/>
    </row>
    <row r="297">
      <c r="A297" s="15" t="n"/>
      <c r="B297" s="3" t="n"/>
      <c r="C297" s="3" t="n"/>
      <c r="D297" s="17" t="n"/>
      <c r="E297" s="3" t="n"/>
      <c r="F297" s="3" t="n"/>
      <c r="G297" s="3" t="n"/>
    </row>
    <row r="298">
      <c r="A298" s="15" t="n"/>
      <c r="B298" s="3" t="n"/>
      <c r="C298" s="3" t="n"/>
      <c r="D298" s="17" t="n"/>
      <c r="E298" s="3" t="n"/>
      <c r="F298" s="3" t="n"/>
      <c r="G298" s="3" t="n"/>
    </row>
    <row r="299">
      <c r="A299" s="15" t="n"/>
      <c r="B299" s="3" t="n"/>
      <c r="C299" s="3" t="n"/>
      <c r="D299" s="17" t="n"/>
      <c r="E299" s="3" t="n"/>
      <c r="F299" s="3" t="n"/>
      <c r="G299" s="3" t="n"/>
    </row>
    <row r="300">
      <c r="A300" s="15" t="n"/>
      <c r="B300" s="3" t="n"/>
      <c r="C300" s="3" t="n"/>
      <c r="D300" s="17" t="n"/>
      <c r="E300" s="3" t="n"/>
      <c r="F300" s="3" t="n"/>
      <c r="G300" s="3" t="n"/>
    </row>
    <row r="301">
      <c r="A301" s="15" t="n"/>
      <c r="B301" s="3" t="n"/>
      <c r="C301" s="3" t="n"/>
      <c r="D301" s="17" t="n"/>
      <c r="E301" s="3" t="n"/>
      <c r="F301" s="3" t="n"/>
      <c r="G301" s="3" t="n"/>
    </row>
    <row r="302">
      <c r="A302" s="15" t="n"/>
      <c r="B302" s="3" t="n"/>
      <c r="C302" s="3" t="n"/>
      <c r="D302" s="17" t="n"/>
      <c r="E302" s="3" t="n"/>
      <c r="F302" s="3" t="n"/>
      <c r="G302" s="3" t="n"/>
    </row>
    <row r="303">
      <c r="A303" s="15" t="n"/>
      <c r="B303" s="3" t="n"/>
      <c r="C303" s="3" t="n"/>
      <c r="D303" s="17" t="n"/>
      <c r="E303" s="3" t="n"/>
      <c r="F303" s="3" t="n"/>
      <c r="G303" s="3" t="n"/>
    </row>
    <row r="304">
      <c r="A304" s="15" t="n"/>
      <c r="B304" s="3" t="n"/>
      <c r="C304" s="3" t="n"/>
      <c r="D304" s="17" t="n"/>
      <c r="E304" s="3" t="n"/>
      <c r="F304" s="3" t="n"/>
      <c r="G304" s="3" t="n"/>
    </row>
    <row r="305">
      <c r="A305" s="15" t="n"/>
      <c r="B305" s="3" t="n"/>
      <c r="C305" s="3" t="n"/>
      <c r="D305" s="17" t="n"/>
      <c r="E305" s="3" t="n"/>
      <c r="F305" s="3" t="n"/>
      <c r="G305" s="3" t="n"/>
    </row>
    <row r="306">
      <c r="A306" s="15" t="n"/>
      <c r="B306" s="3" t="n"/>
      <c r="C306" s="3" t="n"/>
      <c r="D306" s="17" t="n"/>
      <c r="E306" s="3" t="n"/>
      <c r="F306" s="3" t="n"/>
      <c r="G306" s="3" t="n"/>
    </row>
    <row r="307">
      <c r="A307" s="15" t="n"/>
      <c r="B307" s="3" t="n"/>
      <c r="C307" s="3" t="n"/>
      <c r="D307" s="17" t="n"/>
      <c r="E307" s="3" t="n"/>
      <c r="F307" s="3" t="n"/>
      <c r="G307" s="3" t="n"/>
    </row>
    <row r="308">
      <c r="A308" s="15" t="n"/>
      <c r="B308" s="3" t="n"/>
      <c r="C308" s="3" t="n"/>
      <c r="D308" s="17" t="n"/>
      <c r="E308" s="3" t="n"/>
      <c r="F308" s="3" t="n"/>
      <c r="G308" s="3" t="n"/>
    </row>
    <row r="309">
      <c r="A309" s="15" t="n"/>
      <c r="B309" s="3" t="n"/>
      <c r="C309" s="3" t="n"/>
      <c r="D309" s="17" t="n"/>
      <c r="E309" s="3" t="n"/>
      <c r="F309" s="3" t="n"/>
      <c r="G309" s="3" t="n"/>
    </row>
    <row r="310">
      <c r="A310" s="15" t="n"/>
      <c r="B310" s="3" t="n"/>
      <c r="C310" s="3" t="n"/>
      <c r="D310" s="17" t="n"/>
      <c r="E310" s="3" t="n"/>
      <c r="F310" s="3" t="n"/>
      <c r="G310" s="3" t="n"/>
    </row>
    <row r="311">
      <c r="A311" s="15" t="n"/>
      <c r="B311" s="3" t="n"/>
      <c r="C311" s="3" t="n"/>
      <c r="D311" s="17" t="n"/>
      <c r="E311" s="3" t="n"/>
      <c r="F311" s="3" t="n"/>
      <c r="G311" s="3" t="n"/>
    </row>
    <row r="312">
      <c r="A312" s="15" t="n"/>
      <c r="B312" s="3" t="n"/>
      <c r="C312" s="3" t="n"/>
      <c r="D312" s="17" t="n"/>
      <c r="E312" s="3" t="n"/>
      <c r="F312" s="3" t="n"/>
      <c r="G312" s="3" t="n"/>
    </row>
    <row r="313">
      <c r="A313" s="15" t="n"/>
      <c r="B313" s="3" t="n"/>
      <c r="C313" s="3" t="n"/>
      <c r="D313" s="17" t="n"/>
      <c r="E313" s="3" t="n"/>
      <c r="F313" s="3" t="n"/>
      <c r="G313" s="3" t="n"/>
    </row>
    <row r="314">
      <c r="A314" s="15" t="n"/>
      <c r="B314" s="3" t="n"/>
      <c r="C314" s="3" t="n"/>
      <c r="D314" s="17" t="n"/>
      <c r="E314" s="3" t="n"/>
      <c r="F314" s="3" t="n"/>
      <c r="G314" s="3" t="n"/>
    </row>
    <row r="315">
      <c r="A315" s="15" t="n"/>
      <c r="B315" s="3" t="n"/>
      <c r="C315" s="3" t="n"/>
      <c r="D315" s="17" t="n"/>
      <c r="E315" s="3" t="n"/>
      <c r="F315" s="3" t="n"/>
      <c r="G315" s="3" t="n"/>
    </row>
    <row r="316">
      <c r="A316" s="15" t="n"/>
      <c r="B316" s="3" t="n"/>
      <c r="C316" s="3" t="n"/>
      <c r="D316" s="17" t="n"/>
      <c r="E316" s="3" t="n"/>
      <c r="F316" s="3" t="n"/>
      <c r="G316" s="3" t="n"/>
    </row>
    <row r="317">
      <c r="A317" s="15" t="n"/>
      <c r="B317" s="3" t="n"/>
      <c r="C317" s="3" t="n"/>
      <c r="D317" s="17" t="n"/>
      <c r="E317" s="3" t="n"/>
      <c r="F317" s="3" t="n"/>
      <c r="G317" s="3" t="n"/>
    </row>
    <row r="318">
      <c r="A318" s="15" t="n"/>
      <c r="B318" s="3" t="n"/>
      <c r="C318" s="3" t="n"/>
      <c r="D318" s="17" t="n"/>
      <c r="E318" s="3" t="n"/>
      <c r="F318" s="3" t="n"/>
      <c r="G318" s="3" t="n"/>
    </row>
    <row r="319">
      <c r="A319" s="15" t="n"/>
      <c r="B319" s="3" t="n"/>
      <c r="C319" s="3" t="n"/>
      <c r="D319" s="17" t="n"/>
      <c r="E319" s="3" t="n"/>
      <c r="F319" s="3" t="n"/>
      <c r="G319" s="3" t="n"/>
    </row>
    <row r="320">
      <c r="A320" s="15" t="n"/>
      <c r="B320" s="3" t="n"/>
      <c r="C320" s="3" t="n"/>
      <c r="D320" s="17" t="n"/>
      <c r="E320" s="3" t="n"/>
      <c r="F320" s="3" t="n"/>
      <c r="G320" s="3" t="n"/>
    </row>
    <row r="321">
      <c r="A321" s="15" t="n"/>
      <c r="B321" s="3" t="n"/>
      <c r="C321" s="3" t="n"/>
      <c r="D321" s="17" t="n"/>
      <c r="E321" s="3" t="n"/>
      <c r="F321" s="3" t="n"/>
      <c r="G321" s="3" t="n"/>
    </row>
    <row r="322">
      <c r="A322" s="15" t="n"/>
      <c r="B322" s="3" t="n"/>
      <c r="C322" s="3" t="n"/>
      <c r="D322" s="17" t="n"/>
      <c r="E322" s="3" t="n"/>
      <c r="F322" s="3" t="n"/>
      <c r="G322" s="3" t="n"/>
    </row>
    <row r="323">
      <c r="A323" s="15" t="n"/>
      <c r="B323" s="3" t="n"/>
      <c r="C323" s="3" t="n"/>
      <c r="D323" s="17" t="n"/>
      <c r="E323" s="3" t="n"/>
      <c r="F323" s="3" t="n"/>
      <c r="G323" s="3" t="n"/>
    </row>
    <row r="324">
      <c r="A324" s="15" t="n"/>
      <c r="B324" s="3" t="n"/>
      <c r="C324" s="3" t="n"/>
      <c r="D324" s="17" t="n"/>
      <c r="E324" s="3" t="n"/>
      <c r="F324" s="3" t="n"/>
      <c r="G324" s="3" t="n"/>
    </row>
    <row r="325">
      <c r="A325" s="15" t="n"/>
      <c r="B325" s="3" t="n"/>
      <c r="C325" s="3" t="n"/>
      <c r="D325" s="17" t="n"/>
      <c r="E325" s="3" t="n"/>
      <c r="F325" s="3" t="n"/>
      <c r="G325" s="3" t="n"/>
    </row>
    <row r="326">
      <c r="A326" s="15" t="n"/>
      <c r="B326" s="3" t="n"/>
      <c r="C326" s="3" t="n"/>
      <c r="D326" s="17" t="n"/>
      <c r="E326" s="3" t="n"/>
      <c r="F326" s="3" t="n"/>
      <c r="G326" s="3" t="n"/>
    </row>
    <row r="327">
      <c r="A327" s="15" t="n"/>
      <c r="B327" s="3" t="n"/>
      <c r="C327" s="3" t="n"/>
      <c r="D327" s="17" t="n"/>
      <c r="E327" s="3" t="n"/>
      <c r="F327" s="3" t="n"/>
      <c r="G327" s="3" t="n"/>
    </row>
    <row r="328">
      <c r="A328" s="15" t="n"/>
      <c r="B328" s="3" t="n"/>
      <c r="C328" s="3" t="n"/>
      <c r="D328" s="17" t="n"/>
      <c r="E328" s="3" t="n"/>
      <c r="F328" s="3" t="n"/>
      <c r="G328" s="3" t="n"/>
    </row>
    <row r="329">
      <c r="A329" s="15" t="n"/>
      <c r="B329" s="3" t="n"/>
      <c r="C329" s="3" t="n"/>
      <c r="D329" s="17" t="n"/>
      <c r="E329" s="3" t="n"/>
      <c r="F329" s="3" t="n"/>
      <c r="G329" s="3" t="n"/>
    </row>
    <row r="330">
      <c r="A330" s="15" t="n"/>
      <c r="B330" s="3" t="n"/>
      <c r="C330" s="3" t="n"/>
      <c r="D330" s="17" t="n"/>
      <c r="E330" s="3" t="n"/>
      <c r="F330" s="3" t="n"/>
      <c r="G330" s="3" t="n"/>
    </row>
    <row r="331">
      <c r="A331" s="15" t="n"/>
      <c r="B331" s="3" t="n"/>
      <c r="C331" s="3" t="n"/>
      <c r="D331" s="17" t="n"/>
      <c r="E331" s="3" t="n"/>
      <c r="F331" s="3" t="n"/>
      <c r="G331" s="3" t="n"/>
    </row>
    <row r="332">
      <c r="A332" s="15" t="n"/>
      <c r="B332" s="3" t="n"/>
      <c r="C332" s="3" t="n"/>
      <c r="D332" s="17" t="n"/>
      <c r="E332" s="3" t="n"/>
      <c r="F332" s="3" t="n"/>
      <c r="G332" s="3" t="n"/>
    </row>
    <row r="333">
      <c r="A333" s="15" t="n"/>
      <c r="B333" s="3" t="n"/>
      <c r="C333" s="3" t="n"/>
      <c r="D333" s="17" t="n"/>
      <c r="E333" s="3" t="n"/>
      <c r="F333" s="3" t="n"/>
      <c r="G333" s="3" t="n"/>
    </row>
    <row r="334">
      <c r="A334" s="15" t="n"/>
      <c r="B334" s="3" t="n"/>
      <c r="C334" s="3" t="n"/>
      <c r="D334" s="17" t="n"/>
      <c r="E334" s="3" t="n"/>
      <c r="F334" s="3" t="n"/>
      <c r="G334" s="3" t="n"/>
    </row>
    <row r="335">
      <c r="A335" s="15" t="n"/>
      <c r="B335" s="3" t="n"/>
      <c r="C335" s="3" t="n"/>
      <c r="D335" s="17" t="n"/>
      <c r="E335" s="3" t="n"/>
      <c r="F335" s="3" t="n"/>
      <c r="G335" s="3" t="n"/>
    </row>
    <row r="336">
      <c r="A336" s="15" t="n"/>
      <c r="B336" s="3" t="n"/>
      <c r="C336" s="3" t="n"/>
      <c r="D336" s="17" t="n"/>
      <c r="E336" s="3" t="n"/>
      <c r="F336" s="3" t="n"/>
      <c r="G336" s="3" t="n"/>
    </row>
    <row r="337">
      <c r="A337" s="15" t="n"/>
      <c r="B337" s="3" t="n"/>
      <c r="C337" s="3" t="n"/>
      <c r="D337" s="17" t="n"/>
      <c r="E337" s="3" t="n"/>
      <c r="F337" s="3" t="n"/>
      <c r="G337" s="3" t="n"/>
    </row>
    <row r="338">
      <c r="A338" s="15" t="n"/>
      <c r="B338" s="3" t="n"/>
      <c r="C338" s="3" t="n"/>
      <c r="D338" s="17" t="n"/>
      <c r="E338" s="3" t="n"/>
      <c r="F338" s="3" t="n"/>
      <c r="G338" s="3" t="n"/>
    </row>
    <row r="339">
      <c r="A339" s="15" t="n"/>
      <c r="B339" s="3" t="n"/>
      <c r="C339" s="3" t="n"/>
      <c r="D339" s="17" t="n"/>
      <c r="E339" s="3" t="n"/>
      <c r="F339" s="3" t="n"/>
      <c r="G339" s="3" t="n"/>
    </row>
    <row r="340">
      <c r="A340" s="15" t="n"/>
      <c r="B340" s="3" t="n"/>
      <c r="C340" s="3" t="n"/>
      <c r="D340" s="17" t="n"/>
      <c r="E340" s="3" t="n"/>
      <c r="F340" s="3" t="n"/>
      <c r="G340" s="3" t="n"/>
    </row>
    <row r="341">
      <c r="A341" s="15" t="n"/>
      <c r="B341" s="3" t="n"/>
      <c r="C341" s="3" t="n"/>
      <c r="D341" s="17" t="n"/>
      <c r="E341" s="3" t="n"/>
      <c r="F341" s="3" t="n"/>
      <c r="G341" s="3" t="n"/>
    </row>
    <row r="342">
      <c r="A342" s="15" t="n"/>
      <c r="B342" s="3" t="n"/>
      <c r="C342" s="3" t="n"/>
      <c r="D342" s="17" t="n"/>
      <c r="E342" s="3" t="n"/>
      <c r="F342" s="3" t="n"/>
      <c r="G342" s="3" t="n"/>
    </row>
    <row r="343">
      <c r="A343" s="15" t="n"/>
      <c r="B343" s="3" t="n"/>
      <c r="C343" s="3" t="n"/>
      <c r="D343" s="17" t="n"/>
      <c r="E343" s="3" t="n"/>
      <c r="F343" s="3" t="n"/>
      <c r="G343" s="3" t="n"/>
    </row>
    <row r="344">
      <c r="A344" s="15" t="n"/>
      <c r="B344" s="3" t="n"/>
      <c r="C344" s="3" t="n"/>
      <c r="D344" s="17" t="n"/>
      <c r="E344" s="3" t="n"/>
      <c r="F344" s="3" t="n"/>
      <c r="G344" s="3" t="n"/>
    </row>
    <row r="345">
      <c r="A345" s="15" t="n"/>
      <c r="B345" s="3" t="n"/>
      <c r="C345" s="3" t="n"/>
      <c r="D345" s="17" t="n"/>
      <c r="E345" s="3" t="n"/>
      <c r="F345" s="3" t="n"/>
      <c r="G345" s="3" t="n"/>
    </row>
    <row r="346">
      <c r="A346" s="15" t="n"/>
      <c r="B346" s="3" t="n"/>
      <c r="C346" s="3" t="n"/>
      <c r="D346" s="17" t="n"/>
      <c r="E346" s="3" t="n"/>
      <c r="F346" s="3" t="n"/>
      <c r="G346" s="3" t="n"/>
    </row>
    <row r="347">
      <c r="A347" s="15" t="n"/>
      <c r="B347" s="3" t="n"/>
      <c r="C347" s="3" t="n"/>
      <c r="D347" s="17" t="n"/>
      <c r="E347" s="3" t="n"/>
      <c r="F347" s="3" t="n"/>
      <c r="G347" s="3" t="n"/>
    </row>
    <row r="348">
      <c r="A348" s="15" t="n"/>
      <c r="B348" s="3" t="n"/>
      <c r="C348" s="3" t="n"/>
      <c r="D348" s="17" t="n"/>
      <c r="E348" s="3" t="n"/>
      <c r="F348" s="3" t="n"/>
      <c r="G348" s="3" t="n"/>
    </row>
    <row r="349">
      <c r="A349" s="15" t="n"/>
      <c r="B349" s="3" t="n"/>
      <c r="C349" s="3" t="n"/>
      <c r="D349" s="17" t="n"/>
      <c r="E349" s="3" t="n"/>
      <c r="F349" s="3" t="n"/>
      <c r="G349" s="3" t="n"/>
    </row>
    <row r="350">
      <c r="A350" s="15" t="n"/>
      <c r="B350" s="3" t="n"/>
      <c r="C350" s="3" t="n"/>
      <c r="D350" s="17" t="n"/>
      <c r="E350" s="3" t="n"/>
      <c r="F350" s="3" t="n"/>
      <c r="G350" s="3" t="n"/>
    </row>
    <row r="351">
      <c r="A351" s="15" t="n"/>
      <c r="B351" s="3" t="n"/>
      <c r="C351" s="3" t="n"/>
      <c r="D351" s="17" t="n"/>
      <c r="E351" s="3" t="n"/>
      <c r="F351" s="3" t="n"/>
      <c r="G351" s="3" t="n"/>
    </row>
    <row r="352">
      <c r="A352" s="15" t="n"/>
      <c r="B352" s="3" t="n"/>
      <c r="C352" s="3" t="n"/>
      <c r="D352" s="17" t="n"/>
      <c r="E352" s="3" t="n"/>
      <c r="F352" s="3" t="n"/>
      <c r="G352" s="3" t="n"/>
    </row>
    <row r="353">
      <c r="A353" s="15" t="n"/>
      <c r="B353" s="3" t="n"/>
      <c r="C353" s="3" t="n"/>
      <c r="D353" s="17" t="n"/>
      <c r="E353" s="3" t="n"/>
      <c r="F353" s="3" t="n"/>
      <c r="G353" s="3" t="n"/>
    </row>
    <row r="354">
      <c r="A354" s="15" t="n"/>
      <c r="B354" s="3" t="n"/>
      <c r="C354" s="3" t="n"/>
      <c r="D354" s="17" t="n"/>
      <c r="E354" s="3" t="n"/>
      <c r="F354" s="3" t="n"/>
      <c r="G354" s="3" t="n"/>
    </row>
    <row r="355">
      <c r="A355" s="15" t="n"/>
      <c r="B355" s="3" t="n"/>
      <c r="C355" s="3" t="n"/>
      <c r="D355" s="17" t="n"/>
      <c r="E355" s="3" t="n"/>
      <c r="F355" s="3" t="n"/>
      <c r="G355" s="3" t="n"/>
    </row>
    <row r="356">
      <c r="A356" s="15" t="n"/>
      <c r="B356" s="3" t="n"/>
      <c r="C356" s="3" t="n"/>
      <c r="D356" s="17" t="n"/>
      <c r="E356" s="3" t="n"/>
      <c r="F356" s="3" t="n"/>
      <c r="G356" s="3" t="n"/>
    </row>
    <row r="357">
      <c r="A357" s="15" t="n"/>
      <c r="B357" s="3" t="n"/>
      <c r="C357" s="3" t="n"/>
      <c r="D357" s="17" t="n"/>
      <c r="E357" s="3" t="n"/>
      <c r="F357" s="3" t="n"/>
      <c r="G357" s="3" t="n"/>
    </row>
    <row r="358">
      <c r="A358" s="15" t="n"/>
      <c r="B358" s="3" t="n"/>
      <c r="C358" s="3" t="n"/>
      <c r="D358" s="17" t="n"/>
      <c r="E358" s="3" t="n"/>
      <c r="F358" s="3" t="n"/>
      <c r="G358" s="3" t="n"/>
    </row>
    <row r="359">
      <c r="A359" s="15" t="n"/>
      <c r="B359" s="3" t="n"/>
      <c r="C359" s="3" t="n"/>
      <c r="D359" s="17" t="n"/>
      <c r="E359" s="3" t="n"/>
      <c r="F359" s="3" t="n"/>
      <c r="G359" s="3" t="n"/>
    </row>
    <row r="360">
      <c r="A360" s="15" t="n"/>
      <c r="B360" s="3" t="n"/>
      <c r="C360" s="3" t="n"/>
      <c r="D360" s="17" t="n"/>
      <c r="E360" s="3" t="n"/>
      <c r="F360" s="3" t="n"/>
      <c r="G360" s="3" t="n"/>
    </row>
    <row r="361">
      <c r="A361" s="15" t="n"/>
      <c r="B361" s="3" t="n"/>
      <c r="C361" s="3" t="n"/>
      <c r="D361" s="17" t="n"/>
      <c r="E361" s="3" t="n"/>
      <c r="F361" s="3" t="n"/>
      <c r="G361" s="3" t="n"/>
    </row>
    <row r="362">
      <c r="A362" s="15" t="n"/>
      <c r="B362" s="3" t="n"/>
      <c r="C362" s="3" t="n"/>
      <c r="D362" s="17" t="n"/>
      <c r="E362" s="3" t="n"/>
      <c r="F362" s="3" t="n"/>
      <c r="G362" s="3" t="n"/>
    </row>
    <row r="363">
      <c r="A363" s="15" t="n"/>
      <c r="B363" s="3" t="n"/>
      <c r="C363" s="3" t="n"/>
      <c r="D363" s="17" t="n"/>
      <c r="E363" s="3" t="n"/>
      <c r="F363" s="3" t="n"/>
      <c r="G363" s="3" t="n"/>
    </row>
    <row r="364">
      <c r="A364" s="15" t="n"/>
      <c r="B364" s="3" t="n"/>
      <c r="C364" s="3" t="n"/>
      <c r="D364" s="17" t="n"/>
      <c r="E364" s="3" t="n"/>
      <c r="F364" s="3" t="n"/>
      <c r="G364" s="3" t="n"/>
    </row>
    <row r="365">
      <c r="A365" s="15" t="n"/>
      <c r="B365" s="3" t="n"/>
      <c r="C365" s="3" t="n"/>
      <c r="D365" s="17" t="n"/>
      <c r="E365" s="3" t="n"/>
      <c r="F365" s="3" t="n"/>
      <c r="G365" s="3" t="n"/>
    </row>
    <row r="366">
      <c r="A366" s="15" t="n"/>
      <c r="B366" s="3" t="n"/>
      <c r="C366" s="3" t="n"/>
      <c r="D366" s="17" t="n"/>
      <c r="E366" s="3" t="n"/>
      <c r="F366" s="3" t="n"/>
      <c r="G366" s="3" t="n"/>
    </row>
    <row r="367">
      <c r="A367" s="15" t="n"/>
      <c r="B367" s="3" t="n"/>
      <c r="C367" s="3" t="n"/>
      <c r="D367" s="17" t="n"/>
      <c r="E367" s="3" t="n"/>
      <c r="F367" s="3" t="n"/>
      <c r="G367" s="3" t="n"/>
    </row>
    <row r="368">
      <c r="A368" s="15" t="n"/>
      <c r="B368" s="3" t="n"/>
      <c r="C368" s="3" t="n"/>
      <c r="D368" s="17" t="n"/>
      <c r="E368" s="3" t="n"/>
      <c r="F368" s="3" t="n"/>
      <c r="G368" s="3" t="n"/>
    </row>
    <row r="369">
      <c r="A369" s="15" t="n"/>
      <c r="B369" s="3" t="n"/>
      <c r="C369" s="3" t="n"/>
      <c r="D369" s="17" t="n"/>
      <c r="E369" s="3" t="n"/>
      <c r="F369" s="3" t="n"/>
      <c r="G369" s="3" t="n"/>
    </row>
    <row r="370">
      <c r="A370" s="15" t="n"/>
      <c r="B370" s="3" t="n"/>
      <c r="C370" s="3" t="n"/>
      <c r="D370" s="17" t="n"/>
      <c r="E370" s="3" t="n"/>
      <c r="F370" s="3" t="n"/>
      <c r="G370" s="3" t="n"/>
    </row>
    <row r="371">
      <c r="A371" s="15" t="n"/>
      <c r="B371" s="3" t="n"/>
      <c r="C371" s="3" t="n"/>
      <c r="D371" s="17" t="n"/>
      <c r="E371" s="3" t="n"/>
      <c r="F371" s="3" t="n"/>
      <c r="G371" s="3" t="n"/>
    </row>
    <row r="372">
      <c r="A372" s="15" t="n"/>
      <c r="B372" s="3" t="n"/>
      <c r="C372" s="3" t="n"/>
      <c r="D372" s="17" t="n"/>
      <c r="E372" s="3" t="n"/>
      <c r="F372" s="3" t="n"/>
      <c r="G372" s="3" t="n"/>
    </row>
    <row r="373">
      <c r="A373" s="15" t="n"/>
      <c r="B373" s="3" t="n"/>
      <c r="C373" s="3" t="n"/>
      <c r="D373" s="17" t="n"/>
      <c r="E373" s="3" t="n"/>
      <c r="F373" s="3" t="n"/>
      <c r="G373" s="3" t="n"/>
    </row>
    <row r="374">
      <c r="A374" s="15" t="n"/>
      <c r="B374" s="3" t="n"/>
      <c r="C374" s="3" t="n"/>
      <c r="D374" s="17" t="n"/>
      <c r="E374" s="3" t="n"/>
      <c r="F374" s="3" t="n"/>
      <c r="G374" s="3" t="n"/>
    </row>
    <row r="375">
      <c r="A375" s="15" t="n"/>
      <c r="B375" s="3" t="n"/>
      <c r="C375" s="3" t="n"/>
      <c r="D375" s="17" t="n"/>
      <c r="E375" s="3" t="n"/>
      <c r="F375" s="3" t="n"/>
      <c r="G375" s="3" t="n"/>
    </row>
    <row r="376">
      <c r="A376" s="15" t="n"/>
      <c r="B376" s="3" t="n"/>
      <c r="C376" s="3" t="n"/>
      <c r="D376" s="17" t="n"/>
      <c r="E376" s="3" t="n"/>
      <c r="F376" s="3" t="n"/>
      <c r="G376" s="3" t="n"/>
    </row>
    <row r="377">
      <c r="A377" s="15" t="n"/>
      <c r="B377" s="3" t="n"/>
      <c r="C377" s="3" t="n"/>
      <c r="D377" s="17" t="n"/>
      <c r="E377" s="3" t="n"/>
      <c r="F377" s="3" t="n"/>
      <c r="G377" s="3" t="n"/>
    </row>
    <row r="378">
      <c r="A378" s="15" t="n"/>
      <c r="B378" s="3" t="n"/>
      <c r="C378" s="3" t="n"/>
      <c r="D378" s="17" t="n"/>
      <c r="E378" s="3" t="n"/>
      <c r="F378" s="3" t="n"/>
      <c r="G378" s="3" t="n"/>
    </row>
    <row r="379">
      <c r="A379" s="15" t="n"/>
      <c r="B379" s="3" t="n"/>
      <c r="C379" s="3" t="n"/>
      <c r="D379" s="17" t="n"/>
      <c r="E379" s="3" t="n"/>
      <c r="F379" s="3" t="n"/>
      <c r="G379" s="3" t="n"/>
    </row>
    <row r="380">
      <c r="A380" s="15" t="n"/>
      <c r="B380" s="3" t="n"/>
      <c r="C380" s="3" t="n"/>
      <c r="D380" s="17" t="n"/>
      <c r="E380" s="3" t="n"/>
      <c r="F380" s="3" t="n"/>
      <c r="G380" s="3" t="n"/>
    </row>
    <row r="381">
      <c r="A381" s="15" t="n"/>
      <c r="B381" s="3" t="n"/>
      <c r="C381" s="3" t="n"/>
      <c r="D381" s="17" t="n"/>
      <c r="E381" s="3" t="n"/>
      <c r="F381" s="3" t="n"/>
      <c r="G381" s="3" t="n"/>
    </row>
    <row r="382">
      <c r="A382" s="15" t="n"/>
      <c r="B382" s="3" t="n"/>
      <c r="C382" s="3" t="n"/>
      <c r="D382" s="17" t="n"/>
      <c r="E382" s="3" t="n"/>
      <c r="F382" s="3" t="n"/>
      <c r="G382" s="3" t="n"/>
    </row>
    <row r="383">
      <c r="A383" s="15" t="n"/>
      <c r="B383" s="3" t="n"/>
      <c r="C383" s="3" t="n"/>
      <c r="D383" s="17" t="n"/>
      <c r="E383" s="3" t="n"/>
      <c r="F383" s="3" t="n"/>
      <c r="G383" s="3" t="n"/>
    </row>
    <row r="384">
      <c r="A384" s="15" t="n"/>
      <c r="B384" s="3" t="n"/>
      <c r="C384" s="3" t="n"/>
      <c r="D384" s="17" t="n"/>
      <c r="E384" s="3" t="n"/>
      <c r="F384" s="3" t="n"/>
      <c r="G384" s="3" t="n"/>
    </row>
    <row r="385">
      <c r="A385" s="15" t="n"/>
      <c r="B385" s="3" t="n"/>
      <c r="C385" s="3" t="n"/>
      <c r="D385" s="17" t="n"/>
      <c r="E385" s="3" t="n"/>
      <c r="F385" s="3" t="n"/>
      <c r="G385" s="3" t="n"/>
    </row>
    <row r="386">
      <c r="A386" s="15" t="n"/>
      <c r="B386" s="3" t="n"/>
      <c r="C386" s="3" t="n"/>
      <c r="D386" s="17" t="n"/>
      <c r="E386" s="3" t="n"/>
      <c r="F386" s="3" t="n"/>
      <c r="G386" s="3" t="n"/>
    </row>
    <row r="387">
      <c r="A387" s="15" t="n"/>
      <c r="B387" s="3" t="n"/>
      <c r="C387" s="3" t="n"/>
      <c r="D387" s="17" t="n"/>
      <c r="E387" s="3" t="n"/>
      <c r="F387" s="3" t="n"/>
      <c r="G387" s="3" t="n"/>
    </row>
    <row r="388">
      <c r="A388" s="15" t="n"/>
      <c r="B388" s="3" t="n"/>
      <c r="C388" s="3" t="n"/>
      <c r="D388" s="17" t="n"/>
      <c r="E388" s="3" t="n"/>
      <c r="F388" s="3" t="n"/>
      <c r="G388" s="3" t="n"/>
    </row>
    <row r="389">
      <c r="A389" s="15" t="n"/>
      <c r="B389" s="3" t="n"/>
      <c r="C389" s="3" t="n"/>
      <c r="D389" s="17" t="n"/>
      <c r="E389" s="3" t="n"/>
      <c r="F389" s="3" t="n"/>
      <c r="G389" s="3" t="n"/>
    </row>
    <row r="390">
      <c r="A390" s="15" t="n"/>
      <c r="B390" s="3" t="n"/>
      <c r="C390" s="3" t="n"/>
      <c r="D390" s="17" t="n"/>
      <c r="E390" s="3" t="n"/>
      <c r="F390" s="3" t="n"/>
      <c r="G390" s="3" t="n"/>
    </row>
    <row r="391">
      <c r="A391" s="15" t="n"/>
      <c r="B391" s="3" t="n"/>
      <c r="C391" s="3" t="n"/>
      <c r="D391" s="17" t="n"/>
      <c r="E391" s="3" t="n"/>
      <c r="F391" s="3" t="n"/>
      <c r="G391" s="3" t="n"/>
    </row>
    <row r="392">
      <c r="A392" s="15" t="n"/>
      <c r="B392" s="3" t="n"/>
      <c r="C392" s="3" t="n"/>
      <c r="D392" s="17" t="n"/>
      <c r="E392" s="3" t="n"/>
      <c r="F392" s="3" t="n"/>
      <c r="G392" s="3" t="n"/>
    </row>
    <row r="393">
      <c r="A393" s="15" t="n"/>
      <c r="B393" s="3" t="n"/>
      <c r="C393" s="3" t="n"/>
      <c r="D393" s="17" t="n"/>
      <c r="E393" s="3" t="n"/>
      <c r="F393" s="3" t="n"/>
      <c r="G393" s="3" t="n"/>
    </row>
    <row r="394">
      <c r="A394" s="15" t="n"/>
      <c r="B394" s="3" t="n"/>
      <c r="C394" s="3" t="n"/>
      <c r="D394" s="17" t="n"/>
      <c r="E394" s="3" t="n"/>
      <c r="F394" s="3" t="n"/>
      <c r="G394" s="3" t="n"/>
    </row>
    <row r="395">
      <c r="A395" s="15" t="n"/>
      <c r="B395" s="3" t="n"/>
      <c r="C395" s="3" t="n"/>
      <c r="D395" s="17" t="n"/>
      <c r="E395" s="3" t="n"/>
      <c r="F395" s="3" t="n"/>
      <c r="G395" s="3" t="n"/>
    </row>
    <row r="396">
      <c r="A396" s="15" t="n"/>
      <c r="B396" s="3" t="n"/>
      <c r="C396" s="3" t="n"/>
      <c r="D396" s="17" t="n"/>
      <c r="E396" s="3" t="n"/>
      <c r="F396" s="3" t="n"/>
      <c r="G396" s="3" t="n"/>
    </row>
    <row r="397">
      <c r="A397" s="15" t="n"/>
      <c r="B397" s="3" t="n"/>
      <c r="C397" s="3" t="n"/>
      <c r="D397" s="17" t="n"/>
      <c r="E397" s="3" t="n"/>
      <c r="F397" s="3" t="n"/>
      <c r="G397" s="3" t="n"/>
    </row>
    <row r="398">
      <c r="A398" s="15" t="n"/>
      <c r="B398" s="3" t="n"/>
      <c r="C398" s="3" t="n"/>
      <c r="D398" s="17" t="n"/>
      <c r="E398" s="3" t="n"/>
      <c r="F398" s="3" t="n"/>
      <c r="G398" s="3" t="n"/>
    </row>
    <row r="399">
      <c r="A399" s="15" t="n"/>
      <c r="B399" s="3" t="n"/>
      <c r="C399" s="3" t="n"/>
      <c r="D399" s="17" t="n"/>
      <c r="E399" s="3" t="n"/>
      <c r="F399" s="3" t="n"/>
      <c r="G399" s="3" t="n"/>
    </row>
    <row r="400">
      <c r="A400" s="15" t="n"/>
      <c r="B400" s="3" t="n"/>
      <c r="C400" s="3" t="n"/>
      <c r="D400" s="17" t="n"/>
      <c r="E400" s="3" t="n"/>
      <c r="F400" s="3" t="n"/>
      <c r="G400" s="3" t="n"/>
    </row>
    <row r="401">
      <c r="A401" s="15" t="n"/>
      <c r="B401" s="3" t="n"/>
      <c r="C401" s="3" t="n"/>
      <c r="D401" s="17" t="n"/>
      <c r="E401" s="3" t="n"/>
      <c r="F401" s="3" t="n"/>
      <c r="G401" s="3" t="n"/>
    </row>
    <row r="402">
      <c r="A402" s="15" t="n"/>
      <c r="B402" s="3" t="n"/>
      <c r="C402" s="3" t="n"/>
      <c r="D402" s="17" t="n"/>
      <c r="E402" s="3" t="n"/>
      <c r="F402" s="3" t="n"/>
      <c r="G402" s="3" t="n"/>
    </row>
    <row r="403">
      <c r="A403" s="15" t="n"/>
      <c r="B403" s="3" t="n"/>
      <c r="C403" s="3" t="n"/>
      <c r="D403" s="17" t="n"/>
      <c r="E403" s="3" t="n"/>
      <c r="F403" s="3" t="n"/>
      <c r="G403" s="3" t="n"/>
    </row>
    <row r="404">
      <c r="A404" s="15" t="n"/>
      <c r="B404" s="3" t="n"/>
      <c r="C404" s="3" t="n"/>
      <c r="D404" s="17" t="n"/>
      <c r="E404" s="3" t="n"/>
      <c r="F404" s="3" t="n"/>
      <c r="G404" s="3" t="n"/>
    </row>
    <row r="405">
      <c r="A405" s="15" t="n"/>
      <c r="B405" s="3" t="n"/>
      <c r="C405" s="3" t="n"/>
      <c r="D405" s="17" t="n"/>
      <c r="E405" s="3" t="n"/>
      <c r="F405" s="3" t="n"/>
      <c r="G405" s="3" t="n"/>
    </row>
    <row r="406">
      <c r="A406" s="15" t="n"/>
      <c r="B406" s="3" t="n"/>
      <c r="C406" s="3" t="n"/>
      <c r="D406" s="17" t="n"/>
      <c r="E406" s="3" t="n"/>
      <c r="F406" s="3" t="n"/>
      <c r="G406" s="3" t="n"/>
    </row>
    <row r="407">
      <c r="A407" s="15" t="n"/>
      <c r="B407" s="3" t="n"/>
      <c r="C407" s="3" t="n"/>
      <c r="D407" s="17" t="n"/>
      <c r="E407" s="3" t="n"/>
      <c r="F407" s="3" t="n"/>
      <c r="G407" s="3" t="n"/>
    </row>
    <row r="408">
      <c r="A408" s="15" t="n"/>
      <c r="B408" s="3" t="n"/>
      <c r="C408" s="3" t="n"/>
      <c r="D408" s="17" t="n"/>
      <c r="E408" s="3" t="n"/>
      <c r="F408" s="3" t="n"/>
      <c r="G408" s="3" t="n"/>
    </row>
    <row r="409">
      <c r="A409" s="15" t="n"/>
      <c r="B409" s="3" t="n"/>
      <c r="C409" s="3" t="n"/>
      <c r="D409" s="17" t="n"/>
      <c r="E409" s="3" t="n"/>
      <c r="F409" s="3" t="n"/>
      <c r="G409" s="3" t="n"/>
    </row>
    <row r="410">
      <c r="A410" s="15" t="n"/>
      <c r="B410" s="3" t="n"/>
      <c r="C410" s="3" t="n"/>
      <c r="D410" s="17" t="n"/>
      <c r="E410" s="3" t="n"/>
      <c r="F410" s="3" t="n"/>
      <c r="G410" s="3" t="n"/>
    </row>
    <row r="411">
      <c r="A411" s="15" t="n"/>
      <c r="B411" s="3" t="n"/>
      <c r="C411" s="3" t="n"/>
      <c r="D411" s="17" t="n"/>
      <c r="E411" s="3" t="n"/>
      <c r="F411" s="3" t="n"/>
      <c r="G411" s="3" t="n"/>
    </row>
    <row r="412">
      <c r="A412" s="15" t="n"/>
      <c r="B412" s="3" t="n"/>
      <c r="C412" s="3" t="n"/>
      <c r="D412" s="17" t="n"/>
      <c r="E412" s="3" t="n"/>
      <c r="F412" s="3" t="n"/>
      <c r="G412" s="3" t="n"/>
    </row>
    <row r="413">
      <c r="A413" s="15" t="n"/>
      <c r="B413" s="3" t="n"/>
      <c r="C413" s="3" t="n"/>
      <c r="D413" s="17" t="n"/>
      <c r="E413" s="3" t="n"/>
      <c r="F413" s="3" t="n"/>
      <c r="G413" s="3" t="n"/>
    </row>
    <row r="414">
      <c r="A414" s="15" t="n"/>
      <c r="B414" s="3" t="n"/>
      <c r="C414" s="3" t="n"/>
      <c r="D414" s="17" t="n"/>
      <c r="E414" s="3" t="n"/>
      <c r="F414" s="3" t="n"/>
      <c r="G414" s="3" t="n"/>
    </row>
    <row r="415">
      <c r="A415" s="15" t="n"/>
      <c r="B415" s="3" t="n"/>
      <c r="C415" s="3" t="n"/>
      <c r="D415" s="17" t="n"/>
      <c r="E415" s="3" t="n"/>
      <c r="F415" s="3" t="n"/>
      <c r="G415" s="3" t="n"/>
    </row>
    <row r="416">
      <c r="A416" s="15" t="n"/>
      <c r="B416" s="3" t="n"/>
      <c r="C416" s="3" t="n"/>
      <c r="D416" s="17" t="n"/>
      <c r="E416" s="3" t="n"/>
      <c r="F416" s="3" t="n"/>
      <c r="G416" s="3" t="n"/>
    </row>
    <row r="417">
      <c r="A417" s="15" t="n"/>
      <c r="B417" s="3" t="n"/>
      <c r="C417" s="3" t="n"/>
      <c r="D417" s="17" t="n"/>
      <c r="E417" s="3" t="n"/>
      <c r="F417" s="3" t="n"/>
      <c r="G417" s="3" t="n"/>
    </row>
    <row r="418">
      <c r="A418" s="15" t="n"/>
      <c r="B418" s="3" t="n"/>
      <c r="C418" s="3" t="n"/>
      <c r="D418" s="17" t="n"/>
      <c r="E418" s="3" t="n"/>
      <c r="F418" s="3" t="n"/>
      <c r="G418" s="3" t="n"/>
    </row>
    <row r="419">
      <c r="A419" s="15" t="n"/>
      <c r="B419" s="3" t="n"/>
      <c r="C419" s="3" t="n"/>
      <c r="D419" s="17" t="n"/>
      <c r="E419" s="3" t="n"/>
      <c r="F419" s="3" t="n"/>
      <c r="G419" s="3" t="n"/>
    </row>
    <row r="420">
      <c r="A420" s="15" t="n"/>
      <c r="B420" s="3" t="n"/>
      <c r="C420" s="3" t="n"/>
      <c r="D420" s="17" t="n"/>
      <c r="E420" s="3" t="n"/>
      <c r="F420" s="3" t="n"/>
      <c r="G420" s="3" t="n"/>
    </row>
    <row r="421">
      <c r="A421" s="15" t="n"/>
      <c r="B421" s="3" t="n"/>
      <c r="C421" s="3" t="n"/>
      <c r="D421" s="17" t="n"/>
      <c r="E421" s="3" t="n"/>
      <c r="F421" s="3" t="n"/>
      <c r="G421" s="3" t="n"/>
    </row>
    <row r="422">
      <c r="A422" s="15" t="n"/>
      <c r="B422" s="3" t="n"/>
      <c r="C422" s="3" t="n"/>
      <c r="D422" s="17" t="n"/>
      <c r="E422" s="3" t="n"/>
      <c r="F422" s="3" t="n"/>
      <c r="G422" s="3" t="n"/>
    </row>
    <row r="423">
      <c r="A423" s="15" t="n"/>
      <c r="B423" s="3" t="n"/>
      <c r="C423" s="3" t="n"/>
      <c r="D423" s="17" t="n"/>
      <c r="E423" s="3" t="n"/>
      <c r="F423" s="3" t="n"/>
      <c r="G423" s="3" t="n"/>
    </row>
    <row r="424">
      <c r="A424" s="15" t="n"/>
      <c r="B424" s="3" t="n"/>
      <c r="C424" s="3" t="n"/>
      <c r="D424" s="17" t="n"/>
      <c r="E424" s="3" t="n"/>
      <c r="F424" s="3" t="n"/>
      <c r="G424" s="3" t="n"/>
    </row>
    <row r="425">
      <c r="A425" s="15" t="n"/>
      <c r="B425" s="3" t="n"/>
      <c r="C425" s="3" t="n"/>
      <c r="D425" s="17" t="n"/>
      <c r="E425" s="3" t="n"/>
      <c r="F425" s="3" t="n"/>
      <c r="G425" s="3" t="n"/>
    </row>
    <row r="426">
      <c r="A426" s="15" t="n"/>
      <c r="B426" s="3" t="n"/>
      <c r="C426" s="3" t="n"/>
      <c r="D426" s="17" t="n"/>
      <c r="E426" s="3" t="n"/>
      <c r="F426" s="3" t="n"/>
      <c r="G426" s="3" t="n"/>
    </row>
    <row r="427">
      <c r="A427" s="15" t="n"/>
      <c r="B427" s="3" t="n"/>
      <c r="C427" s="3" t="n"/>
      <c r="D427" s="17" t="n"/>
      <c r="E427" s="3" t="n"/>
      <c r="F427" s="3" t="n"/>
      <c r="G427" s="3" t="n"/>
    </row>
    <row r="428">
      <c r="A428" s="15" t="n"/>
      <c r="B428" s="3" t="n"/>
      <c r="C428" s="3" t="n"/>
      <c r="D428" s="17" t="n"/>
      <c r="E428" s="3" t="n"/>
      <c r="F428" s="3" t="n"/>
      <c r="G428" s="3" t="n"/>
    </row>
    <row r="429">
      <c r="A429" s="15" t="n"/>
      <c r="B429" s="3" t="n"/>
      <c r="C429" s="3" t="n"/>
      <c r="D429" s="17" t="n"/>
      <c r="E429" s="3" t="n"/>
      <c r="F429" s="3" t="n"/>
      <c r="G429" s="3" t="n"/>
    </row>
    <row r="430">
      <c r="A430" s="15" t="n"/>
      <c r="B430" s="3" t="n"/>
      <c r="C430" s="3" t="n"/>
      <c r="D430" s="17" t="n"/>
      <c r="E430" s="3" t="n"/>
      <c r="F430" s="3" t="n"/>
      <c r="G430" s="3" t="n"/>
    </row>
    <row r="431">
      <c r="A431" s="15" t="n"/>
      <c r="B431" s="3" t="n"/>
      <c r="C431" s="3" t="n"/>
      <c r="D431" s="17" t="n"/>
      <c r="E431" s="3" t="n"/>
      <c r="F431" s="3" t="n"/>
      <c r="G431" s="3" t="n"/>
    </row>
    <row r="432">
      <c r="A432" s="15" t="n"/>
      <c r="B432" s="3" t="n"/>
      <c r="C432" s="3" t="n"/>
      <c r="D432" s="17" t="n"/>
      <c r="E432" s="3" t="n"/>
      <c r="F432" s="3" t="n"/>
      <c r="G432" s="3" t="n"/>
    </row>
    <row r="433">
      <c r="A433" s="15" t="n"/>
      <c r="B433" s="3" t="n"/>
      <c r="C433" s="3" t="n"/>
      <c r="D433" s="17" t="n"/>
      <c r="E433" s="3" t="n"/>
      <c r="F433" s="3" t="n"/>
      <c r="G433" s="3" t="n"/>
    </row>
    <row r="434">
      <c r="A434" s="15" t="n"/>
      <c r="B434" s="3" t="n"/>
      <c r="C434" s="3" t="n"/>
      <c r="D434" s="17" t="n"/>
      <c r="E434" s="3" t="n"/>
      <c r="F434" s="3" t="n"/>
      <c r="G434" s="3" t="n"/>
    </row>
    <row r="435">
      <c r="A435" s="15" t="n"/>
      <c r="B435" s="3" t="n"/>
      <c r="C435" s="3" t="n"/>
      <c r="D435" s="17" t="n"/>
      <c r="E435" s="3" t="n"/>
      <c r="F435" s="3" t="n"/>
      <c r="G435" s="3" t="n"/>
    </row>
    <row r="436">
      <c r="A436" s="15" t="n"/>
      <c r="B436" s="3" t="n"/>
      <c r="C436" s="3" t="n"/>
      <c r="D436" s="17" t="n"/>
      <c r="E436" s="3" t="n"/>
      <c r="F436" s="3" t="n"/>
      <c r="G436" s="3" t="n"/>
    </row>
    <row r="437">
      <c r="A437" s="15" t="n"/>
      <c r="B437" s="3" t="n"/>
      <c r="C437" s="3" t="n"/>
      <c r="D437" s="17" t="n"/>
      <c r="E437" s="3" t="n"/>
      <c r="F437" s="3" t="n"/>
      <c r="G437" s="3" t="n"/>
    </row>
    <row r="438">
      <c r="A438" s="15" t="n"/>
      <c r="B438" s="3" t="n"/>
      <c r="C438" s="3" t="n"/>
      <c r="D438" s="17" t="n"/>
      <c r="E438" s="3" t="n"/>
      <c r="F438" s="3" t="n"/>
      <c r="G438" s="3" t="n"/>
    </row>
    <row r="439">
      <c r="A439" s="15" t="n"/>
      <c r="B439" s="3" t="n"/>
      <c r="C439" s="3" t="n"/>
      <c r="D439" s="17" t="n"/>
      <c r="E439" s="3" t="n"/>
      <c r="F439" s="3" t="n"/>
      <c r="G439" s="3" t="n"/>
    </row>
    <row r="440">
      <c r="A440" s="15" t="n"/>
      <c r="B440" s="3" t="n"/>
      <c r="C440" s="3" t="n"/>
      <c r="D440" s="17" t="n"/>
      <c r="E440" s="3" t="n"/>
      <c r="F440" s="3" t="n"/>
      <c r="G440" s="3" t="n"/>
    </row>
    <row r="441">
      <c r="A441" s="15" t="n"/>
      <c r="B441" s="3" t="n"/>
      <c r="C441" s="3" t="n"/>
      <c r="D441" s="17" t="n"/>
      <c r="E441" s="3" t="n"/>
      <c r="F441" s="3" t="n"/>
      <c r="G441" s="3" t="n"/>
    </row>
    <row r="442">
      <c r="A442" s="15" t="n"/>
      <c r="B442" s="3" t="n"/>
      <c r="C442" s="3" t="n"/>
      <c r="D442" s="17" t="n"/>
      <c r="E442" s="3" t="n"/>
      <c r="F442" s="3" t="n"/>
      <c r="G442" s="3" t="n"/>
    </row>
    <row r="443">
      <c r="A443" s="15" t="n"/>
      <c r="B443" s="3" t="n"/>
      <c r="C443" s="3" t="n"/>
      <c r="D443" s="17" t="n"/>
      <c r="E443" s="3" t="n"/>
      <c r="F443" s="3" t="n"/>
      <c r="G443" s="3" t="n"/>
    </row>
    <row r="444">
      <c r="A444" s="15" t="n"/>
      <c r="B444" s="3" t="n"/>
      <c r="C444" s="3" t="n"/>
      <c r="D444" s="17" t="n"/>
      <c r="E444" s="3" t="n"/>
      <c r="F444" s="3" t="n"/>
      <c r="G444" s="3" t="n"/>
    </row>
    <row r="445">
      <c r="A445" s="15" t="n"/>
      <c r="B445" s="3" t="n"/>
      <c r="C445" s="3" t="n"/>
      <c r="D445" s="17" t="n"/>
      <c r="E445" s="3" t="n"/>
      <c r="F445" s="3" t="n"/>
      <c r="G445" s="3" t="n"/>
    </row>
    <row r="446">
      <c r="A446" s="15" t="n"/>
      <c r="B446" s="3" t="n"/>
      <c r="C446" s="3" t="n"/>
      <c r="D446" s="17" t="n"/>
      <c r="E446" s="3" t="n"/>
      <c r="F446" s="3" t="n"/>
      <c r="G446" s="3" t="n"/>
    </row>
    <row r="447">
      <c r="A447" s="15" t="n"/>
      <c r="B447" s="3" t="n"/>
      <c r="C447" s="3" t="n"/>
      <c r="D447" s="17" t="n"/>
      <c r="E447" s="3" t="n"/>
      <c r="F447" s="3" t="n"/>
      <c r="G447" s="3" t="n"/>
    </row>
    <row r="448">
      <c r="A448" s="15" t="n"/>
      <c r="B448" s="3" t="n"/>
      <c r="C448" s="3" t="n"/>
      <c r="D448" s="17" t="n"/>
      <c r="E448" s="3" t="n"/>
      <c r="F448" s="3" t="n"/>
      <c r="G448" s="3" t="n"/>
    </row>
    <row r="449">
      <c r="A449" s="15" t="n"/>
      <c r="B449" s="3" t="n"/>
      <c r="C449" s="3" t="n"/>
      <c r="D449" s="17" t="n"/>
      <c r="E449" s="3" t="n"/>
      <c r="F449" s="3" t="n"/>
      <c r="G449" s="3" t="n"/>
    </row>
    <row r="450">
      <c r="A450" s="15" t="n"/>
      <c r="B450" s="3" t="n"/>
      <c r="C450" s="3" t="n"/>
      <c r="D450" s="17" t="n"/>
      <c r="E450" s="3" t="n"/>
      <c r="F450" s="3" t="n"/>
      <c r="G450" s="3" t="n"/>
    </row>
    <row r="451">
      <c r="A451" s="15" t="n"/>
      <c r="B451" s="3" t="n"/>
      <c r="C451" s="3" t="n"/>
      <c r="D451" s="17" t="n"/>
      <c r="E451" s="3" t="n"/>
      <c r="F451" s="3" t="n"/>
      <c r="G451" s="3" t="n"/>
    </row>
    <row r="452">
      <c r="A452" s="15" t="n"/>
      <c r="B452" s="3" t="n"/>
      <c r="C452" s="3" t="n"/>
      <c r="D452" s="17" t="n"/>
      <c r="E452" s="3" t="n"/>
      <c r="F452" s="3" t="n"/>
      <c r="G452" s="3" t="n"/>
    </row>
    <row r="453">
      <c r="A453" s="15" t="n"/>
      <c r="B453" s="3" t="n"/>
      <c r="C453" s="3" t="n"/>
      <c r="D453" s="17" t="n"/>
      <c r="E453" s="3" t="n"/>
      <c r="F453" s="3" t="n"/>
      <c r="G453" s="3" t="n"/>
    </row>
    <row r="454">
      <c r="A454" s="15" t="n"/>
      <c r="B454" s="3" t="n"/>
      <c r="C454" s="3" t="n"/>
      <c r="D454" s="17" t="n"/>
      <c r="E454" s="3" t="n"/>
      <c r="F454" s="3" t="n"/>
      <c r="G454" s="3" t="n"/>
    </row>
    <row r="455">
      <c r="A455" s="15" t="n"/>
      <c r="B455" s="3" t="n"/>
      <c r="C455" s="3" t="n"/>
      <c r="D455" s="17" t="n"/>
      <c r="E455" s="3" t="n"/>
      <c r="F455" s="3" t="n"/>
      <c r="G455" s="3" t="n"/>
    </row>
    <row r="456">
      <c r="A456" s="15" t="n"/>
      <c r="B456" s="3" t="n"/>
      <c r="C456" s="3" t="n"/>
      <c r="D456" s="17" t="n"/>
      <c r="E456" s="3" t="n"/>
      <c r="F456" s="3" t="n"/>
      <c r="G456" s="3" t="n"/>
    </row>
    <row r="457">
      <c r="A457" s="15" t="n"/>
      <c r="B457" s="3" t="n"/>
      <c r="C457" s="3" t="n"/>
      <c r="D457" s="17" t="n"/>
      <c r="E457" s="3" t="n"/>
      <c r="F457" s="3" t="n"/>
      <c r="G457" s="3" t="n"/>
    </row>
    <row r="458">
      <c r="A458" s="15" t="n"/>
      <c r="B458" s="3" t="n"/>
      <c r="C458" s="3" t="n"/>
      <c r="D458" s="17" t="n"/>
      <c r="E458" s="3" t="n"/>
      <c r="F458" s="3" t="n"/>
      <c r="G458" s="3" t="n"/>
    </row>
    <row r="459">
      <c r="A459" s="15" t="n"/>
      <c r="B459" s="3" t="n"/>
      <c r="C459" s="3" t="n"/>
      <c r="D459" s="17" t="n"/>
      <c r="E459" s="3" t="n"/>
      <c r="F459" s="3" t="n"/>
      <c r="G459" s="3" t="n"/>
    </row>
    <row r="460">
      <c r="A460" s="15" t="n"/>
      <c r="B460" s="3" t="n"/>
      <c r="C460" s="3" t="n"/>
      <c r="D460" s="17" t="n"/>
      <c r="E460" s="3" t="n"/>
      <c r="F460" s="3" t="n"/>
      <c r="G460" s="3" t="n"/>
    </row>
    <row r="461">
      <c r="A461" s="15" t="n"/>
      <c r="B461" s="3" t="n"/>
      <c r="C461" s="3" t="n"/>
      <c r="D461" s="17" t="n"/>
      <c r="E461" s="3" t="n"/>
      <c r="F461" s="3" t="n"/>
      <c r="G461" s="3" t="n"/>
    </row>
    <row r="462">
      <c r="A462" s="15" t="n"/>
      <c r="B462" s="3" t="n"/>
      <c r="C462" s="3" t="n"/>
      <c r="D462" s="17" t="n"/>
      <c r="E462" s="3" t="n"/>
      <c r="F462" s="3" t="n"/>
      <c r="G462" s="3" t="n"/>
    </row>
    <row r="463">
      <c r="A463" s="15" t="n"/>
      <c r="B463" s="3" t="n"/>
      <c r="C463" s="3" t="n"/>
      <c r="D463" s="17" t="n"/>
      <c r="E463" s="3" t="n"/>
      <c r="F463" s="3" t="n"/>
      <c r="G463" s="3" t="n"/>
    </row>
    <row r="464">
      <c r="A464" s="15" t="n"/>
      <c r="B464" s="3" t="n"/>
      <c r="C464" s="3" t="n"/>
      <c r="D464" s="17" t="n"/>
      <c r="E464" s="3" t="n"/>
      <c r="F464" s="3" t="n"/>
      <c r="G464" s="3" t="n"/>
    </row>
    <row r="465">
      <c r="A465" s="15" t="n"/>
      <c r="B465" s="3" t="n"/>
      <c r="C465" s="3" t="n"/>
      <c r="D465" s="17" t="n"/>
      <c r="E465" s="3" t="n"/>
      <c r="F465" s="3" t="n"/>
      <c r="G465" s="3" t="n"/>
    </row>
    <row r="466">
      <c r="A466" s="15" t="n"/>
      <c r="B466" s="3" t="n"/>
      <c r="C466" s="3" t="n"/>
      <c r="D466" s="17" t="n"/>
      <c r="E466" s="3" t="n"/>
      <c r="F466" s="3" t="n"/>
      <c r="G466" s="3" t="n"/>
    </row>
    <row r="467">
      <c r="A467" s="15" t="n"/>
      <c r="B467" s="3" t="n"/>
      <c r="C467" s="3" t="n"/>
      <c r="D467" s="17" t="n"/>
      <c r="E467" s="3" t="n"/>
      <c r="F467" s="3" t="n"/>
      <c r="G467" s="3" t="n"/>
    </row>
    <row r="468">
      <c r="A468" s="15" t="n"/>
      <c r="B468" s="3" t="n"/>
      <c r="C468" s="3" t="n"/>
      <c r="D468" s="17" t="n"/>
      <c r="E468" s="3" t="n"/>
      <c r="F468" s="3" t="n"/>
      <c r="G468" s="3" t="n"/>
    </row>
    <row r="469">
      <c r="A469" s="15" t="n"/>
      <c r="B469" s="3" t="n"/>
      <c r="C469" s="3" t="n"/>
      <c r="D469" s="17" t="n"/>
      <c r="E469" s="3" t="n"/>
      <c r="F469" s="3" t="n"/>
      <c r="G469" s="3" t="n"/>
    </row>
    <row r="470">
      <c r="A470" s="15" t="n"/>
      <c r="B470" s="3" t="n"/>
      <c r="C470" s="3" t="n"/>
      <c r="D470" s="17" t="n"/>
      <c r="E470" s="3" t="n"/>
      <c r="F470" s="3" t="n"/>
      <c r="G470" s="3" t="n"/>
    </row>
    <row r="471">
      <c r="A471" s="15" t="n"/>
      <c r="B471" s="3" t="n"/>
      <c r="C471" s="3" t="n"/>
      <c r="D471" s="17" t="n"/>
      <c r="E471" s="3" t="n"/>
      <c r="F471" s="3" t="n"/>
      <c r="G471" s="3" t="n"/>
    </row>
    <row r="472">
      <c r="A472" s="15" t="n"/>
      <c r="B472" s="3" t="n"/>
      <c r="C472" s="3" t="n"/>
      <c r="D472" s="17" t="n"/>
      <c r="E472" s="3" t="n"/>
      <c r="F472" s="3" t="n"/>
      <c r="G472" s="3" t="n"/>
    </row>
    <row r="473">
      <c r="A473" s="15" t="n"/>
      <c r="B473" s="3" t="n"/>
      <c r="C473" s="3" t="n"/>
      <c r="D473" s="17" t="n"/>
      <c r="E473" s="3" t="n"/>
      <c r="F473" s="3" t="n"/>
      <c r="G473" s="3" t="n"/>
    </row>
    <row r="474">
      <c r="A474" s="15" t="n"/>
      <c r="B474" s="3" t="n"/>
      <c r="C474" s="3" t="n"/>
      <c r="D474" s="17" t="n"/>
      <c r="E474" s="3" t="n"/>
      <c r="F474" s="3" t="n"/>
      <c r="G474" s="3" t="n"/>
    </row>
    <row r="475">
      <c r="A475" s="15" t="n"/>
      <c r="B475" s="3" t="n"/>
      <c r="C475" s="3" t="n"/>
      <c r="D475" s="17" t="n"/>
      <c r="E475" s="3" t="n"/>
      <c r="F475" s="3" t="n"/>
      <c r="G475" s="3" t="n"/>
    </row>
    <row r="476">
      <c r="A476" s="15" t="n"/>
      <c r="B476" s="3" t="n"/>
      <c r="C476" s="3" t="n"/>
      <c r="D476" s="17" t="n"/>
      <c r="E476" s="3" t="n"/>
      <c r="F476" s="3" t="n"/>
      <c r="G476" s="3" t="n"/>
    </row>
    <row r="477">
      <c r="A477" s="15" t="n"/>
      <c r="B477" s="3" t="n"/>
      <c r="C477" s="3" t="n"/>
      <c r="D477" s="17" t="n"/>
      <c r="E477" s="3" t="n"/>
      <c r="F477" s="3" t="n"/>
      <c r="G477" s="3" t="n"/>
    </row>
    <row r="478">
      <c r="A478" s="15" t="n"/>
      <c r="B478" s="3" t="n"/>
      <c r="C478" s="3" t="n"/>
      <c r="D478" s="17" t="n"/>
      <c r="E478" s="3" t="n"/>
      <c r="F478" s="3" t="n"/>
      <c r="G478" s="3" t="n"/>
    </row>
    <row r="479">
      <c r="A479" s="15" t="n"/>
      <c r="B479" s="3" t="n"/>
      <c r="C479" s="3" t="n"/>
      <c r="D479" s="17" t="n"/>
      <c r="E479" s="3" t="n"/>
      <c r="F479" s="3" t="n"/>
      <c r="G479" s="3" t="n"/>
    </row>
    <row r="480">
      <c r="A480" s="15" t="n"/>
      <c r="B480" s="3" t="n"/>
      <c r="C480" s="3" t="n"/>
      <c r="D480" s="17" t="n"/>
      <c r="E480" s="3" t="n"/>
      <c r="F480" s="3" t="n"/>
      <c r="G480" s="3" t="n"/>
    </row>
    <row r="481">
      <c r="A481" s="15" t="n"/>
      <c r="B481" s="3" t="n"/>
      <c r="C481" s="3" t="n"/>
      <c r="D481" s="17" t="n"/>
      <c r="E481" s="3" t="n"/>
      <c r="F481" s="3" t="n"/>
      <c r="G481" s="3" t="n"/>
    </row>
    <row r="482">
      <c r="A482" s="15" t="n"/>
      <c r="B482" s="3" t="n"/>
      <c r="C482" s="3" t="n"/>
      <c r="D482" s="17" t="n"/>
      <c r="E482" s="3" t="n"/>
      <c r="F482" s="3" t="n"/>
      <c r="G482" s="3" t="n"/>
    </row>
    <row r="483">
      <c r="A483" s="15" t="n"/>
      <c r="B483" s="3" t="n"/>
      <c r="C483" s="3" t="n"/>
      <c r="D483" s="17" t="n"/>
      <c r="E483" s="3" t="n"/>
      <c r="F483" s="3" t="n"/>
      <c r="G483" s="3" t="n"/>
    </row>
    <row r="484">
      <c r="A484" s="15" t="n"/>
      <c r="B484" s="3" t="n"/>
      <c r="C484" s="3" t="n"/>
      <c r="D484" s="17" t="n"/>
      <c r="E484" s="3" t="n"/>
      <c r="F484" s="3" t="n"/>
      <c r="G484" s="3" t="n"/>
    </row>
    <row r="485">
      <c r="A485" s="15" t="n"/>
      <c r="B485" s="3" t="n"/>
      <c r="C485" s="3" t="n"/>
      <c r="D485" s="17" t="n"/>
      <c r="E485" s="3" t="n"/>
      <c r="F485" s="3" t="n"/>
      <c r="G485" s="3" t="n"/>
    </row>
    <row r="486">
      <c r="A486" s="15" t="n"/>
      <c r="B486" s="3" t="n"/>
      <c r="C486" s="3" t="n"/>
      <c r="D486" s="17" t="n"/>
      <c r="E486" s="3" t="n"/>
      <c r="F486" s="3" t="n"/>
      <c r="G486" s="3" t="n"/>
    </row>
    <row r="487">
      <c r="A487" s="15" t="n"/>
      <c r="B487" s="3" t="n"/>
      <c r="C487" s="3" t="n"/>
      <c r="D487" s="17" t="n"/>
      <c r="E487" s="3" t="n"/>
      <c r="F487" s="3" t="n"/>
      <c r="G487" s="3" t="n"/>
    </row>
    <row r="488">
      <c r="A488" s="15" t="n"/>
      <c r="B488" s="3" t="n"/>
      <c r="C488" s="3" t="n"/>
      <c r="D488" s="17" t="n"/>
      <c r="E488" s="3" t="n"/>
      <c r="F488" s="3" t="n"/>
      <c r="G488" s="3" t="n"/>
    </row>
    <row r="489">
      <c r="A489" s="15" t="n"/>
      <c r="B489" s="3" t="n"/>
      <c r="C489" s="3" t="n"/>
      <c r="D489" s="17" t="n"/>
      <c r="E489" s="3" t="n"/>
      <c r="F489" s="3" t="n"/>
      <c r="G489" s="3" t="n"/>
    </row>
    <row r="490">
      <c r="A490" s="15" t="n"/>
      <c r="B490" s="3" t="n"/>
      <c r="C490" s="3" t="n"/>
      <c r="D490" s="17" t="n"/>
      <c r="E490" s="3" t="n"/>
      <c r="F490" s="3" t="n"/>
      <c r="G490" s="3" t="n"/>
    </row>
    <row r="491">
      <c r="A491" s="15" t="n"/>
      <c r="B491" s="3" t="n"/>
      <c r="C491" s="3" t="n"/>
      <c r="D491" s="17" t="n"/>
      <c r="E491" s="3" t="n"/>
      <c r="F491" s="3" t="n"/>
      <c r="G491" s="3" t="n"/>
    </row>
    <row r="492">
      <c r="A492" s="15" t="n"/>
      <c r="B492" s="3" t="n"/>
      <c r="C492" s="3" t="n"/>
      <c r="D492" s="17" t="n"/>
      <c r="E492" s="3" t="n"/>
      <c r="F492" s="3" t="n"/>
      <c r="G492" s="3" t="n"/>
    </row>
    <row r="493">
      <c r="A493" s="15" t="n"/>
      <c r="B493" s="3" t="n"/>
      <c r="C493" s="3" t="n"/>
      <c r="D493" s="17" t="n"/>
      <c r="E493" s="3" t="n"/>
      <c r="F493" s="3" t="n"/>
      <c r="G493" s="3" t="n"/>
    </row>
    <row r="494">
      <c r="A494" s="15" t="n"/>
      <c r="B494" s="3" t="n"/>
      <c r="C494" s="3" t="n"/>
      <c r="D494" s="17" t="n"/>
      <c r="E494" s="3" t="n"/>
      <c r="F494" s="3" t="n"/>
      <c r="G494" s="3" t="n"/>
    </row>
    <row r="495">
      <c r="A495" s="15" t="n"/>
      <c r="B495" s="3" t="n"/>
      <c r="C495" s="3" t="n"/>
      <c r="D495" s="17" t="n"/>
      <c r="E495" s="3" t="n"/>
      <c r="F495" s="3" t="n"/>
      <c r="G495" s="3" t="n"/>
    </row>
    <row r="496">
      <c r="A496" s="15" t="n"/>
      <c r="B496" s="3" t="n"/>
      <c r="C496" s="3" t="n"/>
      <c r="D496" s="17" t="n"/>
      <c r="E496" s="3" t="n"/>
      <c r="F496" s="3" t="n"/>
      <c r="G496" s="3" t="n"/>
    </row>
    <row r="497">
      <c r="A497" s="15" t="n"/>
      <c r="B497" s="3" t="n"/>
      <c r="C497" s="3" t="n"/>
      <c r="D497" s="17" t="n"/>
      <c r="E497" s="3" t="n"/>
      <c r="F497" s="3" t="n"/>
      <c r="G497" s="3" t="n"/>
    </row>
    <row r="498">
      <c r="A498" s="15" t="n"/>
      <c r="B498" s="3" t="n"/>
      <c r="C498" s="3" t="n"/>
      <c r="D498" s="17" t="n"/>
      <c r="E498" s="3" t="n"/>
      <c r="F498" s="3" t="n"/>
      <c r="G498" s="3" t="n"/>
    </row>
    <row r="499">
      <c r="A499" s="15" t="n"/>
      <c r="B499" s="3" t="n"/>
      <c r="C499" s="3" t="n"/>
      <c r="D499" s="17" t="n"/>
      <c r="E499" s="3" t="n"/>
      <c r="F499" s="3" t="n"/>
      <c r="G499" s="3" t="n"/>
    </row>
    <row r="500">
      <c r="A500" s="15" t="n"/>
      <c r="B500" s="3" t="n"/>
      <c r="C500" s="3" t="n"/>
      <c r="D500" s="17" t="n"/>
      <c r="E500" s="3" t="n"/>
      <c r="F500" s="3" t="n"/>
      <c r="G500" s="3" t="n"/>
    </row>
    <row r="501">
      <c r="A501" s="15" t="n"/>
      <c r="B501" s="3" t="n"/>
      <c r="C501" s="3" t="n"/>
      <c r="D501" s="17" t="n"/>
      <c r="E501" s="3" t="n"/>
      <c r="F501" s="3" t="n"/>
      <c r="G501" s="3" t="n"/>
    </row>
    <row r="502">
      <c r="A502" s="15" t="n"/>
      <c r="B502" s="3" t="n"/>
      <c r="C502" s="3" t="n"/>
      <c r="D502" s="17" t="n"/>
      <c r="E502" s="3" t="n"/>
      <c r="F502" s="3" t="n"/>
      <c r="G50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G2"/>
  <mergeCells count="1">
    <mergeCell ref="A1:G1"/>
  </mergeCells>
  <dataValidations count="3">
    <dataValidation sqref="A3:A502" showDropDown="0" showInputMessage="0" showErrorMessage="0" allowBlank="1" error="Informe uma data válida (dd/mm/aaaa)." type="date" operator="between">
      <formula1>DATE(2020,1,1)</formula1>
      <formula2>DATE(2035,12,31)</formula2>
    </dataValidation>
    <dataValidation sqref="C3:C502" showDropDown="0" showInputMessage="0" showErrorMessage="0" allowBlank="1" errorTitle="Valor inválido" error="Selecione um valor da lista." type="list">
      <formula1>=Configurações!$B$70:$B$75</formula1>
    </dataValidation>
    <dataValidation sqref="E3:E502" showDropDown="0" showInputMessage="0" showErrorMessage="0" allowBlank="1" errorTitle="Valor inválido" error="Selecione um valor da lista." type="list">
      <formula1>=Configurações!$J$36:$J$37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20" customWidth="1" min="6" max="6"/>
    <col width="28" customWidth="1" min="7" max="7"/>
  </cols>
  <sheetData>
    <row r="1" ht="40" customHeight="1">
      <c r="A1" s="1" t="inlineStr">
        <is>
          <t>⛪  Arrecadação das Missas</t>
        </is>
      </c>
    </row>
    <row r="2" ht="28" customHeight="1">
      <c r="A2" s="14" t="inlineStr">
        <is>
          <t>Data</t>
        </is>
      </c>
      <c r="B2" s="14" t="inlineStr">
        <is>
          <t>Domingo</t>
        </is>
      </c>
      <c r="C2" s="14" t="inlineStr">
        <is>
          <t>Mês</t>
        </is>
      </c>
      <c r="D2" s="14" t="inlineStr">
        <is>
          <t>Valor</t>
        </is>
      </c>
      <c r="E2" s="14" t="inlineStr">
        <is>
          <t>Conta</t>
        </is>
      </c>
      <c r="F2" s="14" t="inlineStr">
        <is>
          <t>Responsável</t>
        </is>
      </c>
      <c r="G2" s="14" t="inlineStr">
        <is>
          <t>Observação</t>
        </is>
      </c>
    </row>
    <row r="3">
      <c r="A3" s="15" t="n">
        <v>46026</v>
      </c>
      <c r="B3" s="4" t="inlineStr">
        <is>
          <t>Domingo 1</t>
        </is>
      </c>
      <c r="C3" s="4">
        <f>SE(A3="";"";ÍNDICE(Configurações!$B$35:$B$46;MÊS(A3)))</f>
        <v/>
      </c>
      <c r="D3" s="17" t="n"/>
      <c r="E3" s="3" t="n"/>
      <c r="F3" s="3" t="n"/>
      <c r="G3" s="3" t="n"/>
    </row>
    <row r="4">
      <c r="A4" s="15" t="n">
        <v>46033</v>
      </c>
      <c r="B4" s="4" t="inlineStr">
        <is>
          <t>Domingo 2</t>
        </is>
      </c>
      <c r="C4" s="4">
        <f>SE(A4="";"";ÍNDICE(Configurações!$B$35:$B$46;MÊS(A4)))</f>
        <v/>
      </c>
      <c r="D4" s="17" t="n"/>
      <c r="E4" s="3" t="n"/>
      <c r="F4" s="3" t="n"/>
      <c r="G4" s="3" t="n"/>
    </row>
    <row r="5">
      <c r="A5" s="15" t="n">
        <v>46040</v>
      </c>
      <c r="B5" s="4" t="inlineStr">
        <is>
          <t>Domingo 3</t>
        </is>
      </c>
      <c r="C5" s="4">
        <f>SE(A5="";"";ÍNDICE(Configurações!$B$35:$B$46;MÊS(A5)))</f>
        <v/>
      </c>
      <c r="D5" s="17" t="n"/>
      <c r="E5" s="3" t="n"/>
      <c r="F5" s="3" t="n"/>
      <c r="G5" s="3" t="n"/>
    </row>
    <row r="6">
      <c r="A6" s="15" t="n">
        <v>46047</v>
      </c>
      <c r="B6" s="4" t="inlineStr">
        <is>
          <t>Domingo 4</t>
        </is>
      </c>
      <c r="C6" s="4">
        <f>SE(A6="";"";ÍNDICE(Configurações!$B$35:$B$46;MÊS(A6)))</f>
        <v/>
      </c>
      <c r="D6" s="17" t="n"/>
      <c r="E6" s="3" t="n"/>
      <c r="F6" s="3" t="n"/>
      <c r="G6" s="3" t="n"/>
    </row>
    <row r="7">
      <c r="A7" s="15" t="n">
        <v>46054</v>
      </c>
      <c r="B7" s="4" t="inlineStr">
        <is>
          <t>Domingo 5</t>
        </is>
      </c>
      <c r="C7" s="4">
        <f>SE(A7="";"";ÍNDICE(Configurações!$B$35:$B$46;MÊS(A7)))</f>
        <v/>
      </c>
      <c r="D7" s="17" t="n"/>
      <c r="E7" s="3" t="n"/>
      <c r="F7" s="3" t="n"/>
      <c r="G7" s="3" t="n"/>
    </row>
    <row r="8">
      <c r="A8" s="15" t="n">
        <v>46061</v>
      </c>
      <c r="B8" s="4" t="inlineStr">
        <is>
          <t>Domingo 6</t>
        </is>
      </c>
      <c r="C8" s="4">
        <f>SE(A8="";"";ÍNDICE(Configurações!$B$35:$B$46;MÊS(A8)))</f>
        <v/>
      </c>
      <c r="D8" s="17" t="n"/>
      <c r="E8" s="3" t="n"/>
      <c r="F8" s="3" t="n"/>
      <c r="G8" s="3" t="n"/>
    </row>
    <row r="9">
      <c r="A9" s="15" t="n">
        <v>46068</v>
      </c>
      <c r="B9" s="4" t="inlineStr">
        <is>
          <t>Domingo 7</t>
        </is>
      </c>
      <c r="C9" s="4">
        <f>SE(A9="";"";ÍNDICE(Configurações!$B$35:$B$46;MÊS(A9)))</f>
        <v/>
      </c>
      <c r="D9" s="17" t="n"/>
      <c r="E9" s="3" t="n"/>
      <c r="F9" s="3" t="n"/>
      <c r="G9" s="3" t="n"/>
    </row>
    <row r="10">
      <c r="A10" s="15" t="n">
        <v>46075</v>
      </c>
      <c r="B10" s="4" t="inlineStr">
        <is>
          <t>Domingo 8</t>
        </is>
      </c>
      <c r="C10" s="4">
        <f>SE(A10="";"";ÍNDICE(Configurações!$B$35:$B$46;MÊS(A10)))</f>
        <v/>
      </c>
      <c r="D10" s="17" t="n"/>
      <c r="E10" s="3" t="n"/>
      <c r="F10" s="3" t="n"/>
      <c r="G10" s="3" t="n"/>
    </row>
    <row r="11">
      <c r="A11" s="15" t="n">
        <v>46082</v>
      </c>
      <c r="B11" s="4" t="inlineStr">
        <is>
          <t>Domingo 9</t>
        </is>
      </c>
      <c r="C11" s="4">
        <f>SE(A11="";"";ÍNDICE(Configurações!$B$35:$B$46;MÊS(A11)))</f>
        <v/>
      </c>
      <c r="D11" s="17" t="n"/>
      <c r="E11" s="3" t="n"/>
      <c r="F11" s="3" t="n"/>
      <c r="G11" s="3" t="n"/>
    </row>
    <row r="12">
      <c r="A12" s="15" t="n">
        <v>46089</v>
      </c>
      <c r="B12" s="4" t="inlineStr">
        <is>
          <t>Domingo 10</t>
        </is>
      </c>
      <c r="C12" s="4">
        <f>SE(A12="";"";ÍNDICE(Configurações!$B$35:$B$46;MÊS(A12)))</f>
        <v/>
      </c>
      <c r="D12" s="17" t="n"/>
      <c r="E12" s="3" t="n"/>
      <c r="F12" s="3" t="n"/>
      <c r="G12" s="3" t="n"/>
    </row>
    <row r="13">
      <c r="A13" s="15" t="n">
        <v>46096</v>
      </c>
      <c r="B13" s="4" t="inlineStr">
        <is>
          <t>Domingo 11</t>
        </is>
      </c>
      <c r="C13" s="4">
        <f>SE(A13="";"";ÍNDICE(Configurações!$B$35:$B$46;MÊS(A13)))</f>
        <v/>
      </c>
      <c r="D13" s="17" t="n"/>
      <c r="E13" s="3" t="n"/>
      <c r="F13" s="3" t="n"/>
      <c r="G13" s="3" t="n"/>
    </row>
    <row r="14">
      <c r="A14" s="15" t="n">
        <v>46103</v>
      </c>
      <c r="B14" s="4" t="inlineStr">
        <is>
          <t>Domingo 12</t>
        </is>
      </c>
      <c r="C14" s="4">
        <f>SE(A14="";"";ÍNDICE(Configurações!$B$35:$B$46;MÊS(A14)))</f>
        <v/>
      </c>
      <c r="D14" s="17" t="n"/>
      <c r="E14" s="3" t="n"/>
      <c r="F14" s="3" t="n"/>
      <c r="G14" s="3" t="n"/>
    </row>
    <row r="15">
      <c r="A15" s="15" t="n">
        <v>46110</v>
      </c>
      <c r="B15" s="4" t="inlineStr">
        <is>
          <t>Domingo 13</t>
        </is>
      </c>
      <c r="C15" s="4">
        <f>SE(A15="";"";ÍNDICE(Configurações!$B$35:$B$46;MÊS(A15)))</f>
        <v/>
      </c>
      <c r="D15" s="17" t="n"/>
      <c r="E15" s="3" t="n"/>
      <c r="F15" s="3" t="n"/>
      <c r="G15" s="3" t="n"/>
    </row>
    <row r="16">
      <c r="A16" s="15" t="n">
        <v>46117</v>
      </c>
      <c r="B16" s="4" t="inlineStr">
        <is>
          <t>Domingo 14</t>
        </is>
      </c>
      <c r="C16" s="4">
        <f>SE(A16="";"";ÍNDICE(Configurações!$B$35:$B$46;MÊS(A16)))</f>
        <v/>
      </c>
      <c r="D16" s="17" t="n"/>
      <c r="E16" s="3" t="n"/>
      <c r="F16" s="3" t="n"/>
      <c r="G16" s="3" t="n"/>
    </row>
    <row r="17">
      <c r="A17" s="15" t="n">
        <v>46124</v>
      </c>
      <c r="B17" s="4" t="inlineStr">
        <is>
          <t>Domingo 15</t>
        </is>
      </c>
      <c r="C17" s="4">
        <f>SE(A17="";"";ÍNDICE(Configurações!$B$35:$B$46;MÊS(A17)))</f>
        <v/>
      </c>
      <c r="D17" s="17" t="n"/>
      <c r="E17" s="3" t="n"/>
      <c r="F17" s="3" t="n"/>
      <c r="G17" s="3" t="n"/>
    </row>
    <row r="18">
      <c r="A18" s="15" t="n">
        <v>46131</v>
      </c>
      <c r="B18" s="4" t="inlineStr">
        <is>
          <t>Domingo 16</t>
        </is>
      </c>
      <c r="C18" s="4">
        <f>SE(A18="";"";ÍNDICE(Configurações!$B$35:$B$46;MÊS(A18)))</f>
        <v/>
      </c>
      <c r="D18" s="17" t="n"/>
      <c r="E18" s="3" t="n"/>
      <c r="F18" s="3" t="n"/>
      <c r="G18" s="3" t="n"/>
    </row>
    <row r="19">
      <c r="A19" s="15" t="n">
        <v>46138</v>
      </c>
      <c r="B19" s="4" t="inlineStr">
        <is>
          <t>Domingo 17</t>
        </is>
      </c>
      <c r="C19" s="4">
        <f>SE(A19="";"";ÍNDICE(Configurações!$B$35:$B$46;MÊS(A19)))</f>
        <v/>
      </c>
      <c r="D19" s="17" t="n"/>
      <c r="E19" s="3" t="n"/>
      <c r="F19" s="3" t="n"/>
      <c r="G19" s="3" t="n"/>
    </row>
    <row r="20">
      <c r="A20" s="15" t="n">
        <v>46145</v>
      </c>
      <c r="B20" s="4" t="inlineStr">
        <is>
          <t>Domingo 18</t>
        </is>
      </c>
      <c r="C20" s="4">
        <f>SE(A20="";"";ÍNDICE(Configurações!$B$35:$B$46;MÊS(A20)))</f>
        <v/>
      </c>
      <c r="D20" s="17" t="n"/>
      <c r="E20" s="3" t="n"/>
      <c r="F20" s="3" t="n"/>
      <c r="G20" s="3" t="n"/>
    </row>
    <row r="21">
      <c r="A21" s="15" t="n">
        <v>46152</v>
      </c>
      <c r="B21" s="4" t="inlineStr">
        <is>
          <t>Domingo 19</t>
        </is>
      </c>
      <c r="C21" s="4">
        <f>SE(A21="";"";ÍNDICE(Configurações!$B$35:$B$46;MÊS(A21)))</f>
        <v/>
      </c>
      <c r="D21" s="17" t="n"/>
      <c r="E21" s="3" t="n"/>
      <c r="F21" s="3" t="n"/>
      <c r="G21" s="3" t="n"/>
    </row>
    <row r="22">
      <c r="A22" s="15" t="n">
        <v>46159</v>
      </c>
      <c r="B22" s="4" t="inlineStr">
        <is>
          <t>Domingo 20</t>
        </is>
      </c>
      <c r="C22" s="4">
        <f>SE(A22="";"";ÍNDICE(Configurações!$B$35:$B$46;MÊS(A22)))</f>
        <v/>
      </c>
      <c r="D22" s="17" t="n"/>
      <c r="E22" s="3" t="n"/>
      <c r="F22" s="3" t="n"/>
      <c r="G22" s="3" t="n"/>
    </row>
    <row r="23">
      <c r="A23" s="15" t="n">
        <v>46166</v>
      </c>
      <c r="B23" s="4" t="inlineStr">
        <is>
          <t>Domingo 21</t>
        </is>
      </c>
      <c r="C23" s="4">
        <f>SE(A23="";"";ÍNDICE(Configurações!$B$35:$B$46;MÊS(A23)))</f>
        <v/>
      </c>
      <c r="D23" s="17" t="n"/>
      <c r="E23" s="3" t="n"/>
      <c r="F23" s="3" t="n"/>
      <c r="G23" s="3" t="n"/>
    </row>
    <row r="24">
      <c r="A24" s="15" t="n">
        <v>46173</v>
      </c>
      <c r="B24" s="4" t="inlineStr">
        <is>
          <t>Domingo 22</t>
        </is>
      </c>
      <c r="C24" s="4">
        <f>SE(A24="";"";ÍNDICE(Configurações!$B$35:$B$46;MÊS(A24)))</f>
        <v/>
      </c>
      <c r="D24" s="17" t="n"/>
      <c r="E24" s="3" t="n"/>
      <c r="F24" s="3" t="n"/>
      <c r="G24" s="3" t="n"/>
    </row>
    <row r="25">
      <c r="A25" s="15" t="n">
        <v>46180</v>
      </c>
      <c r="B25" s="4" t="inlineStr">
        <is>
          <t>Domingo 23</t>
        </is>
      </c>
      <c r="C25" s="4">
        <f>SE(A25="";"";ÍNDICE(Configurações!$B$35:$B$46;MÊS(A25)))</f>
        <v/>
      </c>
      <c r="D25" s="17" t="n"/>
      <c r="E25" s="3" t="n"/>
      <c r="F25" s="3" t="n"/>
      <c r="G25" s="3" t="n"/>
    </row>
    <row r="26">
      <c r="A26" s="15" t="n">
        <v>46187</v>
      </c>
      <c r="B26" s="4" t="inlineStr">
        <is>
          <t>Domingo 24</t>
        </is>
      </c>
      <c r="C26" s="4">
        <f>SE(A26="";"";ÍNDICE(Configurações!$B$35:$B$46;MÊS(A26)))</f>
        <v/>
      </c>
      <c r="D26" s="17" t="n"/>
      <c r="E26" s="3" t="n"/>
      <c r="F26" s="3" t="n"/>
      <c r="G26" s="3" t="n"/>
    </row>
    <row r="27">
      <c r="A27" s="15" t="n">
        <v>46194</v>
      </c>
      <c r="B27" s="4" t="inlineStr">
        <is>
          <t>Domingo 25</t>
        </is>
      </c>
      <c r="C27" s="4">
        <f>SE(A27="";"";ÍNDICE(Configurações!$B$35:$B$46;MÊS(A27)))</f>
        <v/>
      </c>
      <c r="D27" s="17" t="n"/>
      <c r="E27" s="3" t="n"/>
      <c r="F27" s="3" t="n"/>
      <c r="G27" s="3" t="n"/>
    </row>
    <row r="28">
      <c r="A28" s="15" t="n">
        <v>46201</v>
      </c>
      <c r="B28" s="4" t="inlineStr">
        <is>
          <t>Domingo 26</t>
        </is>
      </c>
      <c r="C28" s="4">
        <f>SE(A28="";"";ÍNDICE(Configurações!$B$35:$B$46;MÊS(A28)))</f>
        <v/>
      </c>
      <c r="D28" s="17" t="n"/>
      <c r="E28" s="3" t="n"/>
      <c r="F28" s="3" t="n"/>
      <c r="G28" s="3" t="n"/>
    </row>
    <row r="29">
      <c r="A29" s="15" t="n">
        <v>46208</v>
      </c>
      <c r="B29" s="4" t="inlineStr">
        <is>
          <t>Domingo 27</t>
        </is>
      </c>
      <c r="C29" s="4">
        <f>SE(A29="";"";ÍNDICE(Configurações!$B$35:$B$46;MÊS(A29)))</f>
        <v/>
      </c>
      <c r="D29" s="17" t="n"/>
      <c r="E29" s="3" t="n"/>
      <c r="F29" s="3" t="n"/>
      <c r="G29" s="3" t="n"/>
    </row>
    <row r="30">
      <c r="A30" s="15" t="n">
        <v>46215</v>
      </c>
      <c r="B30" s="4" t="inlineStr">
        <is>
          <t>Domingo 28</t>
        </is>
      </c>
      <c r="C30" s="4">
        <f>SE(A30="";"";ÍNDICE(Configurações!$B$35:$B$46;MÊS(A30)))</f>
        <v/>
      </c>
      <c r="D30" s="17" t="n"/>
      <c r="E30" s="3" t="n"/>
      <c r="F30" s="3" t="n"/>
      <c r="G30" s="3" t="n"/>
    </row>
    <row r="31">
      <c r="A31" s="15" t="n">
        <v>46222</v>
      </c>
      <c r="B31" s="4" t="inlineStr">
        <is>
          <t>Domingo 29</t>
        </is>
      </c>
      <c r="C31" s="4">
        <f>SE(A31="";"";ÍNDICE(Configurações!$B$35:$B$46;MÊS(A31)))</f>
        <v/>
      </c>
      <c r="D31" s="17" t="n"/>
      <c r="E31" s="3" t="n"/>
      <c r="F31" s="3" t="n"/>
      <c r="G31" s="3" t="n"/>
    </row>
    <row r="32">
      <c r="A32" s="15" t="n">
        <v>46229</v>
      </c>
      <c r="B32" s="4" t="inlineStr">
        <is>
          <t>Domingo 30</t>
        </is>
      </c>
      <c r="C32" s="4">
        <f>SE(A32="";"";ÍNDICE(Configurações!$B$35:$B$46;MÊS(A32)))</f>
        <v/>
      </c>
      <c r="D32" s="17" t="n"/>
      <c r="E32" s="3" t="n"/>
      <c r="F32" s="3" t="n"/>
      <c r="G32" s="3" t="n"/>
    </row>
    <row r="33">
      <c r="A33" s="15" t="n">
        <v>46236</v>
      </c>
      <c r="B33" s="4" t="inlineStr">
        <is>
          <t>Domingo 31</t>
        </is>
      </c>
      <c r="C33" s="4">
        <f>SE(A33="";"";ÍNDICE(Configurações!$B$35:$B$46;MÊS(A33)))</f>
        <v/>
      </c>
      <c r="D33" s="17" t="n"/>
      <c r="E33" s="3" t="n"/>
      <c r="F33" s="3" t="n"/>
      <c r="G33" s="3" t="n"/>
    </row>
    <row r="34">
      <c r="A34" s="15" t="n">
        <v>46243</v>
      </c>
      <c r="B34" s="4" t="inlineStr">
        <is>
          <t>Domingo 32</t>
        </is>
      </c>
      <c r="C34" s="4">
        <f>SE(A34="";"";ÍNDICE(Configurações!$B$35:$B$46;MÊS(A34)))</f>
        <v/>
      </c>
      <c r="D34" s="17" t="n"/>
      <c r="E34" s="3" t="n"/>
      <c r="F34" s="3" t="n"/>
      <c r="G34" s="3" t="n"/>
    </row>
    <row r="35">
      <c r="A35" s="15" t="n">
        <v>46250</v>
      </c>
      <c r="B35" s="4" t="inlineStr">
        <is>
          <t>Domingo 33</t>
        </is>
      </c>
      <c r="C35" s="4">
        <f>SE(A35="";"";ÍNDICE(Configurações!$B$35:$B$46;MÊS(A35)))</f>
        <v/>
      </c>
      <c r="D35" s="17" t="n"/>
      <c r="E35" s="3" t="n"/>
      <c r="F35" s="3" t="n"/>
      <c r="G35" s="3" t="n"/>
    </row>
    <row r="36">
      <c r="A36" s="15" t="n">
        <v>46257</v>
      </c>
      <c r="B36" s="4" t="inlineStr">
        <is>
          <t>Domingo 34</t>
        </is>
      </c>
      <c r="C36" s="4">
        <f>SE(A36="";"";ÍNDICE(Configurações!$B$35:$B$46;MÊS(A36)))</f>
        <v/>
      </c>
      <c r="D36" s="17" t="n"/>
      <c r="E36" s="3" t="n"/>
      <c r="F36" s="3" t="n"/>
      <c r="G36" s="3" t="n"/>
    </row>
    <row r="37">
      <c r="A37" s="15" t="n">
        <v>46264</v>
      </c>
      <c r="B37" s="4" t="inlineStr">
        <is>
          <t>Domingo 35</t>
        </is>
      </c>
      <c r="C37" s="4">
        <f>SE(A37="";"";ÍNDICE(Configurações!$B$35:$B$46;MÊS(A37)))</f>
        <v/>
      </c>
      <c r="D37" s="17" t="n"/>
      <c r="E37" s="3" t="n"/>
      <c r="F37" s="3" t="n"/>
      <c r="G37" s="3" t="n"/>
    </row>
    <row r="38">
      <c r="A38" s="15" t="n">
        <v>46271</v>
      </c>
      <c r="B38" s="4" t="inlineStr">
        <is>
          <t>Domingo 36</t>
        </is>
      </c>
      <c r="C38" s="4">
        <f>SE(A38="";"";ÍNDICE(Configurações!$B$35:$B$46;MÊS(A38)))</f>
        <v/>
      </c>
      <c r="D38" s="17" t="n"/>
      <c r="E38" s="3" t="n"/>
      <c r="F38" s="3" t="n"/>
      <c r="G38" s="3" t="n"/>
    </row>
    <row r="39">
      <c r="A39" s="15" t="n">
        <v>46278</v>
      </c>
      <c r="B39" s="4" t="inlineStr">
        <is>
          <t>Domingo 37</t>
        </is>
      </c>
      <c r="C39" s="4">
        <f>SE(A39="";"";ÍNDICE(Configurações!$B$35:$B$46;MÊS(A39)))</f>
        <v/>
      </c>
      <c r="D39" s="17" t="n"/>
      <c r="E39" s="3" t="n"/>
      <c r="F39" s="3" t="n"/>
      <c r="G39" s="3" t="n"/>
    </row>
    <row r="40">
      <c r="A40" s="15" t="n">
        <v>46285</v>
      </c>
      <c r="B40" s="4" t="inlineStr">
        <is>
          <t>Domingo 38</t>
        </is>
      </c>
      <c r="C40" s="4">
        <f>SE(A40="";"";ÍNDICE(Configurações!$B$35:$B$46;MÊS(A40)))</f>
        <v/>
      </c>
      <c r="D40" s="17" t="n"/>
      <c r="E40" s="3" t="n"/>
      <c r="F40" s="3" t="n"/>
      <c r="G40" s="3" t="n"/>
    </row>
    <row r="41">
      <c r="A41" s="15" t="n">
        <v>46292</v>
      </c>
      <c r="B41" s="4" t="inlineStr">
        <is>
          <t>Domingo 39</t>
        </is>
      </c>
      <c r="C41" s="4">
        <f>SE(A41="";"";ÍNDICE(Configurações!$B$35:$B$46;MÊS(A41)))</f>
        <v/>
      </c>
      <c r="D41" s="17" t="n"/>
      <c r="E41" s="3" t="n"/>
      <c r="F41" s="3" t="n"/>
      <c r="G41" s="3" t="n"/>
    </row>
    <row r="42">
      <c r="A42" s="15" t="n">
        <v>46299</v>
      </c>
      <c r="B42" s="4" t="inlineStr">
        <is>
          <t>Domingo 40</t>
        </is>
      </c>
      <c r="C42" s="4">
        <f>SE(A42="";"";ÍNDICE(Configurações!$B$35:$B$46;MÊS(A42)))</f>
        <v/>
      </c>
      <c r="D42" s="17" t="n"/>
      <c r="E42" s="3" t="n"/>
      <c r="F42" s="3" t="n"/>
      <c r="G42" s="3" t="n"/>
    </row>
    <row r="43">
      <c r="A43" s="15" t="n">
        <v>46306</v>
      </c>
      <c r="B43" s="4" t="inlineStr">
        <is>
          <t>Domingo 41</t>
        </is>
      </c>
      <c r="C43" s="4">
        <f>SE(A43="";"";ÍNDICE(Configurações!$B$35:$B$46;MÊS(A43)))</f>
        <v/>
      </c>
      <c r="D43" s="17" t="n"/>
      <c r="E43" s="3" t="n"/>
      <c r="F43" s="3" t="n"/>
      <c r="G43" s="3" t="n"/>
    </row>
    <row r="44">
      <c r="A44" s="15" t="n">
        <v>46313</v>
      </c>
      <c r="B44" s="4" t="inlineStr">
        <is>
          <t>Domingo 42</t>
        </is>
      </c>
      <c r="C44" s="4">
        <f>SE(A44="";"";ÍNDICE(Configurações!$B$35:$B$46;MÊS(A44)))</f>
        <v/>
      </c>
      <c r="D44" s="17" t="n"/>
      <c r="E44" s="3" t="n"/>
      <c r="F44" s="3" t="n"/>
      <c r="G44" s="3" t="n"/>
    </row>
    <row r="45">
      <c r="A45" s="15" t="n">
        <v>46320</v>
      </c>
      <c r="B45" s="4" t="inlineStr">
        <is>
          <t>Domingo 43</t>
        </is>
      </c>
      <c r="C45" s="4">
        <f>SE(A45="";"";ÍNDICE(Configurações!$B$35:$B$46;MÊS(A45)))</f>
        <v/>
      </c>
      <c r="D45" s="17" t="n"/>
      <c r="E45" s="3" t="n"/>
      <c r="F45" s="3" t="n"/>
      <c r="G45" s="3" t="n"/>
    </row>
    <row r="46">
      <c r="A46" s="15" t="n">
        <v>46327</v>
      </c>
      <c r="B46" s="4" t="inlineStr">
        <is>
          <t>Domingo 44</t>
        </is>
      </c>
      <c r="C46" s="4">
        <f>SE(A46="";"";ÍNDICE(Configurações!$B$35:$B$46;MÊS(A46)))</f>
        <v/>
      </c>
      <c r="D46" s="17" t="n"/>
      <c r="E46" s="3" t="n"/>
      <c r="F46" s="3" t="n"/>
      <c r="G46" s="3" t="n"/>
    </row>
    <row r="47">
      <c r="A47" s="15" t="n">
        <v>46334</v>
      </c>
      <c r="B47" s="4" t="inlineStr">
        <is>
          <t>Domingo 45</t>
        </is>
      </c>
      <c r="C47" s="4">
        <f>SE(A47="";"";ÍNDICE(Configurações!$B$35:$B$46;MÊS(A47)))</f>
        <v/>
      </c>
      <c r="D47" s="17" t="n"/>
      <c r="E47" s="3" t="n"/>
      <c r="F47" s="3" t="n"/>
      <c r="G47" s="3" t="n"/>
    </row>
    <row r="48">
      <c r="A48" s="15" t="n">
        <v>46341</v>
      </c>
      <c r="B48" s="4" t="inlineStr">
        <is>
          <t>Domingo 46</t>
        </is>
      </c>
      <c r="C48" s="4">
        <f>SE(A48="";"";ÍNDICE(Configurações!$B$35:$B$46;MÊS(A48)))</f>
        <v/>
      </c>
      <c r="D48" s="17" t="n"/>
      <c r="E48" s="3" t="n"/>
      <c r="F48" s="3" t="n"/>
      <c r="G48" s="3" t="n"/>
    </row>
    <row r="49">
      <c r="A49" s="15" t="n">
        <v>46348</v>
      </c>
      <c r="B49" s="4" t="inlineStr">
        <is>
          <t>Domingo 47</t>
        </is>
      </c>
      <c r="C49" s="4">
        <f>SE(A49="";"";ÍNDICE(Configurações!$B$35:$B$46;MÊS(A49)))</f>
        <v/>
      </c>
      <c r="D49" s="17" t="n"/>
      <c r="E49" s="3" t="n"/>
      <c r="F49" s="3" t="n"/>
      <c r="G49" s="3" t="n"/>
    </row>
    <row r="50">
      <c r="A50" s="15" t="n">
        <v>46355</v>
      </c>
      <c r="B50" s="4" t="inlineStr">
        <is>
          <t>Domingo 48</t>
        </is>
      </c>
      <c r="C50" s="4">
        <f>SE(A50="";"";ÍNDICE(Configurações!$B$35:$B$46;MÊS(A50)))</f>
        <v/>
      </c>
      <c r="D50" s="17" t="n"/>
      <c r="E50" s="3" t="n"/>
      <c r="F50" s="3" t="n"/>
      <c r="G50" s="3" t="n"/>
    </row>
    <row r="51">
      <c r="A51" s="15" t="n">
        <v>46362</v>
      </c>
      <c r="B51" s="4" t="inlineStr">
        <is>
          <t>Domingo 49</t>
        </is>
      </c>
      <c r="C51" s="4">
        <f>SE(A51="";"";ÍNDICE(Configurações!$B$35:$B$46;MÊS(A51)))</f>
        <v/>
      </c>
      <c r="D51" s="17" t="n"/>
      <c r="E51" s="3" t="n"/>
      <c r="F51" s="3" t="n"/>
      <c r="G51" s="3" t="n"/>
    </row>
    <row r="52">
      <c r="A52" s="15" t="n">
        <v>46369</v>
      </c>
      <c r="B52" s="4" t="inlineStr">
        <is>
          <t>Domingo 50</t>
        </is>
      </c>
      <c r="C52" s="4">
        <f>SE(A52="";"";ÍNDICE(Configurações!$B$35:$B$46;MÊS(A52)))</f>
        <v/>
      </c>
      <c r="D52" s="17" t="n"/>
      <c r="E52" s="3" t="n"/>
      <c r="F52" s="3" t="n"/>
      <c r="G52" s="3" t="n"/>
    </row>
    <row r="53">
      <c r="A53" s="15" t="n">
        <v>46376</v>
      </c>
      <c r="B53" s="4" t="inlineStr">
        <is>
          <t>Domingo 51</t>
        </is>
      </c>
      <c r="C53" s="4">
        <f>SE(A53="";"";ÍNDICE(Configurações!$B$35:$B$46;MÊS(A53)))</f>
        <v/>
      </c>
      <c r="D53" s="17" t="n"/>
      <c r="E53" s="3" t="n"/>
      <c r="F53" s="3" t="n"/>
      <c r="G53" s="3" t="n"/>
    </row>
    <row r="54">
      <c r="A54" s="15" t="n">
        <v>46383</v>
      </c>
      <c r="B54" s="4" t="inlineStr">
        <is>
          <t>Domingo 52</t>
        </is>
      </c>
      <c r="C54" s="4">
        <f>SE(A54="";"";ÍNDICE(Configurações!$B$35:$B$46;MÊS(A54)))</f>
        <v/>
      </c>
      <c r="D54" s="17" t="n"/>
      <c r="E54" s="3" t="n"/>
      <c r="F54" s="3" t="n"/>
      <c r="G54" s="3" t="n"/>
    </row>
    <row r="55">
      <c r="A55" s="15" t="n"/>
      <c r="B55" s="3" t="n"/>
      <c r="C55" s="4">
        <f>SE(A55="";"";ÍNDICE(Configurações!$B$35:$B$46;MÊS(A55)))</f>
        <v/>
      </c>
      <c r="D55" s="17" t="n"/>
      <c r="E55" s="3" t="n"/>
      <c r="F55" s="3" t="n"/>
      <c r="G55" s="3" t="n"/>
    </row>
    <row r="56">
      <c r="A56" s="15" t="n"/>
      <c r="B56" s="3" t="n"/>
      <c r="C56" s="4">
        <f>SE(A56="";"";ÍNDICE(Configurações!$B$35:$B$46;MÊS(A56)))</f>
        <v/>
      </c>
      <c r="D56" s="17" t="n"/>
      <c r="E56" s="3" t="n"/>
      <c r="F56" s="3" t="n"/>
      <c r="G56" s="3" t="n"/>
    </row>
    <row r="57">
      <c r="A57" s="15" t="n"/>
      <c r="B57" s="3" t="n"/>
      <c r="C57" s="4">
        <f>SE(A57="";"";ÍNDICE(Configurações!$B$35:$B$46;MÊS(A57)))</f>
        <v/>
      </c>
      <c r="D57" s="17" t="n"/>
      <c r="E57" s="3" t="n"/>
      <c r="F57" s="3" t="n"/>
      <c r="G57" s="3" t="n"/>
    </row>
    <row r="58">
      <c r="A58" s="15" t="n"/>
      <c r="B58" s="3" t="n"/>
      <c r="C58" s="4">
        <f>SE(A58="";"";ÍNDICE(Configurações!$B$35:$B$46;MÊS(A58)))</f>
        <v/>
      </c>
      <c r="D58" s="17" t="n"/>
      <c r="E58" s="3" t="n"/>
      <c r="F58" s="3" t="n"/>
      <c r="G58" s="3" t="n"/>
    </row>
    <row r="59">
      <c r="A59" s="15" t="n"/>
      <c r="B59" s="3" t="n"/>
      <c r="C59" s="4">
        <f>SE(A59="";"";ÍNDICE(Configurações!$B$35:$B$46;MÊS(A59)))</f>
        <v/>
      </c>
      <c r="D59" s="17" t="n"/>
      <c r="E59" s="3" t="n"/>
      <c r="F59" s="3" t="n"/>
      <c r="G59" s="3" t="n"/>
    </row>
    <row r="60">
      <c r="A60" s="15" t="n"/>
      <c r="B60" s="3" t="n"/>
      <c r="C60" s="4">
        <f>SE(A60="";"";ÍNDICE(Configurações!$B$35:$B$46;MÊS(A60)))</f>
        <v/>
      </c>
      <c r="D60" s="17" t="n"/>
      <c r="E60" s="3" t="n"/>
      <c r="F60" s="3" t="n"/>
      <c r="G60" s="3" t="n"/>
    </row>
    <row r="61">
      <c r="A61" s="15" t="n"/>
      <c r="B61" s="3" t="n"/>
      <c r="C61" s="4">
        <f>SE(A61="";"";ÍNDICE(Configurações!$B$35:$B$46;MÊS(A61)))</f>
        <v/>
      </c>
      <c r="D61" s="17" t="n"/>
      <c r="E61" s="3" t="n"/>
      <c r="F61" s="3" t="n"/>
      <c r="G61" s="3" t="n"/>
    </row>
    <row r="62">
      <c r="A62" s="15" t="n"/>
      <c r="B62" s="3" t="n"/>
      <c r="C62" s="4">
        <f>SE(A62="";"";ÍNDICE(Configurações!$B$35:$B$46;MÊS(A62)))</f>
        <v/>
      </c>
      <c r="D62" s="17" t="n"/>
      <c r="E62" s="3" t="n"/>
      <c r="F62" s="3" t="n"/>
      <c r="G62" s="3" t="n"/>
    </row>
    <row r="63">
      <c r="A63" s="15" t="n"/>
      <c r="B63" s="3" t="n"/>
      <c r="C63" s="4">
        <f>SE(A63="";"";ÍNDICE(Configurações!$B$35:$B$46;MÊS(A63)))</f>
        <v/>
      </c>
      <c r="D63" s="17" t="n"/>
      <c r="E63" s="3" t="n"/>
      <c r="F63" s="3" t="n"/>
      <c r="G63" s="3" t="n"/>
    </row>
    <row r="64">
      <c r="A64" s="15" t="n"/>
      <c r="B64" s="3" t="n"/>
      <c r="C64" s="4">
        <f>SE(A64="";"";ÍNDICE(Configurações!$B$35:$B$46;MÊS(A64)))</f>
        <v/>
      </c>
      <c r="D64" s="17" t="n"/>
      <c r="E64" s="3" t="n"/>
      <c r="F64" s="3" t="n"/>
      <c r="G64" s="3" t="n"/>
    </row>
    <row r="65">
      <c r="A65" s="15" t="n"/>
      <c r="B65" s="3" t="n"/>
      <c r="C65" s="4">
        <f>SE(A65="";"";ÍNDICE(Configurações!$B$35:$B$46;MÊS(A65)))</f>
        <v/>
      </c>
      <c r="D65" s="17" t="n"/>
      <c r="E65" s="3" t="n"/>
      <c r="F65" s="3" t="n"/>
      <c r="G65" s="3" t="n"/>
    </row>
    <row r="66">
      <c r="A66" s="15" t="n"/>
      <c r="B66" s="3" t="n"/>
      <c r="C66" s="4">
        <f>SE(A66="";"";ÍNDICE(Configurações!$B$35:$B$46;MÊS(A66)))</f>
        <v/>
      </c>
      <c r="D66" s="17" t="n"/>
      <c r="E66" s="3" t="n"/>
      <c r="F66" s="3" t="n"/>
      <c r="G66" s="3" t="n"/>
    </row>
    <row r="67">
      <c r="A67" s="15" t="n"/>
      <c r="B67" s="3" t="n"/>
      <c r="C67" s="4">
        <f>SE(A67="";"";ÍNDICE(Configurações!$B$35:$B$46;MÊS(A67)))</f>
        <v/>
      </c>
      <c r="D67" s="17" t="n"/>
      <c r="E67" s="3" t="n"/>
      <c r="F67" s="3" t="n"/>
      <c r="G67" s="3" t="n"/>
    </row>
    <row r="68">
      <c r="A68" s="15" t="n"/>
      <c r="B68" s="3" t="n"/>
      <c r="C68" s="4">
        <f>SE(A68="";"";ÍNDICE(Configurações!$B$35:$B$46;MÊS(A68)))</f>
        <v/>
      </c>
      <c r="D68" s="17" t="n"/>
      <c r="E68" s="3" t="n"/>
      <c r="F68" s="3" t="n"/>
      <c r="G68" s="3" t="n"/>
    </row>
    <row r="69">
      <c r="A69" s="15" t="n"/>
      <c r="B69" s="3" t="n"/>
      <c r="C69" s="4">
        <f>SE(A69="";"";ÍNDICE(Configurações!$B$35:$B$46;MÊS(A69)))</f>
        <v/>
      </c>
      <c r="D69" s="17" t="n"/>
      <c r="E69" s="3" t="n"/>
      <c r="F69" s="3" t="n"/>
      <c r="G69" s="3" t="n"/>
    </row>
    <row r="70">
      <c r="A70" s="15" t="n"/>
      <c r="B70" s="3" t="n"/>
      <c r="C70" s="4">
        <f>SE(A70="";"";ÍNDICE(Configurações!$B$35:$B$46;MÊS(A70)))</f>
        <v/>
      </c>
      <c r="D70" s="17" t="n"/>
      <c r="E70" s="3" t="n"/>
      <c r="F70" s="3" t="n"/>
      <c r="G70" s="3" t="n"/>
    </row>
    <row r="71">
      <c r="A71" s="15" t="n"/>
      <c r="B71" s="3" t="n"/>
      <c r="C71" s="4">
        <f>SE(A71="";"";ÍNDICE(Configurações!$B$35:$B$46;MÊS(A71)))</f>
        <v/>
      </c>
      <c r="D71" s="17" t="n"/>
      <c r="E71" s="3" t="n"/>
      <c r="F71" s="3" t="n"/>
      <c r="G71" s="3" t="n"/>
    </row>
    <row r="72">
      <c r="A72" s="15" t="n"/>
      <c r="B72" s="3" t="n"/>
      <c r="C72" s="4">
        <f>SE(A72="";"";ÍNDICE(Configurações!$B$35:$B$46;MÊS(A72)))</f>
        <v/>
      </c>
      <c r="D72" s="17" t="n"/>
      <c r="E72" s="3" t="n"/>
      <c r="F72" s="3" t="n"/>
      <c r="G72" s="3" t="n"/>
    </row>
    <row r="73">
      <c r="A73" s="15" t="n"/>
      <c r="B73" s="3" t="n"/>
      <c r="C73" s="4">
        <f>SE(A73="";"";ÍNDICE(Configurações!$B$35:$B$46;MÊS(A73)))</f>
        <v/>
      </c>
      <c r="D73" s="17" t="n"/>
      <c r="E73" s="3" t="n"/>
      <c r="F73" s="3" t="n"/>
      <c r="G73" s="3" t="n"/>
    </row>
    <row r="74">
      <c r="A74" s="15" t="n"/>
      <c r="B74" s="3" t="n"/>
      <c r="C74" s="4">
        <f>SE(A74="";"";ÍNDICE(Configurações!$B$35:$B$46;MÊS(A74)))</f>
        <v/>
      </c>
      <c r="D74" s="17" t="n"/>
      <c r="E74" s="3" t="n"/>
      <c r="F74" s="3" t="n"/>
      <c r="G74" s="3" t="n"/>
    </row>
    <row r="75">
      <c r="A75" s="15" t="n"/>
      <c r="B75" s="3" t="n"/>
      <c r="C75" s="4">
        <f>SE(A75="";"";ÍNDICE(Configurações!$B$35:$B$46;MÊS(A75)))</f>
        <v/>
      </c>
      <c r="D75" s="17" t="n"/>
      <c r="E75" s="3" t="n"/>
      <c r="F75" s="3" t="n"/>
      <c r="G75" s="3" t="n"/>
    </row>
    <row r="76">
      <c r="A76" s="15" t="n"/>
      <c r="B76" s="3" t="n"/>
      <c r="C76" s="4">
        <f>SE(A76="";"";ÍNDICE(Configurações!$B$35:$B$46;MÊS(A76)))</f>
        <v/>
      </c>
      <c r="D76" s="17" t="n"/>
      <c r="E76" s="3" t="n"/>
      <c r="F76" s="3" t="n"/>
      <c r="G76" s="3" t="n"/>
    </row>
    <row r="77">
      <c r="A77" s="15" t="n"/>
      <c r="B77" s="3" t="n"/>
      <c r="C77" s="4">
        <f>SE(A77="";"";ÍNDICE(Configurações!$B$35:$B$46;MÊS(A77)))</f>
        <v/>
      </c>
      <c r="D77" s="17" t="n"/>
      <c r="E77" s="3" t="n"/>
      <c r="F77" s="3" t="n"/>
      <c r="G77" s="3" t="n"/>
    </row>
    <row r="78">
      <c r="A78" s="15" t="n"/>
      <c r="B78" s="3" t="n"/>
      <c r="C78" s="4">
        <f>SE(A78="";"";ÍNDICE(Configurações!$B$35:$B$46;MÊS(A78)))</f>
        <v/>
      </c>
      <c r="D78" s="17" t="n"/>
      <c r="E78" s="3" t="n"/>
      <c r="F78" s="3" t="n"/>
      <c r="G78" s="3" t="n"/>
    </row>
    <row r="79">
      <c r="A79" s="15" t="n"/>
      <c r="B79" s="3" t="n"/>
      <c r="C79" s="4">
        <f>SE(A79="";"";ÍNDICE(Configurações!$B$35:$B$46;MÊS(A79)))</f>
        <v/>
      </c>
      <c r="D79" s="17" t="n"/>
      <c r="E79" s="3" t="n"/>
      <c r="F79" s="3" t="n"/>
      <c r="G79" s="3" t="n"/>
    </row>
    <row r="80">
      <c r="A80" s="15" t="n"/>
      <c r="B80" s="3" t="n"/>
      <c r="C80" s="4">
        <f>SE(A80="";"";ÍNDICE(Configurações!$B$35:$B$46;MÊS(A80)))</f>
        <v/>
      </c>
      <c r="D80" s="17" t="n"/>
      <c r="E80" s="3" t="n"/>
      <c r="F80" s="3" t="n"/>
      <c r="G80" s="3" t="n"/>
    </row>
    <row r="81">
      <c r="A81" s="15" t="n"/>
      <c r="B81" s="3" t="n"/>
      <c r="C81" s="4">
        <f>SE(A81="";"";ÍNDICE(Configurações!$B$35:$B$46;MÊS(A81)))</f>
        <v/>
      </c>
      <c r="D81" s="17" t="n"/>
      <c r="E81" s="3" t="n"/>
      <c r="F81" s="3" t="n"/>
      <c r="G81" s="3" t="n"/>
    </row>
    <row r="82">
      <c r="A82" s="15" t="n"/>
      <c r="B82" s="3" t="n"/>
      <c r="C82" s="4">
        <f>SE(A82="";"";ÍNDICE(Configurações!$B$35:$B$46;MÊS(A82)))</f>
        <v/>
      </c>
      <c r="D82" s="17" t="n"/>
      <c r="E82" s="3" t="n"/>
      <c r="F82" s="3" t="n"/>
      <c r="G82" s="3" t="n"/>
    </row>
    <row r="83">
      <c r="A83" s="15" t="n"/>
      <c r="B83" s="3" t="n"/>
      <c r="C83" s="4">
        <f>SE(A83="";"";ÍNDICE(Configurações!$B$35:$B$46;MÊS(A83)))</f>
        <v/>
      </c>
      <c r="D83" s="17" t="n"/>
      <c r="E83" s="3" t="n"/>
      <c r="F83" s="3" t="n"/>
      <c r="G83" s="3" t="n"/>
    </row>
    <row r="84">
      <c r="A84" s="15" t="n"/>
      <c r="B84" s="3" t="n"/>
      <c r="C84" s="4">
        <f>SE(A84="";"";ÍNDICE(Configurações!$B$35:$B$46;MÊS(A84)))</f>
        <v/>
      </c>
      <c r="D84" s="17" t="n"/>
      <c r="E84" s="3" t="n"/>
      <c r="F84" s="3" t="n"/>
      <c r="G84" s="3" t="n"/>
    </row>
    <row r="85">
      <c r="A85" s="15" t="n"/>
      <c r="B85" s="3" t="n"/>
      <c r="C85" s="4">
        <f>SE(A85="";"";ÍNDICE(Configurações!$B$35:$B$46;MÊS(A85)))</f>
        <v/>
      </c>
      <c r="D85" s="17" t="n"/>
      <c r="E85" s="3" t="n"/>
      <c r="F85" s="3" t="n"/>
      <c r="G85" s="3" t="n"/>
    </row>
    <row r="86">
      <c r="A86" s="15" t="n"/>
      <c r="B86" s="3" t="n"/>
      <c r="C86" s="4">
        <f>SE(A86="";"";ÍNDICE(Configurações!$B$35:$B$46;MÊS(A86)))</f>
        <v/>
      </c>
      <c r="D86" s="17" t="n"/>
      <c r="E86" s="3" t="n"/>
      <c r="F86" s="3" t="n"/>
      <c r="G86" s="3" t="n"/>
    </row>
    <row r="87">
      <c r="A87" s="15" t="n"/>
      <c r="B87" s="3" t="n"/>
      <c r="C87" s="4">
        <f>SE(A87="";"";ÍNDICE(Configurações!$B$35:$B$46;MÊS(A87)))</f>
        <v/>
      </c>
      <c r="D87" s="17" t="n"/>
      <c r="E87" s="3" t="n"/>
      <c r="F87" s="3" t="n"/>
      <c r="G87" s="3" t="n"/>
    </row>
    <row r="88">
      <c r="A88" s="15" t="n"/>
      <c r="B88" s="3" t="n"/>
      <c r="C88" s="4">
        <f>SE(A88="";"";ÍNDICE(Configurações!$B$35:$B$46;MÊS(A88)))</f>
        <v/>
      </c>
      <c r="D88" s="17" t="n"/>
      <c r="E88" s="3" t="n"/>
      <c r="F88" s="3" t="n"/>
      <c r="G88" s="3" t="n"/>
    </row>
    <row r="89">
      <c r="A89" s="15" t="n"/>
      <c r="B89" s="3" t="n"/>
      <c r="C89" s="4">
        <f>SE(A89="";"";ÍNDICE(Configurações!$B$35:$B$46;MÊS(A89)))</f>
        <v/>
      </c>
      <c r="D89" s="17" t="n"/>
      <c r="E89" s="3" t="n"/>
      <c r="F89" s="3" t="n"/>
      <c r="G89" s="3" t="n"/>
    </row>
    <row r="90">
      <c r="A90" s="15" t="n"/>
      <c r="B90" s="3" t="n"/>
      <c r="C90" s="4">
        <f>SE(A90="";"";ÍNDICE(Configurações!$B$35:$B$46;MÊS(A90)))</f>
        <v/>
      </c>
      <c r="D90" s="17" t="n"/>
      <c r="E90" s="3" t="n"/>
      <c r="F90" s="3" t="n"/>
      <c r="G90" s="3" t="n"/>
    </row>
    <row r="91">
      <c r="A91" s="15" t="n"/>
      <c r="B91" s="3" t="n"/>
      <c r="C91" s="4">
        <f>SE(A91="";"";ÍNDICE(Configurações!$B$35:$B$46;MÊS(A91)))</f>
        <v/>
      </c>
      <c r="D91" s="17" t="n"/>
      <c r="E91" s="3" t="n"/>
      <c r="F91" s="3" t="n"/>
      <c r="G91" s="3" t="n"/>
    </row>
    <row r="92">
      <c r="A92" s="15" t="n"/>
      <c r="B92" s="3" t="n"/>
      <c r="C92" s="4">
        <f>SE(A92="";"";ÍNDICE(Configurações!$B$35:$B$46;MÊS(A92)))</f>
        <v/>
      </c>
      <c r="D92" s="17" t="n"/>
      <c r="E92" s="3" t="n"/>
      <c r="F92" s="3" t="n"/>
      <c r="G92" s="3" t="n"/>
    </row>
    <row r="93">
      <c r="A93" s="15" t="n"/>
      <c r="B93" s="3" t="n"/>
      <c r="C93" s="4">
        <f>SE(A93="";"";ÍNDICE(Configurações!$B$35:$B$46;MÊS(A93)))</f>
        <v/>
      </c>
      <c r="D93" s="17" t="n"/>
      <c r="E93" s="3" t="n"/>
      <c r="F93" s="3" t="n"/>
      <c r="G93" s="3" t="n"/>
    </row>
    <row r="94">
      <c r="A94" s="15" t="n"/>
      <c r="B94" s="3" t="n"/>
      <c r="C94" s="4">
        <f>SE(A94="";"";ÍNDICE(Configurações!$B$35:$B$46;MÊS(A94)))</f>
        <v/>
      </c>
      <c r="D94" s="17" t="n"/>
      <c r="E94" s="3" t="n"/>
      <c r="F94" s="3" t="n"/>
      <c r="G94" s="3" t="n"/>
    </row>
    <row r="95">
      <c r="A95" s="15" t="n"/>
      <c r="B95" s="3" t="n"/>
      <c r="C95" s="4">
        <f>SE(A95="";"";ÍNDICE(Configurações!$B$35:$B$46;MÊS(A95)))</f>
        <v/>
      </c>
      <c r="D95" s="17" t="n"/>
      <c r="E95" s="3" t="n"/>
      <c r="F95" s="3" t="n"/>
      <c r="G95" s="3" t="n"/>
    </row>
    <row r="96">
      <c r="A96" s="15" t="n"/>
      <c r="B96" s="3" t="n"/>
      <c r="C96" s="4">
        <f>SE(A96="";"";ÍNDICE(Configurações!$B$35:$B$46;MÊS(A96)))</f>
        <v/>
      </c>
      <c r="D96" s="17" t="n"/>
      <c r="E96" s="3" t="n"/>
      <c r="F96" s="3" t="n"/>
      <c r="G96" s="3" t="n"/>
    </row>
    <row r="97">
      <c r="A97" s="15" t="n"/>
      <c r="B97" s="3" t="n"/>
      <c r="C97" s="4">
        <f>SE(A97="";"";ÍNDICE(Configurações!$B$35:$B$46;MÊS(A97)))</f>
        <v/>
      </c>
      <c r="D97" s="17" t="n"/>
      <c r="E97" s="3" t="n"/>
      <c r="F97" s="3" t="n"/>
      <c r="G97" s="3" t="n"/>
    </row>
    <row r="98">
      <c r="A98" s="15" t="n"/>
      <c r="B98" s="3" t="n"/>
      <c r="C98" s="4">
        <f>SE(A98="";"";ÍNDICE(Configurações!$B$35:$B$46;MÊS(A98)))</f>
        <v/>
      </c>
      <c r="D98" s="17" t="n"/>
      <c r="E98" s="3" t="n"/>
      <c r="F98" s="3" t="n"/>
      <c r="G98" s="3" t="n"/>
    </row>
    <row r="99">
      <c r="A99" s="15" t="n"/>
      <c r="B99" s="3" t="n"/>
      <c r="C99" s="4">
        <f>SE(A99="";"";ÍNDICE(Configurações!$B$35:$B$46;MÊS(A99)))</f>
        <v/>
      </c>
      <c r="D99" s="17" t="n"/>
      <c r="E99" s="3" t="n"/>
      <c r="F99" s="3" t="n"/>
      <c r="G99" s="3" t="n"/>
    </row>
    <row r="100">
      <c r="A100" s="15" t="n"/>
      <c r="B100" s="3" t="n"/>
      <c r="C100" s="4">
        <f>SE(A100="";"";ÍNDICE(Configurações!$B$35:$B$46;MÊS(A100)))</f>
        <v/>
      </c>
      <c r="D100" s="17" t="n"/>
      <c r="E100" s="3" t="n"/>
      <c r="F100" s="3" t="n"/>
      <c r="G100" s="3" t="n"/>
    </row>
    <row r="101">
      <c r="A101" s="15" t="n"/>
      <c r="B101" s="3" t="n"/>
      <c r="C101" s="4">
        <f>SE(A101="";"";ÍNDICE(Configurações!$B$35:$B$46;MÊS(A101)))</f>
        <v/>
      </c>
      <c r="D101" s="17" t="n"/>
      <c r="E101" s="3" t="n"/>
      <c r="F101" s="3" t="n"/>
      <c r="G101" s="3" t="n"/>
    </row>
    <row r="102">
      <c r="A102" s="15" t="n"/>
      <c r="B102" s="3" t="n"/>
      <c r="C102" s="4">
        <f>SE(A102="";"";ÍNDICE(Configurações!$B$35:$B$46;MÊS(A102)))</f>
        <v/>
      </c>
      <c r="D102" s="17" t="n"/>
      <c r="E102" s="3" t="n"/>
      <c r="F102" s="3" t="n"/>
      <c r="G102" s="3" t="n"/>
    </row>
    <row r="103">
      <c r="A103" s="15" t="n"/>
      <c r="B103" s="3" t="n"/>
      <c r="C103" s="4">
        <f>SE(A103="";"";ÍNDICE(Configurações!$B$35:$B$46;MÊS(A103)))</f>
        <v/>
      </c>
      <c r="D103" s="17" t="n"/>
      <c r="E103" s="3" t="n"/>
      <c r="F103" s="3" t="n"/>
      <c r="G103" s="3" t="n"/>
    </row>
    <row r="104">
      <c r="A104" s="15" t="n"/>
      <c r="B104" s="3" t="n"/>
      <c r="C104" s="4">
        <f>SE(A104="";"";ÍNDICE(Configurações!$B$35:$B$46;MÊS(A104)))</f>
        <v/>
      </c>
      <c r="D104" s="17" t="n"/>
      <c r="E104" s="3" t="n"/>
      <c r="F104" s="3" t="n"/>
      <c r="G104" s="3" t="n"/>
    </row>
    <row r="105">
      <c r="A105" s="15" t="n"/>
      <c r="B105" s="3" t="n"/>
      <c r="C105" s="4">
        <f>SE(A105="";"";ÍNDICE(Configurações!$B$35:$B$46;MÊS(A105)))</f>
        <v/>
      </c>
      <c r="D105" s="17" t="n"/>
      <c r="E105" s="3" t="n"/>
      <c r="F105" s="3" t="n"/>
      <c r="G105" s="3" t="n"/>
    </row>
    <row r="106">
      <c r="A106" s="15" t="n"/>
      <c r="B106" s="3" t="n"/>
      <c r="C106" s="4">
        <f>SE(A106="";"";ÍNDICE(Configurações!$B$35:$B$46;MÊS(A106)))</f>
        <v/>
      </c>
      <c r="D106" s="17" t="n"/>
      <c r="E106" s="3" t="n"/>
      <c r="F106" s="3" t="n"/>
      <c r="G106" s="3" t="n"/>
    </row>
    <row r="107">
      <c r="A107" s="15" t="n"/>
      <c r="B107" s="3" t="n"/>
      <c r="C107" s="4">
        <f>SE(A107="";"";ÍNDICE(Configurações!$B$35:$B$46;MÊS(A107)))</f>
        <v/>
      </c>
      <c r="D107" s="17" t="n"/>
      <c r="E107" s="3" t="n"/>
      <c r="F107" s="3" t="n"/>
      <c r="G107" s="3" t="n"/>
    </row>
    <row r="108">
      <c r="A108" s="15" t="n"/>
      <c r="B108" s="3" t="n"/>
      <c r="C108" s="4">
        <f>SE(A108="";"";ÍNDICE(Configurações!$B$35:$B$46;MÊS(A108)))</f>
        <v/>
      </c>
      <c r="D108" s="17" t="n"/>
      <c r="E108" s="3" t="n"/>
      <c r="F108" s="3" t="n"/>
      <c r="G108" s="3" t="n"/>
    </row>
    <row r="109">
      <c r="A109" s="15" t="n"/>
      <c r="B109" s="3" t="n"/>
      <c r="C109" s="4">
        <f>SE(A109="";"";ÍNDICE(Configurações!$B$35:$B$46;MÊS(A109)))</f>
        <v/>
      </c>
      <c r="D109" s="17" t="n"/>
      <c r="E109" s="3" t="n"/>
      <c r="F109" s="3" t="n"/>
      <c r="G109" s="3" t="n"/>
    </row>
    <row r="110">
      <c r="A110" s="15" t="n"/>
      <c r="B110" s="3" t="n"/>
      <c r="C110" s="4">
        <f>SE(A110="";"";ÍNDICE(Configurações!$B$35:$B$46;MÊS(A110)))</f>
        <v/>
      </c>
      <c r="D110" s="17" t="n"/>
      <c r="E110" s="3" t="n"/>
      <c r="F110" s="3" t="n"/>
      <c r="G110" s="3" t="n"/>
    </row>
    <row r="111">
      <c r="A111" s="15" t="n"/>
      <c r="B111" s="3" t="n"/>
      <c r="C111" s="4">
        <f>SE(A111="";"";ÍNDICE(Configurações!$B$35:$B$46;MÊS(A111)))</f>
        <v/>
      </c>
      <c r="D111" s="17" t="n"/>
      <c r="E111" s="3" t="n"/>
      <c r="F111" s="3" t="n"/>
      <c r="G111" s="3" t="n"/>
    </row>
    <row r="112">
      <c r="A112" s="15" t="n"/>
      <c r="B112" s="3" t="n"/>
      <c r="C112" s="4">
        <f>SE(A112="";"";ÍNDICE(Configurações!$B$35:$B$46;MÊS(A112)))</f>
        <v/>
      </c>
      <c r="D112" s="17" t="n"/>
      <c r="E112" s="3" t="n"/>
      <c r="F112" s="3" t="n"/>
      <c r="G112" s="3" t="n"/>
    </row>
    <row r="113">
      <c r="A113" s="15" t="n"/>
      <c r="B113" s="3" t="n"/>
      <c r="C113" s="4">
        <f>SE(A113="";"";ÍNDICE(Configurações!$B$35:$B$46;MÊS(A113)))</f>
        <v/>
      </c>
      <c r="D113" s="17" t="n"/>
      <c r="E113" s="3" t="n"/>
      <c r="F113" s="3" t="n"/>
      <c r="G113" s="3" t="n"/>
    </row>
    <row r="114">
      <c r="A114" s="15" t="n"/>
      <c r="B114" s="3" t="n"/>
      <c r="C114" s="4">
        <f>SE(A114="";"";ÍNDICE(Configurações!$B$35:$B$46;MÊS(A114)))</f>
        <v/>
      </c>
      <c r="D114" s="17" t="n"/>
      <c r="E114" s="3" t="n"/>
      <c r="F114" s="3" t="n"/>
      <c r="G114" s="3" t="n"/>
    </row>
    <row r="115">
      <c r="A115" s="15" t="n"/>
      <c r="B115" s="3" t="n"/>
      <c r="C115" s="4">
        <f>SE(A115="";"";ÍNDICE(Configurações!$B$35:$B$46;MÊS(A115)))</f>
        <v/>
      </c>
      <c r="D115" s="17" t="n"/>
      <c r="E115" s="3" t="n"/>
      <c r="F115" s="3" t="n"/>
      <c r="G115" s="3" t="n"/>
    </row>
    <row r="116">
      <c r="A116" s="15" t="n"/>
      <c r="B116" s="3" t="n"/>
      <c r="C116" s="4">
        <f>SE(A116="";"";ÍNDICE(Configurações!$B$35:$B$46;MÊS(A116)))</f>
        <v/>
      </c>
      <c r="D116" s="17" t="n"/>
      <c r="E116" s="3" t="n"/>
      <c r="F116" s="3" t="n"/>
      <c r="G116" s="3" t="n"/>
    </row>
    <row r="117">
      <c r="A117" s="15" t="n"/>
      <c r="B117" s="3" t="n"/>
      <c r="C117" s="4">
        <f>SE(A117="";"";ÍNDICE(Configurações!$B$35:$B$46;MÊS(A117)))</f>
        <v/>
      </c>
      <c r="D117" s="17" t="n"/>
      <c r="E117" s="3" t="n"/>
      <c r="F117" s="3" t="n"/>
      <c r="G117" s="3" t="n"/>
    </row>
    <row r="118">
      <c r="A118" s="15" t="n"/>
      <c r="B118" s="3" t="n"/>
      <c r="C118" s="4">
        <f>SE(A118="";"";ÍNDICE(Configurações!$B$35:$B$46;MÊS(A118)))</f>
        <v/>
      </c>
      <c r="D118" s="17" t="n"/>
      <c r="E118" s="3" t="n"/>
      <c r="F118" s="3" t="n"/>
      <c r="G118" s="3" t="n"/>
    </row>
    <row r="119">
      <c r="A119" s="15" t="n"/>
      <c r="B119" s="3" t="n"/>
      <c r="C119" s="4">
        <f>SE(A119="";"";ÍNDICE(Configurações!$B$35:$B$46;MÊS(A119)))</f>
        <v/>
      </c>
      <c r="D119" s="17" t="n"/>
      <c r="E119" s="3" t="n"/>
      <c r="F119" s="3" t="n"/>
      <c r="G119" s="3" t="n"/>
    </row>
    <row r="120">
      <c r="A120" s="15" t="n"/>
      <c r="B120" s="3" t="n"/>
      <c r="C120" s="4">
        <f>SE(A120="";"";ÍNDICE(Configurações!$B$35:$B$46;MÊS(A120)))</f>
        <v/>
      </c>
      <c r="D120" s="17" t="n"/>
      <c r="E120" s="3" t="n"/>
      <c r="F120" s="3" t="n"/>
      <c r="G120" s="3" t="n"/>
    </row>
    <row r="121">
      <c r="A121" s="15" t="n"/>
      <c r="B121" s="3" t="n"/>
      <c r="C121" s="4">
        <f>SE(A121="";"";ÍNDICE(Configurações!$B$35:$B$46;MÊS(A121)))</f>
        <v/>
      </c>
      <c r="D121" s="17" t="n"/>
      <c r="E121" s="3" t="n"/>
      <c r="F121" s="3" t="n"/>
      <c r="G121" s="3" t="n"/>
    </row>
    <row r="122">
      <c r="A122" s="15" t="n"/>
      <c r="B122" s="3" t="n"/>
      <c r="C122" s="4">
        <f>SE(A122="";"";ÍNDICE(Configurações!$B$35:$B$46;MÊS(A122)))</f>
        <v/>
      </c>
      <c r="D122" s="17" t="n"/>
      <c r="E122" s="3" t="n"/>
      <c r="F122" s="3" t="n"/>
      <c r="G122" s="3" t="n"/>
    </row>
    <row r="123">
      <c r="A123" s="15" t="n"/>
      <c r="B123" s="3" t="n"/>
      <c r="C123" s="4">
        <f>SE(A123="";"";ÍNDICE(Configurações!$B$35:$B$46;MÊS(A123)))</f>
        <v/>
      </c>
      <c r="D123" s="17" t="n"/>
      <c r="E123" s="3" t="n"/>
      <c r="F123" s="3" t="n"/>
      <c r="G123" s="3" t="n"/>
    </row>
    <row r="124">
      <c r="A124" s="15" t="n"/>
      <c r="B124" s="3" t="n"/>
      <c r="C124" s="4">
        <f>SE(A124="";"";ÍNDICE(Configurações!$B$35:$B$46;MÊS(A124)))</f>
        <v/>
      </c>
      <c r="D124" s="17" t="n"/>
      <c r="E124" s="3" t="n"/>
      <c r="F124" s="3" t="n"/>
      <c r="G124" s="3" t="n"/>
    </row>
    <row r="125">
      <c r="A125" s="15" t="n"/>
      <c r="B125" s="3" t="n"/>
      <c r="C125" s="4">
        <f>SE(A125="";"";ÍNDICE(Configurações!$B$35:$B$46;MÊS(A125)))</f>
        <v/>
      </c>
      <c r="D125" s="17" t="n"/>
      <c r="E125" s="3" t="n"/>
      <c r="F125" s="3" t="n"/>
      <c r="G125" s="3" t="n"/>
    </row>
    <row r="126">
      <c r="A126" s="15" t="n"/>
      <c r="B126" s="3" t="n"/>
      <c r="C126" s="4">
        <f>SE(A126="";"";ÍNDICE(Configurações!$B$35:$B$46;MÊS(A126)))</f>
        <v/>
      </c>
      <c r="D126" s="17" t="n"/>
      <c r="E126" s="3" t="n"/>
      <c r="F126" s="3" t="n"/>
      <c r="G126" s="3" t="n"/>
    </row>
    <row r="127">
      <c r="A127" s="15" t="n"/>
      <c r="B127" s="3" t="n"/>
      <c r="C127" s="4">
        <f>SE(A127="";"";ÍNDICE(Configurações!$B$35:$B$46;MÊS(A127)))</f>
        <v/>
      </c>
      <c r="D127" s="17" t="n"/>
      <c r="E127" s="3" t="n"/>
      <c r="F127" s="3" t="n"/>
      <c r="G127" s="3" t="n"/>
    </row>
    <row r="128">
      <c r="A128" s="15" t="n"/>
      <c r="B128" s="3" t="n"/>
      <c r="C128" s="4">
        <f>SE(A128="";"";ÍNDICE(Configurações!$B$35:$B$46;MÊS(A128)))</f>
        <v/>
      </c>
      <c r="D128" s="17" t="n"/>
      <c r="E128" s="3" t="n"/>
      <c r="F128" s="3" t="n"/>
      <c r="G128" s="3" t="n"/>
    </row>
    <row r="129">
      <c r="A129" s="15" t="n"/>
      <c r="B129" s="3" t="n"/>
      <c r="C129" s="4">
        <f>SE(A129="";"";ÍNDICE(Configurações!$B$35:$B$46;MÊS(A129)))</f>
        <v/>
      </c>
      <c r="D129" s="17" t="n"/>
      <c r="E129" s="3" t="n"/>
      <c r="F129" s="3" t="n"/>
      <c r="G129" s="3" t="n"/>
    </row>
    <row r="130">
      <c r="A130" s="15" t="n"/>
      <c r="B130" s="3" t="n"/>
      <c r="C130" s="4">
        <f>SE(A130="";"";ÍNDICE(Configurações!$B$35:$B$46;MÊS(A130)))</f>
        <v/>
      </c>
      <c r="D130" s="17" t="n"/>
      <c r="E130" s="3" t="n"/>
      <c r="F130" s="3" t="n"/>
      <c r="G130" s="3" t="n"/>
    </row>
    <row r="131">
      <c r="A131" s="15" t="n"/>
      <c r="B131" s="3" t="n"/>
      <c r="C131" s="4">
        <f>SE(A131="";"";ÍNDICE(Configurações!$B$35:$B$46;MÊS(A131)))</f>
        <v/>
      </c>
      <c r="D131" s="17" t="n"/>
      <c r="E131" s="3" t="n"/>
      <c r="F131" s="3" t="n"/>
      <c r="G131" s="3" t="n"/>
    </row>
    <row r="132">
      <c r="A132" s="15" t="n"/>
      <c r="B132" s="3" t="n"/>
      <c r="C132" s="4">
        <f>SE(A132="";"";ÍNDICE(Configurações!$B$35:$B$46;MÊS(A132)))</f>
        <v/>
      </c>
      <c r="D132" s="17" t="n"/>
      <c r="E132" s="3" t="n"/>
      <c r="F132" s="3" t="n"/>
      <c r="G132" s="3" t="n"/>
    </row>
    <row r="133">
      <c r="A133" s="15" t="n"/>
      <c r="B133" s="3" t="n"/>
      <c r="C133" s="4">
        <f>SE(A133="";"";ÍNDICE(Configurações!$B$35:$B$46;MÊS(A133)))</f>
        <v/>
      </c>
      <c r="D133" s="17" t="n"/>
      <c r="E133" s="3" t="n"/>
      <c r="F133" s="3" t="n"/>
      <c r="G133" s="3" t="n"/>
    </row>
    <row r="134">
      <c r="A134" s="15" t="n"/>
      <c r="B134" s="3" t="n"/>
      <c r="C134" s="4">
        <f>SE(A134="";"";ÍNDICE(Configurações!$B$35:$B$46;MÊS(A134)))</f>
        <v/>
      </c>
      <c r="D134" s="17" t="n"/>
      <c r="E134" s="3" t="n"/>
      <c r="F134" s="3" t="n"/>
      <c r="G134" s="3" t="n"/>
    </row>
    <row r="135">
      <c r="A135" s="15" t="n"/>
      <c r="B135" s="3" t="n"/>
      <c r="C135" s="4">
        <f>SE(A135="";"";ÍNDICE(Configurações!$B$35:$B$46;MÊS(A135)))</f>
        <v/>
      </c>
      <c r="D135" s="17" t="n"/>
      <c r="E135" s="3" t="n"/>
      <c r="F135" s="3" t="n"/>
      <c r="G135" s="3" t="n"/>
    </row>
    <row r="136">
      <c r="A136" s="15" t="n"/>
      <c r="B136" s="3" t="n"/>
      <c r="C136" s="4">
        <f>SE(A136="";"";ÍNDICE(Configurações!$B$35:$B$46;MÊS(A136)))</f>
        <v/>
      </c>
      <c r="D136" s="17" t="n"/>
      <c r="E136" s="3" t="n"/>
      <c r="F136" s="3" t="n"/>
      <c r="G136" s="3" t="n"/>
    </row>
    <row r="137">
      <c r="A137" s="15" t="n"/>
      <c r="B137" s="3" t="n"/>
      <c r="C137" s="4">
        <f>SE(A137="";"";ÍNDICE(Configurações!$B$35:$B$46;MÊS(A137)))</f>
        <v/>
      </c>
      <c r="D137" s="17" t="n"/>
      <c r="E137" s="3" t="n"/>
      <c r="F137" s="3" t="n"/>
      <c r="G137" s="3" t="n"/>
    </row>
    <row r="138">
      <c r="A138" s="15" t="n"/>
      <c r="B138" s="3" t="n"/>
      <c r="C138" s="4">
        <f>SE(A138="";"";ÍNDICE(Configurações!$B$35:$B$46;MÊS(A138)))</f>
        <v/>
      </c>
      <c r="D138" s="17" t="n"/>
      <c r="E138" s="3" t="n"/>
      <c r="F138" s="3" t="n"/>
      <c r="G138" s="3" t="n"/>
    </row>
    <row r="139">
      <c r="A139" s="15" t="n"/>
      <c r="B139" s="3" t="n"/>
      <c r="C139" s="4">
        <f>SE(A139="";"";ÍNDICE(Configurações!$B$35:$B$46;MÊS(A139)))</f>
        <v/>
      </c>
      <c r="D139" s="17" t="n"/>
      <c r="E139" s="3" t="n"/>
      <c r="F139" s="3" t="n"/>
      <c r="G139" s="3" t="n"/>
    </row>
    <row r="140">
      <c r="A140" s="15" t="n"/>
      <c r="B140" s="3" t="n"/>
      <c r="C140" s="4">
        <f>SE(A140="";"";ÍNDICE(Configurações!$B$35:$B$46;MÊS(A140)))</f>
        <v/>
      </c>
      <c r="D140" s="17" t="n"/>
      <c r="E140" s="3" t="n"/>
      <c r="F140" s="3" t="n"/>
      <c r="G140" s="3" t="n"/>
    </row>
    <row r="141">
      <c r="A141" s="15" t="n"/>
      <c r="B141" s="3" t="n"/>
      <c r="C141" s="4">
        <f>SE(A141="";"";ÍNDICE(Configurações!$B$35:$B$46;MÊS(A141)))</f>
        <v/>
      </c>
      <c r="D141" s="17" t="n"/>
      <c r="E141" s="3" t="n"/>
      <c r="F141" s="3" t="n"/>
      <c r="G141" s="3" t="n"/>
    </row>
    <row r="142">
      <c r="A142" s="15" t="n"/>
      <c r="B142" s="3" t="n"/>
      <c r="C142" s="4">
        <f>SE(A142="";"";ÍNDICE(Configurações!$B$35:$B$46;MÊS(A142)))</f>
        <v/>
      </c>
      <c r="D142" s="17" t="n"/>
      <c r="E142" s="3" t="n"/>
      <c r="F142" s="3" t="n"/>
      <c r="G142" s="3" t="n"/>
    </row>
    <row r="143">
      <c r="A143" s="15" t="n"/>
      <c r="B143" s="3" t="n"/>
      <c r="C143" s="4">
        <f>SE(A143="";"";ÍNDICE(Configurações!$B$35:$B$46;MÊS(A143)))</f>
        <v/>
      </c>
      <c r="D143" s="17" t="n"/>
      <c r="E143" s="3" t="n"/>
      <c r="F143" s="3" t="n"/>
      <c r="G143" s="3" t="n"/>
    </row>
    <row r="144">
      <c r="A144" s="15" t="n"/>
      <c r="B144" s="3" t="n"/>
      <c r="C144" s="4">
        <f>SE(A144="";"";ÍNDICE(Configurações!$B$35:$B$46;MÊS(A144)))</f>
        <v/>
      </c>
      <c r="D144" s="17" t="n"/>
      <c r="E144" s="3" t="n"/>
      <c r="F144" s="3" t="n"/>
      <c r="G144" s="3" t="n"/>
    </row>
    <row r="145">
      <c r="A145" s="15" t="n"/>
      <c r="B145" s="3" t="n"/>
      <c r="C145" s="4">
        <f>SE(A145="";"";ÍNDICE(Configurações!$B$35:$B$46;MÊS(A145)))</f>
        <v/>
      </c>
      <c r="D145" s="17" t="n"/>
      <c r="E145" s="3" t="n"/>
      <c r="F145" s="3" t="n"/>
      <c r="G145" s="3" t="n"/>
    </row>
    <row r="146">
      <c r="A146" s="15" t="n"/>
      <c r="B146" s="3" t="n"/>
      <c r="C146" s="4">
        <f>SE(A146="";"";ÍNDICE(Configurações!$B$35:$B$46;MÊS(A146)))</f>
        <v/>
      </c>
      <c r="D146" s="17" t="n"/>
      <c r="E146" s="3" t="n"/>
      <c r="F146" s="3" t="n"/>
      <c r="G146" s="3" t="n"/>
    </row>
    <row r="147">
      <c r="A147" s="15" t="n"/>
      <c r="B147" s="3" t="n"/>
      <c r="C147" s="4">
        <f>SE(A147="";"";ÍNDICE(Configurações!$B$35:$B$46;MÊS(A147)))</f>
        <v/>
      </c>
      <c r="D147" s="17" t="n"/>
      <c r="E147" s="3" t="n"/>
      <c r="F147" s="3" t="n"/>
      <c r="G147" s="3" t="n"/>
    </row>
    <row r="148">
      <c r="A148" s="15" t="n"/>
      <c r="B148" s="3" t="n"/>
      <c r="C148" s="4">
        <f>SE(A148="";"";ÍNDICE(Configurações!$B$35:$B$46;MÊS(A148)))</f>
        <v/>
      </c>
      <c r="D148" s="17" t="n"/>
      <c r="E148" s="3" t="n"/>
      <c r="F148" s="3" t="n"/>
      <c r="G148" s="3" t="n"/>
    </row>
    <row r="149">
      <c r="A149" s="15" t="n"/>
      <c r="B149" s="3" t="n"/>
      <c r="C149" s="4">
        <f>SE(A149="";"";ÍNDICE(Configurações!$B$35:$B$46;MÊS(A149)))</f>
        <v/>
      </c>
      <c r="D149" s="17" t="n"/>
      <c r="E149" s="3" t="n"/>
      <c r="F149" s="3" t="n"/>
      <c r="G149" s="3" t="n"/>
    </row>
    <row r="150">
      <c r="A150" s="15" t="n"/>
      <c r="B150" s="3" t="n"/>
      <c r="C150" s="4">
        <f>SE(A150="";"";ÍNDICE(Configurações!$B$35:$B$46;MÊS(A150)))</f>
        <v/>
      </c>
      <c r="D150" s="17" t="n"/>
      <c r="E150" s="3" t="n"/>
      <c r="F150" s="3" t="n"/>
      <c r="G150" s="3" t="n"/>
    </row>
    <row r="151">
      <c r="A151" s="15" t="n"/>
      <c r="B151" s="3" t="n"/>
      <c r="C151" s="4">
        <f>SE(A151="";"";ÍNDICE(Configurações!$B$35:$B$46;MÊS(A151)))</f>
        <v/>
      </c>
      <c r="D151" s="17" t="n"/>
      <c r="E151" s="3" t="n"/>
      <c r="F151" s="3" t="n"/>
      <c r="G151" s="3" t="n"/>
    </row>
    <row r="152">
      <c r="A152" s="15" t="n"/>
      <c r="B152" s="3" t="n"/>
      <c r="C152" s="4">
        <f>SE(A152="";"";ÍNDICE(Configurações!$B$35:$B$46;MÊS(A152)))</f>
        <v/>
      </c>
      <c r="D152" s="17" t="n"/>
      <c r="E152" s="3" t="n"/>
      <c r="F152" s="3" t="n"/>
      <c r="G152" s="3" t="n"/>
    </row>
    <row r="153">
      <c r="A153" s="15" t="n"/>
      <c r="B153" s="3" t="n"/>
      <c r="C153" s="4">
        <f>SE(A153="";"";ÍNDICE(Configurações!$B$35:$B$46;MÊS(A153)))</f>
        <v/>
      </c>
      <c r="D153" s="17" t="n"/>
      <c r="E153" s="3" t="n"/>
      <c r="F153" s="3" t="n"/>
      <c r="G153" s="3" t="n"/>
    </row>
    <row r="154">
      <c r="A154" s="15" t="n"/>
      <c r="B154" s="3" t="n"/>
      <c r="C154" s="4">
        <f>SE(A154="";"";ÍNDICE(Configurações!$B$35:$B$46;MÊS(A154)))</f>
        <v/>
      </c>
      <c r="D154" s="17" t="n"/>
      <c r="E154" s="3" t="n"/>
      <c r="F154" s="3" t="n"/>
      <c r="G154" s="3" t="n"/>
    </row>
    <row r="155">
      <c r="A155" s="15" t="n"/>
      <c r="B155" s="3" t="n"/>
      <c r="C155" s="4">
        <f>SE(A155="";"";ÍNDICE(Configurações!$B$35:$B$46;MÊS(A155)))</f>
        <v/>
      </c>
      <c r="D155" s="17" t="n"/>
      <c r="E155" s="3" t="n"/>
      <c r="F155" s="3" t="n"/>
      <c r="G155" s="3" t="n"/>
    </row>
    <row r="156">
      <c r="A156" s="15" t="n"/>
      <c r="B156" s="3" t="n"/>
      <c r="C156" s="4">
        <f>SE(A156="";"";ÍNDICE(Configurações!$B$35:$B$46;MÊS(A156)))</f>
        <v/>
      </c>
      <c r="D156" s="17" t="n"/>
      <c r="E156" s="3" t="n"/>
      <c r="F156" s="3" t="n"/>
      <c r="G156" s="3" t="n"/>
    </row>
    <row r="157">
      <c r="A157" s="15" t="n"/>
      <c r="B157" s="3" t="n"/>
      <c r="C157" s="4">
        <f>SE(A157="";"";ÍNDICE(Configurações!$B$35:$B$46;MÊS(A157)))</f>
        <v/>
      </c>
      <c r="D157" s="17" t="n"/>
      <c r="E157" s="3" t="n"/>
      <c r="F157" s="3" t="n"/>
      <c r="G157" s="3" t="n"/>
    </row>
    <row r="158">
      <c r="A158" s="15" t="n"/>
      <c r="B158" s="3" t="n"/>
      <c r="C158" s="4">
        <f>SE(A158="";"";ÍNDICE(Configurações!$B$35:$B$46;MÊS(A158)))</f>
        <v/>
      </c>
      <c r="D158" s="17" t="n"/>
      <c r="E158" s="3" t="n"/>
      <c r="F158" s="3" t="n"/>
      <c r="G158" s="3" t="n"/>
    </row>
    <row r="159">
      <c r="A159" s="15" t="n"/>
      <c r="B159" s="3" t="n"/>
      <c r="C159" s="4">
        <f>SE(A159="";"";ÍNDICE(Configurações!$B$35:$B$46;MÊS(A159)))</f>
        <v/>
      </c>
      <c r="D159" s="17" t="n"/>
      <c r="E159" s="3" t="n"/>
      <c r="F159" s="3" t="n"/>
      <c r="G159" s="3" t="n"/>
    </row>
    <row r="160">
      <c r="A160" s="15" t="n"/>
      <c r="B160" s="3" t="n"/>
      <c r="C160" s="4">
        <f>SE(A160="";"";ÍNDICE(Configurações!$B$35:$B$46;MÊS(A160)))</f>
        <v/>
      </c>
      <c r="D160" s="17" t="n"/>
      <c r="E160" s="3" t="n"/>
      <c r="F160" s="3" t="n"/>
      <c r="G160" s="3" t="n"/>
    </row>
    <row r="161">
      <c r="A161" s="15" t="n"/>
      <c r="B161" s="3" t="n"/>
      <c r="C161" s="4">
        <f>SE(A161="";"";ÍNDICE(Configurações!$B$35:$B$46;MÊS(A161)))</f>
        <v/>
      </c>
      <c r="D161" s="17" t="n"/>
      <c r="E161" s="3" t="n"/>
      <c r="F161" s="3" t="n"/>
      <c r="G161" s="3" t="n"/>
    </row>
    <row r="162">
      <c r="A162" s="15" t="n"/>
      <c r="B162" s="3" t="n"/>
      <c r="C162" s="4">
        <f>SE(A162="";"";ÍNDICE(Configurações!$B$35:$B$46;MÊS(A162)))</f>
        <v/>
      </c>
      <c r="D162" s="17" t="n"/>
      <c r="E162" s="3" t="n"/>
      <c r="F162" s="3" t="n"/>
      <c r="G162" s="3" t="n"/>
    </row>
    <row r="163">
      <c r="A163" s="15" t="n"/>
      <c r="B163" s="3" t="n"/>
      <c r="C163" s="4">
        <f>SE(A163="";"";ÍNDICE(Configurações!$B$35:$B$46;MÊS(A163)))</f>
        <v/>
      </c>
      <c r="D163" s="17" t="n"/>
      <c r="E163" s="3" t="n"/>
      <c r="F163" s="3" t="n"/>
      <c r="G163" s="3" t="n"/>
    </row>
    <row r="164">
      <c r="A164" s="15" t="n"/>
      <c r="B164" s="3" t="n"/>
      <c r="C164" s="4">
        <f>SE(A164="";"";ÍNDICE(Configurações!$B$35:$B$46;MÊS(A164)))</f>
        <v/>
      </c>
      <c r="D164" s="17" t="n"/>
      <c r="E164" s="3" t="n"/>
      <c r="F164" s="3" t="n"/>
      <c r="G164" s="3" t="n"/>
    </row>
    <row r="165">
      <c r="A165" s="15" t="n"/>
      <c r="B165" s="3" t="n"/>
      <c r="C165" s="4">
        <f>SE(A165="";"";ÍNDICE(Configurações!$B$35:$B$46;MÊS(A165)))</f>
        <v/>
      </c>
      <c r="D165" s="17" t="n"/>
      <c r="E165" s="3" t="n"/>
      <c r="F165" s="3" t="n"/>
      <c r="G165" s="3" t="n"/>
    </row>
    <row r="166">
      <c r="A166" s="15" t="n"/>
      <c r="B166" s="3" t="n"/>
      <c r="C166" s="4">
        <f>SE(A166="";"";ÍNDICE(Configurações!$B$35:$B$46;MÊS(A166)))</f>
        <v/>
      </c>
      <c r="D166" s="17" t="n"/>
      <c r="E166" s="3" t="n"/>
      <c r="F166" s="3" t="n"/>
      <c r="G166" s="3" t="n"/>
    </row>
    <row r="167">
      <c r="A167" s="15" t="n"/>
      <c r="B167" s="3" t="n"/>
      <c r="C167" s="4">
        <f>SE(A167="";"";ÍNDICE(Configurações!$B$35:$B$46;MÊS(A167)))</f>
        <v/>
      </c>
      <c r="D167" s="17" t="n"/>
      <c r="E167" s="3" t="n"/>
      <c r="F167" s="3" t="n"/>
      <c r="G167" s="3" t="n"/>
    </row>
    <row r="168">
      <c r="A168" s="15" t="n"/>
      <c r="B168" s="3" t="n"/>
      <c r="C168" s="4">
        <f>SE(A168="";"";ÍNDICE(Configurações!$B$35:$B$46;MÊS(A168)))</f>
        <v/>
      </c>
      <c r="D168" s="17" t="n"/>
      <c r="E168" s="3" t="n"/>
      <c r="F168" s="3" t="n"/>
      <c r="G168" s="3" t="n"/>
    </row>
    <row r="169">
      <c r="A169" s="15" t="n"/>
      <c r="B169" s="3" t="n"/>
      <c r="C169" s="4">
        <f>SE(A169="";"";ÍNDICE(Configurações!$B$35:$B$46;MÊS(A169)))</f>
        <v/>
      </c>
      <c r="D169" s="17" t="n"/>
      <c r="E169" s="3" t="n"/>
      <c r="F169" s="3" t="n"/>
      <c r="G169" s="3" t="n"/>
    </row>
    <row r="170">
      <c r="A170" s="15" t="n"/>
      <c r="B170" s="3" t="n"/>
      <c r="C170" s="4">
        <f>SE(A170="";"";ÍNDICE(Configurações!$B$35:$B$46;MÊS(A170)))</f>
        <v/>
      </c>
      <c r="D170" s="17" t="n"/>
      <c r="E170" s="3" t="n"/>
      <c r="F170" s="3" t="n"/>
      <c r="G170" s="3" t="n"/>
    </row>
    <row r="171">
      <c r="A171" s="15" t="n"/>
      <c r="B171" s="3" t="n"/>
      <c r="C171" s="4">
        <f>SE(A171="";"";ÍNDICE(Configurações!$B$35:$B$46;MÊS(A171)))</f>
        <v/>
      </c>
      <c r="D171" s="17" t="n"/>
      <c r="E171" s="3" t="n"/>
      <c r="F171" s="3" t="n"/>
      <c r="G171" s="3" t="n"/>
    </row>
    <row r="172">
      <c r="A172" s="15" t="n"/>
      <c r="B172" s="3" t="n"/>
      <c r="C172" s="4">
        <f>SE(A172="";"";ÍNDICE(Configurações!$B$35:$B$46;MÊS(A172)))</f>
        <v/>
      </c>
      <c r="D172" s="17" t="n"/>
      <c r="E172" s="3" t="n"/>
      <c r="F172" s="3" t="n"/>
      <c r="G172" s="3" t="n"/>
    </row>
    <row r="173">
      <c r="A173" s="15" t="n"/>
      <c r="B173" s="3" t="n"/>
      <c r="C173" s="4">
        <f>SE(A173="";"";ÍNDICE(Configurações!$B$35:$B$46;MÊS(A173)))</f>
        <v/>
      </c>
      <c r="D173" s="17" t="n"/>
      <c r="E173" s="3" t="n"/>
      <c r="F173" s="3" t="n"/>
      <c r="G173" s="3" t="n"/>
    </row>
    <row r="174">
      <c r="A174" s="15" t="n"/>
      <c r="B174" s="3" t="n"/>
      <c r="C174" s="4">
        <f>SE(A174="";"";ÍNDICE(Configurações!$B$35:$B$46;MÊS(A174)))</f>
        <v/>
      </c>
      <c r="D174" s="17" t="n"/>
      <c r="E174" s="3" t="n"/>
      <c r="F174" s="3" t="n"/>
      <c r="G174" s="3" t="n"/>
    </row>
    <row r="175">
      <c r="A175" s="15" t="n"/>
      <c r="B175" s="3" t="n"/>
      <c r="C175" s="4">
        <f>SE(A175="";"";ÍNDICE(Configurações!$B$35:$B$46;MÊS(A175)))</f>
        <v/>
      </c>
      <c r="D175" s="17" t="n"/>
      <c r="E175" s="3" t="n"/>
      <c r="F175" s="3" t="n"/>
      <c r="G175" s="3" t="n"/>
    </row>
    <row r="176">
      <c r="A176" s="15" t="n"/>
      <c r="B176" s="3" t="n"/>
      <c r="C176" s="4">
        <f>SE(A176="";"";ÍNDICE(Configurações!$B$35:$B$46;MÊS(A176)))</f>
        <v/>
      </c>
      <c r="D176" s="17" t="n"/>
      <c r="E176" s="3" t="n"/>
      <c r="F176" s="3" t="n"/>
      <c r="G176" s="3" t="n"/>
    </row>
    <row r="177">
      <c r="A177" s="15" t="n"/>
      <c r="B177" s="3" t="n"/>
      <c r="C177" s="4">
        <f>SE(A177="";"";ÍNDICE(Configurações!$B$35:$B$46;MÊS(A177)))</f>
        <v/>
      </c>
      <c r="D177" s="17" t="n"/>
      <c r="E177" s="3" t="n"/>
      <c r="F177" s="3" t="n"/>
      <c r="G177" s="3" t="n"/>
    </row>
    <row r="178">
      <c r="A178" s="15" t="n"/>
      <c r="B178" s="3" t="n"/>
      <c r="C178" s="4">
        <f>SE(A178="";"";ÍNDICE(Configurações!$B$35:$B$46;MÊS(A178)))</f>
        <v/>
      </c>
      <c r="D178" s="17" t="n"/>
      <c r="E178" s="3" t="n"/>
      <c r="F178" s="3" t="n"/>
      <c r="G178" s="3" t="n"/>
    </row>
    <row r="179">
      <c r="A179" s="15" t="n"/>
      <c r="B179" s="3" t="n"/>
      <c r="C179" s="4">
        <f>SE(A179="";"";ÍNDICE(Configurações!$B$35:$B$46;MÊS(A179)))</f>
        <v/>
      </c>
      <c r="D179" s="17" t="n"/>
      <c r="E179" s="3" t="n"/>
      <c r="F179" s="3" t="n"/>
      <c r="G179" s="3" t="n"/>
    </row>
    <row r="180">
      <c r="A180" s="15" t="n"/>
      <c r="B180" s="3" t="n"/>
      <c r="C180" s="4">
        <f>SE(A180="";"";ÍNDICE(Configurações!$B$35:$B$46;MÊS(A180)))</f>
        <v/>
      </c>
      <c r="D180" s="17" t="n"/>
      <c r="E180" s="3" t="n"/>
      <c r="F180" s="3" t="n"/>
      <c r="G180" s="3" t="n"/>
    </row>
    <row r="181">
      <c r="A181" s="15" t="n"/>
      <c r="B181" s="3" t="n"/>
      <c r="C181" s="4">
        <f>SE(A181="";"";ÍNDICE(Configurações!$B$35:$B$46;MÊS(A181)))</f>
        <v/>
      </c>
      <c r="D181" s="17" t="n"/>
      <c r="E181" s="3" t="n"/>
      <c r="F181" s="3" t="n"/>
      <c r="G181" s="3" t="n"/>
    </row>
    <row r="182">
      <c r="A182" s="15" t="n"/>
      <c r="B182" s="3" t="n"/>
      <c r="C182" s="4">
        <f>SE(A182="";"";ÍNDICE(Configurações!$B$35:$B$46;MÊS(A182)))</f>
        <v/>
      </c>
      <c r="D182" s="17" t="n"/>
      <c r="E182" s="3" t="n"/>
      <c r="F182" s="3" t="n"/>
      <c r="G182" s="3" t="n"/>
    </row>
    <row r="183">
      <c r="A183" s="15" t="n"/>
      <c r="B183" s="3" t="n"/>
      <c r="C183" s="4">
        <f>SE(A183="";"";ÍNDICE(Configurações!$B$35:$B$46;MÊS(A183)))</f>
        <v/>
      </c>
      <c r="D183" s="17" t="n"/>
      <c r="E183" s="3" t="n"/>
      <c r="F183" s="3" t="n"/>
      <c r="G183" s="3" t="n"/>
    </row>
    <row r="184">
      <c r="A184" s="15" t="n"/>
      <c r="B184" s="3" t="n"/>
      <c r="C184" s="4">
        <f>SE(A184="";"";ÍNDICE(Configurações!$B$35:$B$46;MÊS(A184)))</f>
        <v/>
      </c>
      <c r="D184" s="17" t="n"/>
      <c r="E184" s="3" t="n"/>
      <c r="F184" s="3" t="n"/>
      <c r="G184" s="3" t="n"/>
    </row>
    <row r="185">
      <c r="A185" s="15" t="n"/>
      <c r="B185" s="3" t="n"/>
      <c r="C185" s="4">
        <f>SE(A185="";"";ÍNDICE(Configurações!$B$35:$B$46;MÊS(A185)))</f>
        <v/>
      </c>
      <c r="D185" s="17" t="n"/>
      <c r="E185" s="3" t="n"/>
      <c r="F185" s="3" t="n"/>
      <c r="G185" s="3" t="n"/>
    </row>
    <row r="186">
      <c r="A186" s="15" t="n"/>
      <c r="B186" s="3" t="n"/>
      <c r="C186" s="4">
        <f>SE(A186="";"";ÍNDICE(Configurações!$B$35:$B$46;MÊS(A186)))</f>
        <v/>
      </c>
      <c r="D186" s="17" t="n"/>
      <c r="E186" s="3" t="n"/>
      <c r="F186" s="3" t="n"/>
      <c r="G186" s="3" t="n"/>
    </row>
    <row r="187">
      <c r="A187" s="15" t="n"/>
      <c r="B187" s="3" t="n"/>
      <c r="C187" s="4">
        <f>SE(A187="";"";ÍNDICE(Configurações!$B$35:$B$46;MÊS(A187)))</f>
        <v/>
      </c>
      <c r="D187" s="17" t="n"/>
      <c r="E187" s="3" t="n"/>
      <c r="F187" s="3" t="n"/>
      <c r="G187" s="3" t="n"/>
    </row>
    <row r="188">
      <c r="A188" s="15" t="n"/>
      <c r="B188" s="3" t="n"/>
      <c r="C188" s="4">
        <f>SE(A188="";"";ÍNDICE(Configurações!$B$35:$B$46;MÊS(A188)))</f>
        <v/>
      </c>
      <c r="D188" s="17" t="n"/>
      <c r="E188" s="3" t="n"/>
      <c r="F188" s="3" t="n"/>
      <c r="G188" s="3" t="n"/>
    </row>
    <row r="189">
      <c r="A189" s="15" t="n"/>
      <c r="B189" s="3" t="n"/>
      <c r="C189" s="4">
        <f>SE(A189="";"";ÍNDICE(Configurações!$B$35:$B$46;MÊS(A189)))</f>
        <v/>
      </c>
      <c r="D189" s="17" t="n"/>
      <c r="E189" s="3" t="n"/>
      <c r="F189" s="3" t="n"/>
      <c r="G189" s="3" t="n"/>
    </row>
    <row r="190">
      <c r="A190" s="15" t="n"/>
      <c r="B190" s="3" t="n"/>
      <c r="C190" s="4">
        <f>SE(A190="";"";ÍNDICE(Configurações!$B$35:$B$46;MÊS(A190)))</f>
        <v/>
      </c>
      <c r="D190" s="17" t="n"/>
      <c r="E190" s="3" t="n"/>
      <c r="F190" s="3" t="n"/>
      <c r="G190" s="3" t="n"/>
    </row>
    <row r="191">
      <c r="A191" s="15" t="n"/>
      <c r="B191" s="3" t="n"/>
      <c r="C191" s="4">
        <f>SE(A191="";"";ÍNDICE(Configurações!$B$35:$B$46;MÊS(A191)))</f>
        <v/>
      </c>
      <c r="D191" s="17" t="n"/>
      <c r="E191" s="3" t="n"/>
      <c r="F191" s="3" t="n"/>
      <c r="G191" s="3" t="n"/>
    </row>
    <row r="192">
      <c r="A192" s="15" t="n"/>
      <c r="B192" s="3" t="n"/>
      <c r="C192" s="4">
        <f>SE(A192="";"";ÍNDICE(Configurações!$B$35:$B$46;MÊS(A192)))</f>
        <v/>
      </c>
      <c r="D192" s="17" t="n"/>
      <c r="E192" s="3" t="n"/>
      <c r="F192" s="3" t="n"/>
      <c r="G192" s="3" t="n"/>
    </row>
    <row r="193">
      <c r="A193" s="15" t="n"/>
      <c r="B193" s="3" t="n"/>
      <c r="C193" s="4">
        <f>SE(A193="";"";ÍNDICE(Configurações!$B$35:$B$46;MÊS(A193)))</f>
        <v/>
      </c>
      <c r="D193" s="17" t="n"/>
      <c r="E193" s="3" t="n"/>
      <c r="F193" s="3" t="n"/>
      <c r="G193" s="3" t="n"/>
    </row>
    <row r="194">
      <c r="A194" s="15" t="n"/>
      <c r="B194" s="3" t="n"/>
      <c r="C194" s="4">
        <f>SE(A194="";"";ÍNDICE(Configurações!$B$35:$B$46;MÊS(A194)))</f>
        <v/>
      </c>
      <c r="D194" s="17" t="n"/>
      <c r="E194" s="3" t="n"/>
      <c r="F194" s="3" t="n"/>
      <c r="G194" s="3" t="n"/>
    </row>
    <row r="195">
      <c r="A195" s="15" t="n"/>
      <c r="B195" s="3" t="n"/>
      <c r="C195" s="4">
        <f>SE(A195="";"";ÍNDICE(Configurações!$B$35:$B$46;MÊS(A195)))</f>
        <v/>
      </c>
      <c r="D195" s="17" t="n"/>
      <c r="E195" s="3" t="n"/>
      <c r="F195" s="3" t="n"/>
      <c r="G195" s="3" t="n"/>
    </row>
    <row r="196">
      <c r="A196" s="15" t="n"/>
      <c r="B196" s="3" t="n"/>
      <c r="C196" s="4">
        <f>SE(A196="";"";ÍNDICE(Configurações!$B$35:$B$46;MÊS(A196)))</f>
        <v/>
      </c>
      <c r="D196" s="17" t="n"/>
      <c r="E196" s="3" t="n"/>
      <c r="F196" s="3" t="n"/>
      <c r="G196" s="3" t="n"/>
    </row>
    <row r="197">
      <c r="A197" s="15" t="n"/>
      <c r="B197" s="3" t="n"/>
      <c r="C197" s="4">
        <f>SE(A197="";"";ÍNDICE(Configurações!$B$35:$B$46;MÊS(A197)))</f>
        <v/>
      </c>
      <c r="D197" s="17" t="n"/>
      <c r="E197" s="3" t="n"/>
      <c r="F197" s="3" t="n"/>
      <c r="G197" s="3" t="n"/>
    </row>
    <row r="198">
      <c r="A198" s="15" t="n"/>
      <c r="B198" s="3" t="n"/>
      <c r="C198" s="4">
        <f>SE(A198="";"";ÍNDICE(Configurações!$B$35:$B$46;MÊS(A198)))</f>
        <v/>
      </c>
      <c r="D198" s="17" t="n"/>
      <c r="E198" s="3" t="n"/>
      <c r="F198" s="3" t="n"/>
      <c r="G198" s="3" t="n"/>
    </row>
    <row r="199">
      <c r="A199" s="15" t="n"/>
      <c r="B199" s="3" t="n"/>
      <c r="C199" s="4">
        <f>SE(A199="";"";ÍNDICE(Configurações!$B$35:$B$46;MÊS(A199)))</f>
        <v/>
      </c>
      <c r="D199" s="17" t="n"/>
      <c r="E199" s="3" t="n"/>
      <c r="F199" s="3" t="n"/>
      <c r="G199" s="3" t="n"/>
    </row>
    <row r="200">
      <c r="A200" s="15" t="n"/>
      <c r="B200" s="3" t="n"/>
      <c r="C200" s="4">
        <f>SE(A200="";"";ÍNDICE(Configurações!$B$35:$B$46;MÊS(A200)))</f>
        <v/>
      </c>
      <c r="D200" s="17" t="n"/>
      <c r="E200" s="3" t="n"/>
      <c r="F200" s="3" t="n"/>
      <c r="G200" s="3" t="n"/>
    </row>
    <row r="201">
      <c r="A201" s="15" t="n"/>
      <c r="B201" s="3" t="n"/>
      <c r="C201" s="4">
        <f>SE(A201="";"";ÍNDICE(Configurações!$B$35:$B$46;MÊS(A201)))</f>
        <v/>
      </c>
      <c r="D201" s="17" t="n"/>
      <c r="E201" s="3" t="n"/>
      <c r="F201" s="3" t="n"/>
      <c r="G201" s="3" t="n"/>
    </row>
    <row r="202">
      <c r="A202" s="15" t="n"/>
      <c r="B202" s="3" t="n"/>
      <c r="C202" s="4">
        <f>SE(A202="";"";ÍNDICE(Configurações!$B$35:$B$46;MÊS(A202)))</f>
        <v/>
      </c>
      <c r="D202" s="17" t="n"/>
      <c r="E202" s="3" t="n"/>
      <c r="F202" s="3" t="n"/>
      <c r="G202" s="3" t="n"/>
    </row>
    <row r="203">
      <c r="A203" s="15" t="n"/>
      <c r="B203" s="3" t="n"/>
      <c r="C203" s="4">
        <f>SE(A203="";"";ÍNDICE(Configurações!$B$35:$B$46;MÊS(A203)))</f>
        <v/>
      </c>
      <c r="D203" s="17" t="n"/>
      <c r="E203" s="3" t="n"/>
      <c r="F203" s="3" t="n"/>
      <c r="G203" s="3" t="n"/>
    </row>
    <row r="204">
      <c r="A204" s="15" t="n"/>
      <c r="B204" s="3" t="n"/>
      <c r="C204" s="4">
        <f>SE(A204="";"";ÍNDICE(Configurações!$B$35:$B$46;MÊS(A204)))</f>
        <v/>
      </c>
      <c r="D204" s="17" t="n"/>
      <c r="E204" s="3" t="n"/>
      <c r="F204" s="3" t="n"/>
      <c r="G204" s="3" t="n"/>
    </row>
    <row r="205">
      <c r="A205" s="15" t="n"/>
      <c r="B205" s="3" t="n"/>
      <c r="C205" s="4">
        <f>SE(A205="";"";ÍNDICE(Configurações!$B$35:$B$46;MÊS(A205)))</f>
        <v/>
      </c>
      <c r="D205" s="17" t="n"/>
      <c r="E205" s="3" t="n"/>
      <c r="F205" s="3" t="n"/>
      <c r="G205" s="3" t="n"/>
    </row>
    <row r="206">
      <c r="A206" s="15" t="n"/>
      <c r="B206" s="3" t="n"/>
      <c r="C206" s="4">
        <f>SE(A206="";"";ÍNDICE(Configurações!$B$35:$B$46;MÊS(A206)))</f>
        <v/>
      </c>
      <c r="D206" s="17" t="n"/>
      <c r="E206" s="3" t="n"/>
      <c r="F206" s="3" t="n"/>
      <c r="G206" s="3" t="n"/>
    </row>
    <row r="207">
      <c r="A207" s="15" t="n"/>
      <c r="B207" s="3" t="n"/>
      <c r="C207" s="4">
        <f>SE(A207="";"";ÍNDICE(Configurações!$B$35:$B$46;MÊS(A207)))</f>
        <v/>
      </c>
      <c r="D207" s="17" t="n"/>
      <c r="E207" s="3" t="n"/>
      <c r="F207" s="3" t="n"/>
      <c r="G207" s="3" t="n"/>
    </row>
    <row r="208">
      <c r="A208" s="15" t="n"/>
      <c r="B208" s="3" t="n"/>
      <c r="C208" s="4">
        <f>SE(A208="";"";ÍNDICE(Configurações!$B$35:$B$46;MÊS(A208)))</f>
        <v/>
      </c>
      <c r="D208" s="17" t="n"/>
      <c r="E208" s="3" t="n"/>
      <c r="F208" s="3" t="n"/>
      <c r="G208" s="3" t="n"/>
    </row>
    <row r="209">
      <c r="A209" s="15" t="n"/>
      <c r="B209" s="3" t="n"/>
      <c r="C209" s="4">
        <f>SE(A209="";"";ÍNDICE(Configurações!$B$35:$B$46;MÊS(A209)))</f>
        <v/>
      </c>
      <c r="D209" s="17" t="n"/>
      <c r="E209" s="3" t="n"/>
      <c r="F209" s="3" t="n"/>
      <c r="G209" s="3" t="n"/>
    </row>
    <row r="210">
      <c r="A210" s="15" t="n"/>
      <c r="B210" s="3" t="n"/>
      <c r="C210" s="4">
        <f>SE(A210="";"";ÍNDICE(Configurações!$B$35:$B$46;MÊS(A210)))</f>
        <v/>
      </c>
      <c r="D210" s="17" t="n"/>
      <c r="E210" s="3" t="n"/>
      <c r="F210" s="3" t="n"/>
      <c r="G210" s="3" t="n"/>
    </row>
    <row r="211">
      <c r="A211" s="15" t="n"/>
      <c r="B211" s="3" t="n"/>
      <c r="C211" s="4">
        <f>SE(A211="";"";ÍNDICE(Configurações!$B$35:$B$46;MÊS(A211)))</f>
        <v/>
      </c>
      <c r="D211" s="17" t="n"/>
      <c r="E211" s="3" t="n"/>
      <c r="F211" s="3" t="n"/>
      <c r="G211" s="3" t="n"/>
    </row>
    <row r="212">
      <c r="A212" s="15" t="n"/>
      <c r="B212" s="3" t="n"/>
      <c r="C212" s="4">
        <f>SE(A212="";"";ÍNDICE(Configurações!$B$35:$B$46;MÊS(A212)))</f>
        <v/>
      </c>
      <c r="D212" s="17" t="n"/>
      <c r="E212" s="3" t="n"/>
      <c r="F212" s="3" t="n"/>
      <c r="G212" s="3" t="n"/>
    </row>
    <row r="213">
      <c r="A213" s="15" t="n"/>
      <c r="B213" s="3" t="n"/>
      <c r="C213" s="4">
        <f>SE(A213="";"";ÍNDICE(Configurações!$B$35:$B$46;MÊS(A213)))</f>
        <v/>
      </c>
      <c r="D213" s="17" t="n"/>
      <c r="E213" s="3" t="n"/>
      <c r="F213" s="3" t="n"/>
      <c r="G213" s="3" t="n"/>
    </row>
    <row r="214">
      <c r="A214" s="15" t="n"/>
      <c r="B214" s="3" t="n"/>
      <c r="C214" s="4">
        <f>SE(A214="";"";ÍNDICE(Configurações!$B$35:$B$46;MÊS(A214)))</f>
        <v/>
      </c>
      <c r="D214" s="17" t="n"/>
      <c r="E214" s="3" t="n"/>
      <c r="F214" s="3" t="n"/>
      <c r="G214" s="3" t="n"/>
    </row>
    <row r="215">
      <c r="A215" s="15" t="n"/>
      <c r="B215" s="3" t="n"/>
      <c r="C215" s="4">
        <f>SE(A215="";"";ÍNDICE(Configurações!$B$35:$B$46;MÊS(A215)))</f>
        <v/>
      </c>
      <c r="D215" s="17" t="n"/>
      <c r="E215" s="3" t="n"/>
      <c r="F215" s="3" t="n"/>
      <c r="G215" s="3" t="n"/>
    </row>
    <row r="216">
      <c r="A216" s="15" t="n"/>
      <c r="B216" s="3" t="n"/>
      <c r="C216" s="4">
        <f>SE(A216="";"";ÍNDICE(Configurações!$B$35:$B$46;MÊS(A216)))</f>
        <v/>
      </c>
      <c r="D216" s="17" t="n"/>
      <c r="E216" s="3" t="n"/>
      <c r="F216" s="3" t="n"/>
      <c r="G216" s="3" t="n"/>
    </row>
    <row r="217">
      <c r="A217" s="15" t="n"/>
      <c r="B217" s="3" t="n"/>
      <c r="C217" s="4">
        <f>SE(A217="";"";ÍNDICE(Configurações!$B$35:$B$46;MÊS(A217)))</f>
        <v/>
      </c>
      <c r="D217" s="17" t="n"/>
      <c r="E217" s="3" t="n"/>
      <c r="F217" s="3" t="n"/>
      <c r="G217" s="3" t="n"/>
    </row>
    <row r="218">
      <c r="A218" s="15" t="n"/>
      <c r="B218" s="3" t="n"/>
      <c r="C218" s="4">
        <f>SE(A218="";"";ÍNDICE(Configurações!$B$35:$B$46;MÊS(A218)))</f>
        <v/>
      </c>
      <c r="D218" s="17" t="n"/>
      <c r="E218" s="3" t="n"/>
      <c r="F218" s="3" t="n"/>
      <c r="G218" s="3" t="n"/>
    </row>
    <row r="219">
      <c r="A219" s="15" t="n"/>
      <c r="B219" s="3" t="n"/>
      <c r="C219" s="4">
        <f>SE(A219="";"";ÍNDICE(Configurações!$B$35:$B$46;MÊS(A219)))</f>
        <v/>
      </c>
      <c r="D219" s="17" t="n"/>
      <c r="E219" s="3" t="n"/>
      <c r="F219" s="3" t="n"/>
      <c r="G219" s="3" t="n"/>
    </row>
    <row r="220">
      <c r="A220" s="15" t="n"/>
      <c r="B220" s="3" t="n"/>
      <c r="C220" s="4">
        <f>SE(A220="";"";ÍNDICE(Configurações!$B$35:$B$46;MÊS(A220)))</f>
        <v/>
      </c>
      <c r="D220" s="17" t="n"/>
      <c r="E220" s="3" t="n"/>
      <c r="F220" s="3" t="n"/>
      <c r="G220" s="3" t="n"/>
    </row>
    <row r="221">
      <c r="A221" s="15" t="n"/>
      <c r="B221" s="3" t="n"/>
      <c r="C221" s="4">
        <f>SE(A221="";"";ÍNDICE(Configurações!$B$35:$B$46;MÊS(A221)))</f>
        <v/>
      </c>
      <c r="D221" s="17" t="n"/>
      <c r="E221" s="3" t="n"/>
      <c r="F221" s="3" t="n"/>
      <c r="G221" s="3" t="n"/>
    </row>
    <row r="222">
      <c r="A222" s="15" t="n"/>
      <c r="B222" s="3" t="n"/>
      <c r="C222" s="4">
        <f>SE(A222="";"";ÍNDICE(Configurações!$B$35:$B$46;MÊS(A222)))</f>
        <v/>
      </c>
      <c r="D222" s="17" t="n"/>
      <c r="E222" s="3" t="n"/>
      <c r="F222" s="3" t="n"/>
      <c r="G222" s="3" t="n"/>
    </row>
    <row r="223">
      <c r="A223" s="15" t="n"/>
      <c r="B223" s="3" t="n"/>
      <c r="C223" s="4">
        <f>SE(A223="";"";ÍNDICE(Configurações!$B$35:$B$46;MÊS(A223)))</f>
        <v/>
      </c>
      <c r="D223" s="17" t="n"/>
      <c r="E223" s="3" t="n"/>
      <c r="F223" s="3" t="n"/>
      <c r="G223" s="3" t="n"/>
    </row>
    <row r="224">
      <c r="A224" s="15" t="n"/>
      <c r="B224" s="3" t="n"/>
      <c r="C224" s="4">
        <f>SE(A224="";"";ÍNDICE(Configurações!$B$35:$B$46;MÊS(A224)))</f>
        <v/>
      </c>
      <c r="D224" s="17" t="n"/>
      <c r="E224" s="3" t="n"/>
      <c r="F224" s="3" t="n"/>
      <c r="G224" s="3" t="n"/>
    </row>
    <row r="225">
      <c r="A225" s="15" t="n"/>
      <c r="B225" s="3" t="n"/>
      <c r="C225" s="4">
        <f>SE(A225="";"";ÍNDICE(Configurações!$B$35:$B$46;MÊS(A225)))</f>
        <v/>
      </c>
      <c r="D225" s="17" t="n"/>
      <c r="E225" s="3" t="n"/>
      <c r="F225" s="3" t="n"/>
      <c r="G225" s="3" t="n"/>
    </row>
    <row r="226">
      <c r="A226" s="15" t="n"/>
      <c r="B226" s="3" t="n"/>
      <c r="C226" s="4">
        <f>SE(A226="";"";ÍNDICE(Configurações!$B$35:$B$46;MÊS(A226)))</f>
        <v/>
      </c>
      <c r="D226" s="17" t="n"/>
      <c r="E226" s="3" t="n"/>
      <c r="F226" s="3" t="n"/>
      <c r="G226" s="3" t="n"/>
    </row>
    <row r="227">
      <c r="A227" s="15" t="n"/>
      <c r="B227" s="3" t="n"/>
      <c r="C227" s="4">
        <f>SE(A227="";"";ÍNDICE(Configurações!$B$35:$B$46;MÊS(A227)))</f>
        <v/>
      </c>
      <c r="D227" s="17" t="n"/>
      <c r="E227" s="3" t="n"/>
      <c r="F227" s="3" t="n"/>
      <c r="G227" s="3" t="n"/>
    </row>
    <row r="228">
      <c r="A228" s="15" t="n"/>
      <c r="B228" s="3" t="n"/>
      <c r="C228" s="4">
        <f>SE(A228="";"";ÍNDICE(Configurações!$B$35:$B$46;MÊS(A228)))</f>
        <v/>
      </c>
      <c r="D228" s="17" t="n"/>
      <c r="E228" s="3" t="n"/>
      <c r="F228" s="3" t="n"/>
      <c r="G228" s="3" t="n"/>
    </row>
    <row r="229">
      <c r="A229" s="15" t="n"/>
      <c r="B229" s="3" t="n"/>
      <c r="C229" s="4">
        <f>SE(A229="";"";ÍNDICE(Configurações!$B$35:$B$46;MÊS(A229)))</f>
        <v/>
      </c>
      <c r="D229" s="17" t="n"/>
      <c r="E229" s="3" t="n"/>
      <c r="F229" s="3" t="n"/>
      <c r="G229" s="3" t="n"/>
    </row>
    <row r="230">
      <c r="A230" s="15" t="n"/>
      <c r="B230" s="3" t="n"/>
      <c r="C230" s="4">
        <f>SE(A230="";"";ÍNDICE(Configurações!$B$35:$B$46;MÊS(A230)))</f>
        <v/>
      </c>
      <c r="D230" s="17" t="n"/>
      <c r="E230" s="3" t="n"/>
      <c r="F230" s="3" t="n"/>
      <c r="G230" s="3" t="n"/>
    </row>
    <row r="231">
      <c r="A231" s="15" t="n"/>
      <c r="B231" s="3" t="n"/>
      <c r="C231" s="4">
        <f>SE(A231="";"";ÍNDICE(Configurações!$B$35:$B$46;MÊS(A231)))</f>
        <v/>
      </c>
      <c r="D231" s="17" t="n"/>
      <c r="E231" s="3" t="n"/>
      <c r="F231" s="3" t="n"/>
      <c r="G231" s="3" t="n"/>
    </row>
    <row r="232">
      <c r="A232" s="15" t="n"/>
      <c r="B232" s="3" t="n"/>
      <c r="C232" s="4">
        <f>SE(A232="";"";ÍNDICE(Configurações!$B$35:$B$46;MÊS(A232)))</f>
        <v/>
      </c>
      <c r="D232" s="17" t="n"/>
      <c r="E232" s="3" t="n"/>
      <c r="F232" s="3" t="n"/>
      <c r="G232" s="3" t="n"/>
    </row>
    <row r="233">
      <c r="A233" s="15" t="n"/>
      <c r="B233" s="3" t="n"/>
      <c r="C233" s="4">
        <f>SE(A233="";"";ÍNDICE(Configurações!$B$35:$B$46;MÊS(A233)))</f>
        <v/>
      </c>
      <c r="D233" s="17" t="n"/>
      <c r="E233" s="3" t="n"/>
      <c r="F233" s="3" t="n"/>
      <c r="G233" s="3" t="n"/>
    </row>
    <row r="234">
      <c r="A234" s="15" t="n"/>
      <c r="B234" s="3" t="n"/>
      <c r="C234" s="4">
        <f>SE(A234="";"";ÍNDICE(Configurações!$B$35:$B$46;MÊS(A234)))</f>
        <v/>
      </c>
      <c r="D234" s="17" t="n"/>
      <c r="E234" s="3" t="n"/>
      <c r="F234" s="3" t="n"/>
      <c r="G234" s="3" t="n"/>
    </row>
    <row r="235">
      <c r="A235" s="15" t="n"/>
      <c r="B235" s="3" t="n"/>
      <c r="C235" s="4">
        <f>SE(A235="";"";ÍNDICE(Configurações!$B$35:$B$46;MÊS(A235)))</f>
        <v/>
      </c>
      <c r="D235" s="17" t="n"/>
      <c r="E235" s="3" t="n"/>
      <c r="F235" s="3" t="n"/>
      <c r="G235" s="3" t="n"/>
    </row>
    <row r="236">
      <c r="A236" s="15" t="n"/>
      <c r="B236" s="3" t="n"/>
      <c r="C236" s="4">
        <f>SE(A236="";"";ÍNDICE(Configurações!$B$35:$B$46;MÊS(A236)))</f>
        <v/>
      </c>
      <c r="D236" s="17" t="n"/>
      <c r="E236" s="3" t="n"/>
      <c r="F236" s="3" t="n"/>
      <c r="G236" s="3" t="n"/>
    </row>
    <row r="237">
      <c r="A237" s="15" t="n"/>
      <c r="B237" s="3" t="n"/>
      <c r="C237" s="4">
        <f>SE(A237="";"";ÍNDICE(Configurações!$B$35:$B$46;MÊS(A237)))</f>
        <v/>
      </c>
      <c r="D237" s="17" t="n"/>
      <c r="E237" s="3" t="n"/>
      <c r="F237" s="3" t="n"/>
      <c r="G237" s="3" t="n"/>
    </row>
    <row r="238">
      <c r="A238" s="15" t="n"/>
      <c r="B238" s="3" t="n"/>
      <c r="C238" s="4">
        <f>SE(A238="";"";ÍNDICE(Configurações!$B$35:$B$46;MÊS(A238)))</f>
        <v/>
      </c>
      <c r="D238" s="17" t="n"/>
      <c r="E238" s="3" t="n"/>
      <c r="F238" s="3" t="n"/>
      <c r="G238" s="3" t="n"/>
    </row>
    <row r="239">
      <c r="A239" s="15" t="n"/>
      <c r="B239" s="3" t="n"/>
      <c r="C239" s="4">
        <f>SE(A239="";"";ÍNDICE(Configurações!$B$35:$B$46;MÊS(A239)))</f>
        <v/>
      </c>
      <c r="D239" s="17" t="n"/>
      <c r="E239" s="3" t="n"/>
      <c r="F239" s="3" t="n"/>
      <c r="G239" s="3" t="n"/>
    </row>
    <row r="240">
      <c r="A240" s="15" t="n"/>
      <c r="B240" s="3" t="n"/>
      <c r="C240" s="4">
        <f>SE(A240="";"";ÍNDICE(Configurações!$B$35:$B$46;MÊS(A240)))</f>
        <v/>
      </c>
      <c r="D240" s="17" t="n"/>
      <c r="E240" s="3" t="n"/>
      <c r="F240" s="3" t="n"/>
      <c r="G240" s="3" t="n"/>
    </row>
    <row r="241">
      <c r="A241" s="15" t="n"/>
      <c r="B241" s="3" t="n"/>
      <c r="C241" s="4">
        <f>SE(A241="";"";ÍNDICE(Configurações!$B$35:$B$46;MÊS(A241)))</f>
        <v/>
      </c>
      <c r="D241" s="17" t="n"/>
      <c r="E241" s="3" t="n"/>
      <c r="F241" s="3" t="n"/>
      <c r="G241" s="3" t="n"/>
    </row>
    <row r="242">
      <c r="A242" s="15" t="n"/>
      <c r="B242" s="3" t="n"/>
      <c r="C242" s="4">
        <f>SE(A242="";"";ÍNDICE(Configurações!$B$35:$B$46;MÊS(A242)))</f>
        <v/>
      </c>
      <c r="D242" s="17" t="n"/>
      <c r="E242" s="3" t="n"/>
      <c r="F242" s="3" t="n"/>
      <c r="G242" s="3" t="n"/>
    </row>
    <row r="243">
      <c r="A243" s="15" t="n"/>
      <c r="B243" s="3" t="n"/>
      <c r="C243" s="4">
        <f>SE(A243="";"";ÍNDICE(Configurações!$B$35:$B$46;MÊS(A243)))</f>
        <v/>
      </c>
      <c r="D243" s="17" t="n"/>
      <c r="E243" s="3" t="n"/>
      <c r="F243" s="3" t="n"/>
      <c r="G243" s="3" t="n"/>
    </row>
    <row r="244">
      <c r="A244" s="15" t="n"/>
      <c r="B244" s="3" t="n"/>
      <c r="C244" s="4">
        <f>SE(A244="";"";ÍNDICE(Configurações!$B$35:$B$46;MÊS(A244)))</f>
        <v/>
      </c>
      <c r="D244" s="17" t="n"/>
      <c r="E244" s="3" t="n"/>
      <c r="F244" s="3" t="n"/>
      <c r="G244" s="3" t="n"/>
    </row>
    <row r="245">
      <c r="A245" s="15" t="n"/>
      <c r="B245" s="3" t="n"/>
      <c r="C245" s="4">
        <f>SE(A245="";"";ÍNDICE(Configurações!$B$35:$B$46;MÊS(A245)))</f>
        <v/>
      </c>
      <c r="D245" s="17" t="n"/>
      <c r="E245" s="3" t="n"/>
      <c r="F245" s="3" t="n"/>
      <c r="G245" s="3" t="n"/>
    </row>
    <row r="246">
      <c r="A246" s="15" t="n"/>
      <c r="B246" s="3" t="n"/>
      <c r="C246" s="4">
        <f>SE(A246="";"";ÍNDICE(Configurações!$B$35:$B$46;MÊS(A246)))</f>
        <v/>
      </c>
      <c r="D246" s="17" t="n"/>
      <c r="E246" s="3" t="n"/>
      <c r="F246" s="3" t="n"/>
      <c r="G246" s="3" t="n"/>
    </row>
    <row r="247">
      <c r="A247" s="15" t="n"/>
      <c r="B247" s="3" t="n"/>
      <c r="C247" s="4">
        <f>SE(A247="";"";ÍNDICE(Configurações!$B$35:$B$46;MÊS(A247)))</f>
        <v/>
      </c>
      <c r="D247" s="17" t="n"/>
      <c r="E247" s="3" t="n"/>
      <c r="F247" s="3" t="n"/>
      <c r="G247" s="3" t="n"/>
    </row>
    <row r="248">
      <c r="A248" s="15" t="n"/>
      <c r="B248" s="3" t="n"/>
      <c r="C248" s="4">
        <f>SE(A248="";"";ÍNDICE(Configurações!$B$35:$B$46;MÊS(A248)))</f>
        <v/>
      </c>
      <c r="D248" s="17" t="n"/>
      <c r="E248" s="3" t="n"/>
      <c r="F248" s="3" t="n"/>
      <c r="G248" s="3" t="n"/>
    </row>
    <row r="249">
      <c r="A249" s="15" t="n"/>
      <c r="B249" s="3" t="n"/>
      <c r="C249" s="4">
        <f>SE(A249="";"";ÍNDICE(Configurações!$B$35:$B$46;MÊS(A249)))</f>
        <v/>
      </c>
      <c r="D249" s="17" t="n"/>
      <c r="E249" s="3" t="n"/>
      <c r="F249" s="3" t="n"/>
      <c r="G249" s="3" t="n"/>
    </row>
    <row r="250">
      <c r="A250" s="15" t="n"/>
      <c r="B250" s="3" t="n"/>
      <c r="C250" s="4">
        <f>SE(A250="";"";ÍNDICE(Configurações!$B$35:$B$46;MÊS(A250)))</f>
        <v/>
      </c>
      <c r="D250" s="17" t="n"/>
      <c r="E250" s="3" t="n"/>
      <c r="F250" s="3" t="n"/>
      <c r="G250" s="3" t="n"/>
    </row>
    <row r="251">
      <c r="A251" s="15" t="n"/>
      <c r="B251" s="3" t="n"/>
      <c r="C251" s="4">
        <f>SE(A251="";"";ÍNDICE(Configurações!$B$35:$B$46;MÊS(A251)))</f>
        <v/>
      </c>
      <c r="D251" s="17" t="n"/>
      <c r="E251" s="3" t="n"/>
      <c r="F251" s="3" t="n"/>
      <c r="G251" s="3" t="n"/>
    </row>
    <row r="252">
      <c r="A252" s="15" t="n"/>
      <c r="B252" s="3" t="n"/>
      <c r="C252" s="4">
        <f>SE(A252="";"";ÍNDICE(Configurações!$B$35:$B$46;MÊS(A252)))</f>
        <v/>
      </c>
      <c r="D252" s="17" t="n"/>
      <c r="E252" s="3" t="n"/>
      <c r="F252" s="3" t="n"/>
      <c r="G252" s="3" t="n"/>
    </row>
    <row r="253">
      <c r="A253" s="15" t="n"/>
      <c r="B253" s="3" t="n"/>
      <c r="C253" s="4">
        <f>SE(A253="";"";ÍNDICE(Configurações!$B$35:$B$46;MÊS(A253)))</f>
        <v/>
      </c>
      <c r="D253" s="17" t="n"/>
      <c r="E253" s="3" t="n"/>
      <c r="F253" s="3" t="n"/>
      <c r="G253" s="3" t="n"/>
    </row>
    <row r="254">
      <c r="A254" s="15" t="n"/>
      <c r="B254" s="3" t="n"/>
      <c r="C254" s="4">
        <f>SE(A254="";"";ÍNDICE(Configurações!$B$35:$B$46;MÊS(A254)))</f>
        <v/>
      </c>
      <c r="D254" s="17" t="n"/>
      <c r="E254" s="3" t="n"/>
      <c r="F254" s="3" t="n"/>
      <c r="G254" s="3" t="n"/>
    </row>
    <row r="255">
      <c r="A255" s="15" t="n"/>
      <c r="B255" s="3" t="n"/>
      <c r="C255" s="4">
        <f>SE(A255="";"";ÍNDICE(Configurações!$B$35:$B$46;MÊS(A255)))</f>
        <v/>
      </c>
      <c r="D255" s="17" t="n"/>
      <c r="E255" s="3" t="n"/>
      <c r="F255" s="3" t="n"/>
      <c r="G255" s="3" t="n"/>
    </row>
    <row r="256">
      <c r="A256" s="15" t="n"/>
      <c r="B256" s="3" t="n"/>
      <c r="C256" s="4">
        <f>SE(A256="";"";ÍNDICE(Configurações!$B$35:$B$46;MÊS(A256)))</f>
        <v/>
      </c>
      <c r="D256" s="17" t="n"/>
      <c r="E256" s="3" t="n"/>
      <c r="F256" s="3" t="n"/>
      <c r="G256" s="3" t="n"/>
    </row>
    <row r="257">
      <c r="A257" s="15" t="n"/>
      <c r="B257" s="3" t="n"/>
      <c r="C257" s="4">
        <f>SE(A257="";"";ÍNDICE(Configurações!$B$35:$B$46;MÊS(A257)))</f>
        <v/>
      </c>
      <c r="D257" s="17" t="n"/>
      <c r="E257" s="3" t="n"/>
      <c r="F257" s="3" t="n"/>
      <c r="G257" s="3" t="n"/>
    </row>
    <row r="258">
      <c r="A258" s="15" t="n"/>
      <c r="B258" s="3" t="n"/>
      <c r="C258" s="4">
        <f>SE(A258="";"";ÍNDICE(Configurações!$B$35:$B$46;MÊS(A258)))</f>
        <v/>
      </c>
      <c r="D258" s="17" t="n"/>
      <c r="E258" s="3" t="n"/>
      <c r="F258" s="3" t="n"/>
      <c r="G258" s="3" t="n"/>
    </row>
    <row r="259">
      <c r="A259" s="15" t="n"/>
      <c r="B259" s="3" t="n"/>
      <c r="C259" s="4">
        <f>SE(A259="";"";ÍNDICE(Configurações!$B$35:$B$46;MÊS(A259)))</f>
        <v/>
      </c>
      <c r="D259" s="17" t="n"/>
      <c r="E259" s="3" t="n"/>
      <c r="F259" s="3" t="n"/>
      <c r="G259" s="3" t="n"/>
    </row>
    <row r="260">
      <c r="A260" s="15" t="n"/>
      <c r="B260" s="3" t="n"/>
      <c r="C260" s="4">
        <f>SE(A260="";"";ÍNDICE(Configurações!$B$35:$B$46;MÊS(A260)))</f>
        <v/>
      </c>
      <c r="D260" s="17" t="n"/>
      <c r="E260" s="3" t="n"/>
      <c r="F260" s="3" t="n"/>
      <c r="G260" s="3" t="n"/>
    </row>
    <row r="261">
      <c r="A261" s="15" t="n"/>
      <c r="B261" s="3" t="n"/>
      <c r="C261" s="4">
        <f>SE(A261="";"";ÍNDICE(Configurações!$B$35:$B$46;MÊS(A261)))</f>
        <v/>
      </c>
      <c r="D261" s="17" t="n"/>
      <c r="E261" s="3" t="n"/>
      <c r="F261" s="3" t="n"/>
      <c r="G261" s="3" t="n"/>
    </row>
    <row r="262">
      <c r="A262" s="15" t="n"/>
      <c r="B262" s="3" t="n"/>
      <c r="C262" s="4">
        <f>SE(A262="";"";ÍNDICE(Configurações!$B$35:$B$46;MÊS(A262)))</f>
        <v/>
      </c>
      <c r="D262" s="17" t="n"/>
      <c r="E262" s="3" t="n"/>
      <c r="F262" s="3" t="n"/>
      <c r="G262" s="3" t="n"/>
    </row>
    <row r="263">
      <c r="A263" s="15" t="n"/>
      <c r="B263" s="3" t="n"/>
      <c r="C263" s="4">
        <f>SE(A263="";"";ÍNDICE(Configurações!$B$35:$B$46;MÊS(A263)))</f>
        <v/>
      </c>
      <c r="D263" s="17" t="n"/>
      <c r="E263" s="3" t="n"/>
      <c r="F263" s="3" t="n"/>
      <c r="G263" s="3" t="n"/>
    </row>
    <row r="264">
      <c r="A264" s="15" t="n"/>
      <c r="B264" s="3" t="n"/>
      <c r="C264" s="4">
        <f>SE(A264="";"";ÍNDICE(Configurações!$B$35:$B$46;MÊS(A264)))</f>
        <v/>
      </c>
      <c r="D264" s="17" t="n"/>
      <c r="E264" s="3" t="n"/>
      <c r="F264" s="3" t="n"/>
      <c r="G264" s="3" t="n"/>
    </row>
    <row r="265">
      <c r="A265" s="15" t="n"/>
      <c r="B265" s="3" t="n"/>
      <c r="C265" s="4">
        <f>SE(A265="";"";ÍNDICE(Configurações!$B$35:$B$46;MÊS(A265)))</f>
        <v/>
      </c>
      <c r="D265" s="17" t="n"/>
      <c r="E265" s="3" t="n"/>
      <c r="F265" s="3" t="n"/>
      <c r="G265" s="3" t="n"/>
    </row>
    <row r="266">
      <c r="A266" s="15" t="n"/>
      <c r="B266" s="3" t="n"/>
      <c r="C266" s="4">
        <f>SE(A266="";"";ÍNDICE(Configurações!$B$35:$B$46;MÊS(A266)))</f>
        <v/>
      </c>
      <c r="D266" s="17" t="n"/>
      <c r="E266" s="3" t="n"/>
      <c r="F266" s="3" t="n"/>
      <c r="G266" s="3" t="n"/>
    </row>
    <row r="267">
      <c r="A267" s="15" t="n"/>
      <c r="B267" s="3" t="n"/>
      <c r="C267" s="4">
        <f>SE(A267="";"";ÍNDICE(Configurações!$B$35:$B$46;MÊS(A267)))</f>
        <v/>
      </c>
      <c r="D267" s="17" t="n"/>
      <c r="E267" s="3" t="n"/>
      <c r="F267" s="3" t="n"/>
      <c r="G267" s="3" t="n"/>
    </row>
    <row r="268">
      <c r="A268" s="15" t="n"/>
      <c r="B268" s="3" t="n"/>
      <c r="C268" s="4">
        <f>SE(A268="";"";ÍNDICE(Configurações!$B$35:$B$46;MÊS(A268)))</f>
        <v/>
      </c>
      <c r="D268" s="17" t="n"/>
      <c r="E268" s="3" t="n"/>
      <c r="F268" s="3" t="n"/>
      <c r="G268" s="3" t="n"/>
    </row>
    <row r="269">
      <c r="A269" s="15" t="n"/>
      <c r="B269" s="3" t="n"/>
      <c r="C269" s="4">
        <f>SE(A269="";"";ÍNDICE(Configurações!$B$35:$B$46;MÊS(A269)))</f>
        <v/>
      </c>
      <c r="D269" s="17" t="n"/>
      <c r="E269" s="3" t="n"/>
      <c r="F269" s="3" t="n"/>
      <c r="G269" s="3" t="n"/>
    </row>
    <row r="270">
      <c r="A270" s="15" t="n"/>
      <c r="B270" s="3" t="n"/>
      <c r="C270" s="4">
        <f>SE(A270="";"";ÍNDICE(Configurações!$B$35:$B$46;MÊS(A270)))</f>
        <v/>
      </c>
      <c r="D270" s="17" t="n"/>
      <c r="E270" s="3" t="n"/>
      <c r="F270" s="3" t="n"/>
      <c r="G270" s="3" t="n"/>
    </row>
    <row r="271">
      <c r="A271" s="15" t="n"/>
      <c r="B271" s="3" t="n"/>
      <c r="C271" s="4">
        <f>SE(A271="";"";ÍNDICE(Configurações!$B$35:$B$46;MÊS(A271)))</f>
        <v/>
      </c>
      <c r="D271" s="17" t="n"/>
      <c r="E271" s="3" t="n"/>
      <c r="F271" s="3" t="n"/>
      <c r="G271" s="3" t="n"/>
    </row>
    <row r="272">
      <c r="A272" s="15" t="n"/>
      <c r="B272" s="3" t="n"/>
      <c r="C272" s="4">
        <f>SE(A272="";"";ÍNDICE(Configurações!$B$35:$B$46;MÊS(A272)))</f>
        <v/>
      </c>
      <c r="D272" s="17" t="n"/>
      <c r="E272" s="3" t="n"/>
      <c r="F272" s="3" t="n"/>
      <c r="G272" s="3" t="n"/>
    </row>
    <row r="273">
      <c r="A273" s="15" t="n"/>
      <c r="B273" s="3" t="n"/>
      <c r="C273" s="4">
        <f>SE(A273="";"";ÍNDICE(Configurações!$B$35:$B$46;MÊS(A273)))</f>
        <v/>
      </c>
      <c r="D273" s="17" t="n"/>
      <c r="E273" s="3" t="n"/>
      <c r="F273" s="3" t="n"/>
      <c r="G273" s="3" t="n"/>
    </row>
    <row r="274">
      <c r="A274" s="15" t="n"/>
      <c r="B274" s="3" t="n"/>
      <c r="C274" s="4">
        <f>SE(A274="";"";ÍNDICE(Configurações!$B$35:$B$46;MÊS(A274)))</f>
        <v/>
      </c>
      <c r="D274" s="17" t="n"/>
      <c r="E274" s="3" t="n"/>
      <c r="F274" s="3" t="n"/>
      <c r="G274" s="3" t="n"/>
    </row>
    <row r="275">
      <c r="A275" s="15" t="n"/>
      <c r="B275" s="3" t="n"/>
      <c r="C275" s="4">
        <f>SE(A275="";"";ÍNDICE(Configurações!$B$35:$B$46;MÊS(A275)))</f>
        <v/>
      </c>
      <c r="D275" s="17" t="n"/>
      <c r="E275" s="3" t="n"/>
      <c r="F275" s="3" t="n"/>
      <c r="G275" s="3" t="n"/>
    </row>
    <row r="276">
      <c r="A276" s="15" t="n"/>
      <c r="B276" s="3" t="n"/>
      <c r="C276" s="4">
        <f>SE(A276="";"";ÍNDICE(Configurações!$B$35:$B$46;MÊS(A276)))</f>
        <v/>
      </c>
      <c r="D276" s="17" t="n"/>
      <c r="E276" s="3" t="n"/>
      <c r="F276" s="3" t="n"/>
      <c r="G276" s="3" t="n"/>
    </row>
    <row r="277">
      <c r="A277" s="15" t="n"/>
      <c r="B277" s="3" t="n"/>
      <c r="C277" s="4">
        <f>SE(A277="";"";ÍNDICE(Configurações!$B$35:$B$46;MÊS(A277)))</f>
        <v/>
      </c>
      <c r="D277" s="17" t="n"/>
      <c r="E277" s="3" t="n"/>
      <c r="F277" s="3" t="n"/>
      <c r="G277" s="3" t="n"/>
    </row>
    <row r="278">
      <c r="A278" s="15" t="n"/>
      <c r="B278" s="3" t="n"/>
      <c r="C278" s="4">
        <f>SE(A278="";"";ÍNDICE(Configurações!$B$35:$B$46;MÊS(A278)))</f>
        <v/>
      </c>
      <c r="D278" s="17" t="n"/>
      <c r="E278" s="3" t="n"/>
      <c r="F278" s="3" t="n"/>
      <c r="G278" s="3" t="n"/>
    </row>
    <row r="279">
      <c r="A279" s="15" t="n"/>
      <c r="B279" s="3" t="n"/>
      <c r="C279" s="4">
        <f>SE(A279="";"";ÍNDICE(Configurações!$B$35:$B$46;MÊS(A279)))</f>
        <v/>
      </c>
      <c r="D279" s="17" t="n"/>
      <c r="E279" s="3" t="n"/>
      <c r="F279" s="3" t="n"/>
      <c r="G279" s="3" t="n"/>
    </row>
    <row r="280">
      <c r="A280" s="15" t="n"/>
      <c r="B280" s="3" t="n"/>
      <c r="C280" s="4">
        <f>SE(A280="";"";ÍNDICE(Configurações!$B$35:$B$46;MÊS(A280)))</f>
        <v/>
      </c>
      <c r="D280" s="17" t="n"/>
      <c r="E280" s="3" t="n"/>
      <c r="F280" s="3" t="n"/>
      <c r="G280" s="3" t="n"/>
    </row>
    <row r="281">
      <c r="A281" s="15" t="n"/>
      <c r="B281" s="3" t="n"/>
      <c r="C281" s="4">
        <f>SE(A281="";"";ÍNDICE(Configurações!$B$35:$B$46;MÊS(A281)))</f>
        <v/>
      </c>
      <c r="D281" s="17" t="n"/>
      <c r="E281" s="3" t="n"/>
      <c r="F281" s="3" t="n"/>
      <c r="G281" s="3" t="n"/>
    </row>
    <row r="282">
      <c r="A282" s="15" t="n"/>
      <c r="B282" s="3" t="n"/>
      <c r="C282" s="4">
        <f>SE(A282="";"";ÍNDICE(Configurações!$B$35:$B$46;MÊS(A282)))</f>
        <v/>
      </c>
      <c r="D282" s="17" t="n"/>
      <c r="E282" s="3" t="n"/>
      <c r="F282" s="3" t="n"/>
      <c r="G282" s="3" t="n"/>
    </row>
    <row r="283">
      <c r="A283" s="15" t="n"/>
      <c r="B283" s="3" t="n"/>
      <c r="C283" s="4">
        <f>SE(A283="";"";ÍNDICE(Configurações!$B$35:$B$46;MÊS(A283)))</f>
        <v/>
      </c>
      <c r="D283" s="17" t="n"/>
      <c r="E283" s="3" t="n"/>
      <c r="F283" s="3" t="n"/>
      <c r="G283" s="3" t="n"/>
    </row>
    <row r="284">
      <c r="A284" s="15" t="n"/>
      <c r="B284" s="3" t="n"/>
      <c r="C284" s="4">
        <f>SE(A284="";"";ÍNDICE(Configurações!$B$35:$B$46;MÊS(A284)))</f>
        <v/>
      </c>
      <c r="D284" s="17" t="n"/>
      <c r="E284" s="3" t="n"/>
      <c r="F284" s="3" t="n"/>
      <c r="G284" s="3" t="n"/>
    </row>
    <row r="285">
      <c r="A285" s="15" t="n"/>
      <c r="B285" s="3" t="n"/>
      <c r="C285" s="4">
        <f>SE(A285="";"";ÍNDICE(Configurações!$B$35:$B$46;MÊS(A285)))</f>
        <v/>
      </c>
      <c r="D285" s="17" t="n"/>
      <c r="E285" s="3" t="n"/>
      <c r="F285" s="3" t="n"/>
      <c r="G285" s="3" t="n"/>
    </row>
    <row r="286">
      <c r="A286" s="15" t="n"/>
      <c r="B286" s="3" t="n"/>
      <c r="C286" s="4">
        <f>SE(A286="";"";ÍNDICE(Configurações!$B$35:$B$46;MÊS(A286)))</f>
        <v/>
      </c>
      <c r="D286" s="17" t="n"/>
      <c r="E286" s="3" t="n"/>
      <c r="F286" s="3" t="n"/>
      <c r="G286" s="3" t="n"/>
    </row>
    <row r="287">
      <c r="A287" s="15" t="n"/>
      <c r="B287" s="3" t="n"/>
      <c r="C287" s="4">
        <f>SE(A287="";"";ÍNDICE(Configurações!$B$35:$B$46;MÊS(A287)))</f>
        <v/>
      </c>
      <c r="D287" s="17" t="n"/>
      <c r="E287" s="3" t="n"/>
      <c r="F287" s="3" t="n"/>
      <c r="G287" s="3" t="n"/>
    </row>
    <row r="288">
      <c r="A288" s="15" t="n"/>
      <c r="B288" s="3" t="n"/>
      <c r="C288" s="4">
        <f>SE(A288="";"";ÍNDICE(Configurações!$B$35:$B$46;MÊS(A288)))</f>
        <v/>
      </c>
      <c r="D288" s="17" t="n"/>
      <c r="E288" s="3" t="n"/>
      <c r="F288" s="3" t="n"/>
      <c r="G288" s="3" t="n"/>
    </row>
    <row r="289">
      <c r="A289" s="15" t="n"/>
      <c r="B289" s="3" t="n"/>
      <c r="C289" s="4">
        <f>SE(A289="";"";ÍNDICE(Configurações!$B$35:$B$46;MÊS(A289)))</f>
        <v/>
      </c>
      <c r="D289" s="17" t="n"/>
      <c r="E289" s="3" t="n"/>
      <c r="F289" s="3" t="n"/>
      <c r="G289" s="3" t="n"/>
    </row>
    <row r="290">
      <c r="A290" s="15" t="n"/>
      <c r="B290" s="3" t="n"/>
      <c r="C290" s="4">
        <f>SE(A290="";"";ÍNDICE(Configurações!$B$35:$B$46;MÊS(A290)))</f>
        <v/>
      </c>
      <c r="D290" s="17" t="n"/>
      <c r="E290" s="3" t="n"/>
      <c r="F290" s="3" t="n"/>
      <c r="G290" s="3" t="n"/>
    </row>
    <row r="291">
      <c r="A291" s="15" t="n"/>
      <c r="B291" s="3" t="n"/>
      <c r="C291" s="4">
        <f>SE(A291="";"";ÍNDICE(Configurações!$B$35:$B$46;MÊS(A291)))</f>
        <v/>
      </c>
      <c r="D291" s="17" t="n"/>
      <c r="E291" s="3" t="n"/>
      <c r="F291" s="3" t="n"/>
      <c r="G291" s="3" t="n"/>
    </row>
    <row r="292">
      <c r="A292" s="15" t="n"/>
      <c r="B292" s="3" t="n"/>
      <c r="C292" s="4">
        <f>SE(A292="";"";ÍNDICE(Configurações!$B$35:$B$46;MÊS(A292)))</f>
        <v/>
      </c>
      <c r="D292" s="17" t="n"/>
      <c r="E292" s="3" t="n"/>
      <c r="F292" s="3" t="n"/>
      <c r="G292" s="3" t="n"/>
    </row>
    <row r="293">
      <c r="A293" s="15" t="n"/>
      <c r="B293" s="3" t="n"/>
      <c r="C293" s="4">
        <f>SE(A293="";"";ÍNDICE(Configurações!$B$35:$B$46;MÊS(A293)))</f>
        <v/>
      </c>
      <c r="D293" s="17" t="n"/>
      <c r="E293" s="3" t="n"/>
      <c r="F293" s="3" t="n"/>
      <c r="G293" s="3" t="n"/>
    </row>
    <row r="294">
      <c r="A294" s="15" t="n"/>
      <c r="B294" s="3" t="n"/>
      <c r="C294" s="4">
        <f>SE(A294="";"";ÍNDICE(Configurações!$B$35:$B$46;MÊS(A294)))</f>
        <v/>
      </c>
      <c r="D294" s="17" t="n"/>
      <c r="E294" s="3" t="n"/>
      <c r="F294" s="3" t="n"/>
      <c r="G294" s="3" t="n"/>
    </row>
    <row r="295">
      <c r="A295" s="15" t="n"/>
      <c r="B295" s="3" t="n"/>
      <c r="C295" s="4">
        <f>SE(A295="";"";ÍNDICE(Configurações!$B$35:$B$46;MÊS(A295)))</f>
        <v/>
      </c>
      <c r="D295" s="17" t="n"/>
      <c r="E295" s="3" t="n"/>
      <c r="F295" s="3" t="n"/>
      <c r="G295" s="3" t="n"/>
    </row>
    <row r="296">
      <c r="A296" s="15" t="n"/>
      <c r="B296" s="3" t="n"/>
      <c r="C296" s="4">
        <f>SE(A296="";"";ÍNDICE(Configurações!$B$35:$B$46;MÊS(A296)))</f>
        <v/>
      </c>
      <c r="D296" s="17" t="n"/>
      <c r="E296" s="3" t="n"/>
      <c r="F296" s="3" t="n"/>
      <c r="G296" s="3" t="n"/>
    </row>
    <row r="297">
      <c r="A297" s="15" t="n"/>
      <c r="B297" s="3" t="n"/>
      <c r="C297" s="4">
        <f>SE(A297="";"";ÍNDICE(Configurações!$B$35:$B$46;MÊS(A297)))</f>
        <v/>
      </c>
      <c r="D297" s="17" t="n"/>
      <c r="E297" s="3" t="n"/>
      <c r="F297" s="3" t="n"/>
      <c r="G297" s="3" t="n"/>
    </row>
    <row r="298">
      <c r="A298" s="15" t="n"/>
      <c r="B298" s="3" t="n"/>
      <c r="C298" s="4">
        <f>SE(A298="";"";ÍNDICE(Configurações!$B$35:$B$46;MÊS(A298)))</f>
        <v/>
      </c>
      <c r="D298" s="17" t="n"/>
      <c r="E298" s="3" t="n"/>
      <c r="F298" s="3" t="n"/>
      <c r="G298" s="3" t="n"/>
    </row>
    <row r="299">
      <c r="A299" s="15" t="n"/>
      <c r="B299" s="3" t="n"/>
      <c r="C299" s="4">
        <f>SE(A299="";"";ÍNDICE(Configurações!$B$35:$B$46;MÊS(A299)))</f>
        <v/>
      </c>
      <c r="D299" s="17" t="n"/>
      <c r="E299" s="3" t="n"/>
      <c r="F299" s="3" t="n"/>
      <c r="G299" s="3" t="n"/>
    </row>
    <row r="300">
      <c r="A300" s="15" t="n"/>
      <c r="B300" s="3" t="n"/>
      <c r="C300" s="4">
        <f>SE(A300="";"";ÍNDICE(Configurações!$B$35:$B$46;MÊS(A300)))</f>
        <v/>
      </c>
      <c r="D300" s="17" t="n"/>
      <c r="E300" s="3" t="n"/>
      <c r="F300" s="3" t="n"/>
      <c r="G300" s="3" t="n"/>
    </row>
    <row r="301">
      <c r="A301" s="15" t="n"/>
      <c r="B301" s="3" t="n"/>
      <c r="C301" s="4">
        <f>SE(A301="";"";ÍNDICE(Configurações!$B$35:$B$46;MÊS(A301)))</f>
        <v/>
      </c>
      <c r="D301" s="17" t="n"/>
      <c r="E301" s="3" t="n"/>
      <c r="F301" s="3" t="n"/>
      <c r="G301" s="3" t="n"/>
    </row>
    <row r="302">
      <c r="A302" s="15" t="n"/>
      <c r="B302" s="3" t="n"/>
      <c r="C302" s="4">
        <f>SE(A302="";"";ÍNDICE(Configurações!$B$35:$B$46;MÊS(A302)))</f>
        <v/>
      </c>
      <c r="D302" s="17" t="n"/>
      <c r="E302" s="3" t="n"/>
      <c r="F302" s="3" t="n"/>
      <c r="G302" s="3" t="n"/>
    </row>
    <row r="303">
      <c r="A303" s="15" t="n"/>
      <c r="B303" s="3" t="n"/>
      <c r="C303" s="4">
        <f>SE(A303="";"";ÍNDICE(Configurações!$B$35:$B$46;MÊS(A303)))</f>
        <v/>
      </c>
      <c r="D303" s="17" t="n"/>
      <c r="E303" s="3" t="n"/>
      <c r="F303" s="3" t="n"/>
      <c r="G303" s="3" t="n"/>
    </row>
    <row r="304">
      <c r="A304" s="15" t="n"/>
      <c r="B304" s="3" t="n"/>
      <c r="C304" s="4">
        <f>SE(A304="";"";ÍNDICE(Configurações!$B$35:$B$46;MÊS(A304)))</f>
        <v/>
      </c>
      <c r="D304" s="17" t="n"/>
      <c r="E304" s="3" t="n"/>
      <c r="F304" s="3" t="n"/>
      <c r="G304" s="3" t="n"/>
    </row>
    <row r="305">
      <c r="A305" s="15" t="n"/>
      <c r="B305" s="3" t="n"/>
      <c r="C305" s="4">
        <f>SE(A305="";"";ÍNDICE(Configurações!$B$35:$B$46;MÊS(A305)))</f>
        <v/>
      </c>
      <c r="D305" s="17" t="n"/>
      <c r="E305" s="3" t="n"/>
      <c r="F305" s="3" t="n"/>
      <c r="G305" s="3" t="n"/>
    </row>
    <row r="306">
      <c r="A306" s="15" t="n"/>
      <c r="B306" s="3" t="n"/>
      <c r="C306" s="4">
        <f>SE(A306="";"";ÍNDICE(Configurações!$B$35:$B$46;MÊS(A306)))</f>
        <v/>
      </c>
      <c r="D306" s="17" t="n"/>
      <c r="E306" s="3" t="n"/>
      <c r="F306" s="3" t="n"/>
      <c r="G306" s="3" t="n"/>
    </row>
    <row r="307">
      <c r="A307" s="15" t="n"/>
      <c r="B307" s="3" t="n"/>
      <c r="C307" s="4">
        <f>SE(A307="";"";ÍNDICE(Configurações!$B$35:$B$46;MÊS(A307)))</f>
        <v/>
      </c>
      <c r="D307" s="17" t="n"/>
      <c r="E307" s="3" t="n"/>
      <c r="F307" s="3" t="n"/>
      <c r="G307" s="3" t="n"/>
    </row>
    <row r="308">
      <c r="A308" s="15" t="n"/>
      <c r="B308" s="3" t="n"/>
      <c r="C308" s="4">
        <f>SE(A308="";"";ÍNDICE(Configurações!$B$35:$B$46;MÊS(A308)))</f>
        <v/>
      </c>
      <c r="D308" s="17" t="n"/>
      <c r="E308" s="3" t="n"/>
      <c r="F308" s="3" t="n"/>
      <c r="G308" s="3" t="n"/>
    </row>
    <row r="309">
      <c r="A309" s="15" t="n"/>
      <c r="B309" s="3" t="n"/>
      <c r="C309" s="4">
        <f>SE(A309="";"";ÍNDICE(Configurações!$B$35:$B$46;MÊS(A309)))</f>
        <v/>
      </c>
      <c r="D309" s="17" t="n"/>
      <c r="E309" s="3" t="n"/>
      <c r="F309" s="3" t="n"/>
      <c r="G309" s="3" t="n"/>
    </row>
    <row r="310">
      <c r="A310" s="15" t="n"/>
      <c r="B310" s="3" t="n"/>
      <c r="C310" s="4">
        <f>SE(A310="";"";ÍNDICE(Configurações!$B$35:$B$46;MÊS(A310)))</f>
        <v/>
      </c>
      <c r="D310" s="17" t="n"/>
      <c r="E310" s="3" t="n"/>
      <c r="F310" s="3" t="n"/>
      <c r="G310" s="3" t="n"/>
    </row>
    <row r="311">
      <c r="A311" s="15" t="n"/>
      <c r="B311" s="3" t="n"/>
      <c r="C311" s="4">
        <f>SE(A311="";"";ÍNDICE(Configurações!$B$35:$B$46;MÊS(A311)))</f>
        <v/>
      </c>
      <c r="D311" s="17" t="n"/>
      <c r="E311" s="3" t="n"/>
      <c r="F311" s="3" t="n"/>
      <c r="G311" s="3" t="n"/>
    </row>
    <row r="312">
      <c r="A312" s="15" t="n"/>
      <c r="B312" s="3" t="n"/>
      <c r="C312" s="4">
        <f>SE(A312="";"";ÍNDICE(Configurações!$B$35:$B$46;MÊS(A312)))</f>
        <v/>
      </c>
      <c r="D312" s="17" t="n"/>
      <c r="E312" s="3" t="n"/>
      <c r="F312" s="3" t="n"/>
      <c r="G312" s="3" t="n"/>
    </row>
    <row r="313">
      <c r="A313" s="15" t="n"/>
      <c r="B313" s="3" t="n"/>
      <c r="C313" s="4">
        <f>SE(A313="";"";ÍNDICE(Configurações!$B$35:$B$46;MÊS(A313)))</f>
        <v/>
      </c>
      <c r="D313" s="17" t="n"/>
      <c r="E313" s="3" t="n"/>
      <c r="F313" s="3" t="n"/>
      <c r="G313" s="3" t="n"/>
    </row>
    <row r="314">
      <c r="A314" s="15" t="n"/>
      <c r="B314" s="3" t="n"/>
      <c r="C314" s="4">
        <f>SE(A314="";"";ÍNDICE(Configurações!$B$35:$B$46;MÊS(A314)))</f>
        <v/>
      </c>
      <c r="D314" s="17" t="n"/>
      <c r="E314" s="3" t="n"/>
      <c r="F314" s="3" t="n"/>
      <c r="G314" s="3" t="n"/>
    </row>
    <row r="315">
      <c r="A315" s="15" t="n"/>
      <c r="B315" s="3" t="n"/>
      <c r="C315" s="4">
        <f>SE(A315="";"";ÍNDICE(Configurações!$B$35:$B$46;MÊS(A315)))</f>
        <v/>
      </c>
      <c r="D315" s="17" t="n"/>
      <c r="E315" s="3" t="n"/>
      <c r="F315" s="3" t="n"/>
      <c r="G315" s="3" t="n"/>
    </row>
    <row r="316">
      <c r="A316" s="15" t="n"/>
      <c r="B316" s="3" t="n"/>
      <c r="C316" s="4">
        <f>SE(A316="";"";ÍNDICE(Configurações!$B$35:$B$46;MÊS(A316)))</f>
        <v/>
      </c>
      <c r="D316" s="17" t="n"/>
      <c r="E316" s="3" t="n"/>
      <c r="F316" s="3" t="n"/>
      <c r="G316" s="3" t="n"/>
    </row>
    <row r="317">
      <c r="A317" s="15" t="n"/>
      <c r="B317" s="3" t="n"/>
      <c r="C317" s="4">
        <f>SE(A317="";"";ÍNDICE(Configurações!$B$35:$B$46;MÊS(A317)))</f>
        <v/>
      </c>
      <c r="D317" s="17" t="n"/>
      <c r="E317" s="3" t="n"/>
      <c r="F317" s="3" t="n"/>
      <c r="G317" s="3" t="n"/>
    </row>
    <row r="318">
      <c r="A318" s="15" t="n"/>
      <c r="B318" s="3" t="n"/>
      <c r="C318" s="4">
        <f>SE(A318="";"";ÍNDICE(Configurações!$B$35:$B$46;MÊS(A318)))</f>
        <v/>
      </c>
      <c r="D318" s="17" t="n"/>
      <c r="E318" s="3" t="n"/>
      <c r="F318" s="3" t="n"/>
      <c r="G318" s="3" t="n"/>
    </row>
    <row r="319">
      <c r="A319" s="15" t="n"/>
      <c r="B319" s="3" t="n"/>
      <c r="C319" s="4">
        <f>SE(A319="";"";ÍNDICE(Configurações!$B$35:$B$46;MÊS(A319)))</f>
        <v/>
      </c>
      <c r="D319" s="17" t="n"/>
      <c r="E319" s="3" t="n"/>
      <c r="F319" s="3" t="n"/>
      <c r="G319" s="3" t="n"/>
    </row>
    <row r="320">
      <c r="A320" s="15" t="n"/>
      <c r="B320" s="3" t="n"/>
      <c r="C320" s="4">
        <f>SE(A320="";"";ÍNDICE(Configurações!$B$35:$B$46;MÊS(A320)))</f>
        <v/>
      </c>
      <c r="D320" s="17" t="n"/>
      <c r="E320" s="3" t="n"/>
      <c r="F320" s="3" t="n"/>
      <c r="G320" s="3" t="n"/>
    </row>
    <row r="321">
      <c r="A321" s="15" t="n"/>
      <c r="B321" s="3" t="n"/>
      <c r="C321" s="4">
        <f>SE(A321="";"";ÍNDICE(Configurações!$B$35:$B$46;MÊS(A321)))</f>
        <v/>
      </c>
      <c r="D321" s="17" t="n"/>
      <c r="E321" s="3" t="n"/>
      <c r="F321" s="3" t="n"/>
      <c r="G321" s="3" t="n"/>
    </row>
    <row r="322">
      <c r="A322" s="15" t="n"/>
      <c r="B322" s="3" t="n"/>
      <c r="C322" s="4">
        <f>SE(A322="";"";ÍNDICE(Configurações!$B$35:$B$46;MÊS(A322)))</f>
        <v/>
      </c>
      <c r="D322" s="17" t="n"/>
      <c r="E322" s="3" t="n"/>
      <c r="F322" s="3" t="n"/>
      <c r="G322" s="3" t="n"/>
    </row>
    <row r="323">
      <c r="A323" s="15" t="n"/>
      <c r="B323" s="3" t="n"/>
      <c r="C323" s="4">
        <f>SE(A323="";"";ÍNDICE(Configurações!$B$35:$B$46;MÊS(A323)))</f>
        <v/>
      </c>
      <c r="D323" s="17" t="n"/>
      <c r="E323" s="3" t="n"/>
      <c r="F323" s="3" t="n"/>
      <c r="G323" s="3" t="n"/>
    </row>
    <row r="324">
      <c r="A324" s="15" t="n"/>
      <c r="B324" s="3" t="n"/>
      <c r="C324" s="4">
        <f>SE(A324="";"";ÍNDICE(Configurações!$B$35:$B$46;MÊS(A324)))</f>
        <v/>
      </c>
      <c r="D324" s="17" t="n"/>
      <c r="E324" s="3" t="n"/>
      <c r="F324" s="3" t="n"/>
      <c r="G324" s="3" t="n"/>
    </row>
    <row r="325">
      <c r="A325" s="15" t="n"/>
      <c r="B325" s="3" t="n"/>
      <c r="C325" s="4">
        <f>SE(A325="";"";ÍNDICE(Configurações!$B$35:$B$46;MÊS(A325)))</f>
        <v/>
      </c>
      <c r="D325" s="17" t="n"/>
      <c r="E325" s="3" t="n"/>
      <c r="F325" s="3" t="n"/>
      <c r="G325" s="3" t="n"/>
    </row>
    <row r="326">
      <c r="A326" s="15" t="n"/>
      <c r="B326" s="3" t="n"/>
      <c r="C326" s="4">
        <f>SE(A326="";"";ÍNDICE(Configurações!$B$35:$B$46;MÊS(A326)))</f>
        <v/>
      </c>
      <c r="D326" s="17" t="n"/>
      <c r="E326" s="3" t="n"/>
      <c r="F326" s="3" t="n"/>
      <c r="G326" s="3" t="n"/>
    </row>
    <row r="327">
      <c r="A327" s="15" t="n"/>
      <c r="B327" s="3" t="n"/>
      <c r="C327" s="4">
        <f>SE(A327="";"";ÍNDICE(Configurações!$B$35:$B$46;MÊS(A327)))</f>
        <v/>
      </c>
      <c r="D327" s="17" t="n"/>
      <c r="E327" s="3" t="n"/>
      <c r="F327" s="3" t="n"/>
      <c r="G327" s="3" t="n"/>
    </row>
    <row r="328">
      <c r="A328" s="15" t="n"/>
      <c r="B328" s="3" t="n"/>
      <c r="C328" s="4">
        <f>SE(A328="";"";ÍNDICE(Configurações!$B$35:$B$46;MÊS(A328)))</f>
        <v/>
      </c>
      <c r="D328" s="17" t="n"/>
      <c r="E328" s="3" t="n"/>
      <c r="F328" s="3" t="n"/>
      <c r="G328" s="3" t="n"/>
    </row>
    <row r="329">
      <c r="A329" s="15" t="n"/>
      <c r="B329" s="3" t="n"/>
      <c r="C329" s="4">
        <f>SE(A329="";"";ÍNDICE(Configurações!$B$35:$B$46;MÊS(A329)))</f>
        <v/>
      </c>
      <c r="D329" s="17" t="n"/>
      <c r="E329" s="3" t="n"/>
      <c r="F329" s="3" t="n"/>
      <c r="G329" s="3" t="n"/>
    </row>
    <row r="330">
      <c r="A330" s="15" t="n"/>
      <c r="B330" s="3" t="n"/>
      <c r="C330" s="4">
        <f>SE(A330="";"";ÍNDICE(Configurações!$B$35:$B$46;MÊS(A330)))</f>
        <v/>
      </c>
      <c r="D330" s="17" t="n"/>
      <c r="E330" s="3" t="n"/>
      <c r="F330" s="3" t="n"/>
      <c r="G330" s="3" t="n"/>
    </row>
    <row r="331">
      <c r="A331" s="15" t="n"/>
      <c r="B331" s="3" t="n"/>
      <c r="C331" s="4">
        <f>SE(A331="";"";ÍNDICE(Configurações!$B$35:$B$46;MÊS(A331)))</f>
        <v/>
      </c>
      <c r="D331" s="17" t="n"/>
      <c r="E331" s="3" t="n"/>
      <c r="F331" s="3" t="n"/>
      <c r="G331" s="3" t="n"/>
    </row>
    <row r="332">
      <c r="A332" s="15" t="n"/>
      <c r="B332" s="3" t="n"/>
      <c r="C332" s="4">
        <f>SE(A332="";"";ÍNDICE(Configurações!$B$35:$B$46;MÊS(A332)))</f>
        <v/>
      </c>
      <c r="D332" s="17" t="n"/>
      <c r="E332" s="3" t="n"/>
      <c r="F332" s="3" t="n"/>
      <c r="G332" s="3" t="n"/>
    </row>
    <row r="333">
      <c r="A333" s="15" t="n"/>
      <c r="B333" s="3" t="n"/>
      <c r="C333" s="4">
        <f>SE(A333="";"";ÍNDICE(Configurações!$B$35:$B$46;MÊS(A333)))</f>
        <v/>
      </c>
      <c r="D333" s="17" t="n"/>
      <c r="E333" s="3" t="n"/>
      <c r="F333" s="3" t="n"/>
      <c r="G333" s="3" t="n"/>
    </row>
    <row r="334">
      <c r="A334" s="15" t="n"/>
      <c r="B334" s="3" t="n"/>
      <c r="C334" s="4">
        <f>SE(A334="";"";ÍNDICE(Configurações!$B$35:$B$46;MÊS(A334)))</f>
        <v/>
      </c>
      <c r="D334" s="17" t="n"/>
      <c r="E334" s="3" t="n"/>
      <c r="F334" s="3" t="n"/>
      <c r="G334" s="3" t="n"/>
    </row>
    <row r="335">
      <c r="A335" s="15" t="n"/>
      <c r="B335" s="3" t="n"/>
      <c r="C335" s="4">
        <f>SE(A335="";"";ÍNDICE(Configurações!$B$35:$B$46;MÊS(A335)))</f>
        <v/>
      </c>
      <c r="D335" s="17" t="n"/>
      <c r="E335" s="3" t="n"/>
      <c r="F335" s="3" t="n"/>
      <c r="G335" s="3" t="n"/>
    </row>
    <row r="336">
      <c r="A336" s="15" t="n"/>
      <c r="B336" s="3" t="n"/>
      <c r="C336" s="4">
        <f>SE(A336="";"";ÍNDICE(Configurações!$B$35:$B$46;MÊS(A336)))</f>
        <v/>
      </c>
      <c r="D336" s="17" t="n"/>
      <c r="E336" s="3" t="n"/>
      <c r="F336" s="3" t="n"/>
      <c r="G336" s="3" t="n"/>
    </row>
    <row r="337">
      <c r="A337" s="15" t="n"/>
      <c r="B337" s="3" t="n"/>
      <c r="C337" s="4">
        <f>SE(A337="";"";ÍNDICE(Configurações!$B$35:$B$46;MÊS(A337)))</f>
        <v/>
      </c>
      <c r="D337" s="17" t="n"/>
      <c r="E337" s="3" t="n"/>
      <c r="F337" s="3" t="n"/>
      <c r="G337" s="3" t="n"/>
    </row>
    <row r="338">
      <c r="A338" s="15" t="n"/>
      <c r="B338" s="3" t="n"/>
      <c r="C338" s="4">
        <f>SE(A338="";"";ÍNDICE(Configurações!$B$35:$B$46;MÊS(A338)))</f>
        <v/>
      </c>
      <c r="D338" s="17" t="n"/>
      <c r="E338" s="3" t="n"/>
      <c r="F338" s="3" t="n"/>
      <c r="G338" s="3" t="n"/>
    </row>
    <row r="339">
      <c r="A339" s="15" t="n"/>
      <c r="B339" s="3" t="n"/>
      <c r="C339" s="4">
        <f>SE(A339="";"";ÍNDICE(Configurações!$B$35:$B$46;MÊS(A339)))</f>
        <v/>
      </c>
      <c r="D339" s="17" t="n"/>
      <c r="E339" s="3" t="n"/>
      <c r="F339" s="3" t="n"/>
      <c r="G339" s="3" t="n"/>
    </row>
    <row r="340">
      <c r="A340" s="15" t="n"/>
      <c r="B340" s="3" t="n"/>
      <c r="C340" s="4">
        <f>SE(A340="";"";ÍNDICE(Configurações!$B$35:$B$46;MÊS(A340)))</f>
        <v/>
      </c>
      <c r="D340" s="17" t="n"/>
      <c r="E340" s="3" t="n"/>
      <c r="F340" s="3" t="n"/>
      <c r="G340" s="3" t="n"/>
    </row>
    <row r="341">
      <c r="A341" s="15" t="n"/>
      <c r="B341" s="3" t="n"/>
      <c r="C341" s="4">
        <f>SE(A341="";"";ÍNDICE(Configurações!$B$35:$B$46;MÊS(A341)))</f>
        <v/>
      </c>
      <c r="D341" s="17" t="n"/>
      <c r="E341" s="3" t="n"/>
      <c r="F341" s="3" t="n"/>
      <c r="G341" s="3" t="n"/>
    </row>
    <row r="342">
      <c r="A342" s="15" t="n"/>
      <c r="B342" s="3" t="n"/>
      <c r="C342" s="4">
        <f>SE(A342="";"";ÍNDICE(Configurações!$B$35:$B$46;MÊS(A342)))</f>
        <v/>
      </c>
      <c r="D342" s="17" t="n"/>
      <c r="E342" s="3" t="n"/>
      <c r="F342" s="3" t="n"/>
      <c r="G342" s="3" t="n"/>
    </row>
    <row r="343">
      <c r="A343" s="15" t="n"/>
      <c r="B343" s="3" t="n"/>
      <c r="C343" s="4">
        <f>SE(A343="";"";ÍNDICE(Configurações!$B$35:$B$46;MÊS(A343)))</f>
        <v/>
      </c>
      <c r="D343" s="17" t="n"/>
      <c r="E343" s="3" t="n"/>
      <c r="F343" s="3" t="n"/>
      <c r="G343" s="3" t="n"/>
    </row>
    <row r="344">
      <c r="A344" s="15" t="n"/>
      <c r="B344" s="3" t="n"/>
      <c r="C344" s="4">
        <f>SE(A344="";"";ÍNDICE(Configurações!$B$35:$B$46;MÊS(A344)))</f>
        <v/>
      </c>
      <c r="D344" s="17" t="n"/>
      <c r="E344" s="3" t="n"/>
      <c r="F344" s="3" t="n"/>
      <c r="G344" s="3" t="n"/>
    </row>
    <row r="345">
      <c r="A345" s="15" t="n"/>
      <c r="B345" s="3" t="n"/>
      <c r="C345" s="4">
        <f>SE(A345="";"";ÍNDICE(Configurações!$B$35:$B$46;MÊS(A345)))</f>
        <v/>
      </c>
      <c r="D345" s="17" t="n"/>
      <c r="E345" s="3" t="n"/>
      <c r="F345" s="3" t="n"/>
      <c r="G345" s="3" t="n"/>
    </row>
    <row r="346">
      <c r="A346" s="15" t="n"/>
      <c r="B346" s="3" t="n"/>
      <c r="C346" s="4">
        <f>SE(A346="";"";ÍNDICE(Configurações!$B$35:$B$46;MÊS(A346)))</f>
        <v/>
      </c>
      <c r="D346" s="17" t="n"/>
      <c r="E346" s="3" t="n"/>
      <c r="F346" s="3" t="n"/>
      <c r="G346" s="3" t="n"/>
    </row>
    <row r="347">
      <c r="A347" s="15" t="n"/>
      <c r="B347" s="3" t="n"/>
      <c r="C347" s="4">
        <f>SE(A347="";"";ÍNDICE(Configurações!$B$35:$B$46;MÊS(A347)))</f>
        <v/>
      </c>
      <c r="D347" s="17" t="n"/>
      <c r="E347" s="3" t="n"/>
      <c r="F347" s="3" t="n"/>
      <c r="G347" s="3" t="n"/>
    </row>
    <row r="348">
      <c r="A348" s="15" t="n"/>
      <c r="B348" s="3" t="n"/>
      <c r="C348" s="4">
        <f>SE(A348="";"";ÍNDICE(Configurações!$B$35:$B$46;MÊS(A348)))</f>
        <v/>
      </c>
      <c r="D348" s="17" t="n"/>
      <c r="E348" s="3" t="n"/>
      <c r="F348" s="3" t="n"/>
      <c r="G348" s="3" t="n"/>
    </row>
    <row r="349">
      <c r="A349" s="15" t="n"/>
      <c r="B349" s="3" t="n"/>
      <c r="C349" s="4">
        <f>SE(A349="";"";ÍNDICE(Configurações!$B$35:$B$46;MÊS(A349)))</f>
        <v/>
      </c>
      <c r="D349" s="17" t="n"/>
      <c r="E349" s="3" t="n"/>
      <c r="F349" s="3" t="n"/>
      <c r="G349" s="3" t="n"/>
    </row>
    <row r="350">
      <c r="A350" s="15" t="n"/>
      <c r="B350" s="3" t="n"/>
      <c r="C350" s="4">
        <f>SE(A350="";"";ÍNDICE(Configurações!$B$35:$B$46;MÊS(A350)))</f>
        <v/>
      </c>
      <c r="D350" s="17" t="n"/>
      <c r="E350" s="3" t="n"/>
      <c r="F350" s="3" t="n"/>
      <c r="G350" s="3" t="n"/>
    </row>
    <row r="351">
      <c r="A351" s="15" t="n"/>
      <c r="B351" s="3" t="n"/>
      <c r="C351" s="4">
        <f>SE(A351="";"";ÍNDICE(Configurações!$B$35:$B$46;MÊS(A351)))</f>
        <v/>
      </c>
      <c r="D351" s="17" t="n"/>
      <c r="E351" s="3" t="n"/>
      <c r="F351" s="3" t="n"/>
      <c r="G351" s="3" t="n"/>
    </row>
    <row r="352">
      <c r="A352" s="15" t="n"/>
      <c r="B352" s="3" t="n"/>
      <c r="C352" s="4">
        <f>SE(A352="";"";ÍNDICE(Configurações!$B$35:$B$46;MÊS(A352)))</f>
        <v/>
      </c>
      <c r="D352" s="17" t="n"/>
      <c r="E352" s="3" t="n"/>
      <c r="F352" s="3" t="n"/>
      <c r="G352" s="3" t="n"/>
    </row>
    <row r="353">
      <c r="A353" s="15" t="n"/>
      <c r="B353" s="3" t="n"/>
      <c r="C353" s="4">
        <f>SE(A353="";"";ÍNDICE(Configurações!$B$35:$B$46;MÊS(A353)))</f>
        <v/>
      </c>
      <c r="D353" s="17" t="n"/>
      <c r="E353" s="3" t="n"/>
      <c r="F353" s="3" t="n"/>
      <c r="G353" s="3" t="n"/>
    </row>
    <row r="354">
      <c r="A354" s="15" t="n"/>
      <c r="B354" s="3" t="n"/>
      <c r="C354" s="4">
        <f>SE(A354="";"";ÍNDICE(Configurações!$B$35:$B$46;MÊS(A354)))</f>
        <v/>
      </c>
      <c r="D354" s="17" t="n"/>
      <c r="E354" s="3" t="n"/>
      <c r="F354" s="3" t="n"/>
      <c r="G354" s="3" t="n"/>
    </row>
    <row r="355">
      <c r="A355" s="15" t="n"/>
      <c r="B355" s="3" t="n"/>
      <c r="C355" s="4">
        <f>SE(A355="";"";ÍNDICE(Configurações!$B$35:$B$46;MÊS(A355)))</f>
        <v/>
      </c>
      <c r="D355" s="17" t="n"/>
      <c r="E355" s="3" t="n"/>
      <c r="F355" s="3" t="n"/>
      <c r="G355" s="3" t="n"/>
    </row>
    <row r="356">
      <c r="A356" s="15" t="n"/>
      <c r="B356" s="3" t="n"/>
      <c r="C356" s="4">
        <f>SE(A356="";"";ÍNDICE(Configurações!$B$35:$B$46;MÊS(A356)))</f>
        <v/>
      </c>
      <c r="D356" s="17" t="n"/>
      <c r="E356" s="3" t="n"/>
      <c r="F356" s="3" t="n"/>
      <c r="G356" s="3" t="n"/>
    </row>
    <row r="357">
      <c r="A357" s="15" t="n"/>
      <c r="B357" s="3" t="n"/>
      <c r="C357" s="4">
        <f>SE(A357="";"";ÍNDICE(Configurações!$B$35:$B$46;MÊS(A357)))</f>
        <v/>
      </c>
      <c r="D357" s="17" t="n"/>
      <c r="E357" s="3" t="n"/>
      <c r="F357" s="3" t="n"/>
      <c r="G357" s="3" t="n"/>
    </row>
    <row r="358">
      <c r="A358" s="15" t="n"/>
      <c r="B358" s="3" t="n"/>
      <c r="C358" s="4">
        <f>SE(A358="";"";ÍNDICE(Configurações!$B$35:$B$46;MÊS(A358)))</f>
        <v/>
      </c>
      <c r="D358" s="17" t="n"/>
      <c r="E358" s="3" t="n"/>
      <c r="F358" s="3" t="n"/>
      <c r="G358" s="3" t="n"/>
    </row>
    <row r="359">
      <c r="A359" s="15" t="n"/>
      <c r="B359" s="3" t="n"/>
      <c r="C359" s="4">
        <f>SE(A359="";"";ÍNDICE(Configurações!$B$35:$B$46;MÊS(A359)))</f>
        <v/>
      </c>
      <c r="D359" s="17" t="n"/>
      <c r="E359" s="3" t="n"/>
      <c r="F359" s="3" t="n"/>
      <c r="G359" s="3" t="n"/>
    </row>
    <row r="360">
      <c r="A360" s="15" t="n"/>
      <c r="B360" s="3" t="n"/>
      <c r="C360" s="4">
        <f>SE(A360="";"";ÍNDICE(Configurações!$B$35:$B$46;MÊS(A360)))</f>
        <v/>
      </c>
      <c r="D360" s="17" t="n"/>
      <c r="E360" s="3" t="n"/>
      <c r="F360" s="3" t="n"/>
      <c r="G360" s="3" t="n"/>
    </row>
    <row r="361">
      <c r="A361" s="15" t="n"/>
      <c r="B361" s="3" t="n"/>
      <c r="C361" s="4">
        <f>SE(A361="";"";ÍNDICE(Configurações!$B$35:$B$46;MÊS(A361)))</f>
        <v/>
      </c>
      <c r="D361" s="17" t="n"/>
      <c r="E361" s="3" t="n"/>
      <c r="F361" s="3" t="n"/>
      <c r="G361" s="3" t="n"/>
    </row>
    <row r="362">
      <c r="A362" s="15" t="n"/>
      <c r="B362" s="3" t="n"/>
      <c r="C362" s="4">
        <f>SE(A362="";"";ÍNDICE(Configurações!$B$35:$B$46;MÊS(A362)))</f>
        <v/>
      </c>
      <c r="D362" s="17" t="n"/>
      <c r="E362" s="3" t="n"/>
      <c r="F362" s="3" t="n"/>
      <c r="G362" s="3" t="n"/>
    </row>
    <row r="363">
      <c r="A363" s="15" t="n"/>
      <c r="B363" s="3" t="n"/>
      <c r="C363" s="4">
        <f>SE(A363="";"";ÍNDICE(Configurações!$B$35:$B$46;MÊS(A363)))</f>
        <v/>
      </c>
      <c r="D363" s="17" t="n"/>
      <c r="E363" s="3" t="n"/>
      <c r="F363" s="3" t="n"/>
      <c r="G363" s="3" t="n"/>
    </row>
    <row r="364">
      <c r="A364" s="15" t="n"/>
      <c r="B364" s="3" t="n"/>
      <c r="C364" s="4">
        <f>SE(A364="";"";ÍNDICE(Configurações!$B$35:$B$46;MÊS(A364)))</f>
        <v/>
      </c>
      <c r="D364" s="17" t="n"/>
      <c r="E364" s="3" t="n"/>
      <c r="F364" s="3" t="n"/>
      <c r="G364" s="3" t="n"/>
    </row>
    <row r="365">
      <c r="A365" s="15" t="n"/>
      <c r="B365" s="3" t="n"/>
      <c r="C365" s="4">
        <f>SE(A365="";"";ÍNDICE(Configurações!$B$35:$B$46;MÊS(A365)))</f>
        <v/>
      </c>
      <c r="D365" s="17" t="n"/>
      <c r="E365" s="3" t="n"/>
      <c r="F365" s="3" t="n"/>
      <c r="G365" s="3" t="n"/>
    </row>
    <row r="366">
      <c r="A366" s="15" t="n"/>
      <c r="B366" s="3" t="n"/>
      <c r="C366" s="4">
        <f>SE(A366="";"";ÍNDICE(Configurações!$B$35:$B$46;MÊS(A366)))</f>
        <v/>
      </c>
      <c r="D366" s="17" t="n"/>
      <c r="E366" s="3" t="n"/>
      <c r="F366" s="3" t="n"/>
      <c r="G366" s="3" t="n"/>
    </row>
    <row r="367">
      <c r="A367" s="15" t="n"/>
      <c r="B367" s="3" t="n"/>
      <c r="C367" s="4">
        <f>SE(A367="";"";ÍNDICE(Configurações!$B$35:$B$46;MÊS(A367)))</f>
        <v/>
      </c>
      <c r="D367" s="17" t="n"/>
      <c r="E367" s="3" t="n"/>
      <c r="F367" s="3" t="n"/>
      <c r="G367" s="3" t="n"/>
    </row>
    <row r="368">
      <c r="A368" s="15" t="n"/>
      <c r="B368" s="3" t="n"/>
      <c r="C368" s="4">
        <f>SE(A368="";"";ÍNDICE(Configurações!$B$35:$B$46;MÊS(A368)))</f>
        <v/>
      </c>
      <c r="D368" s="17" t="n"/>
      <c r="E368" s="3" t="n"/>
      <c r="F368" s="3" t="n"/>
      <c r="G368" s="3" t="n"/>
    </row>
    <row r="369">
      <c r="A369" s="15" t="n"/>
      <c r="B369" s="3" t="n"/>
      <c r="C369" s="4">
        <f>SE(A369="";"";ÍNDICE(Configurações!$B$35:$B$46;MÊS(A369)))</f>
        <v/>
      </c>
      <c r="D369" s="17" t="n"/>
      <c r="E369" s="3" t="n"/>
      <c r="F369" s="3" t="n"/>
      <c r="G369" s="3" t="n"/>
    </row>
    <row r="370">
      <c r="A370" s="15" t="n"/>
      <c r="B370" s="3" t="n"/>
      <c r="C370" s="4">
        <f>SE(A370="";"";ÍNDICE(Configurações!$B$35:$B$46;MÊS(A370)))</f>
        <v/>
      </c>
      <c r="D370" s="17" t="n"/>
      <c r="E370" s="3" t="n"/>
      <c r="F370" s="3" t="n"/>
      <c r="G370" s="3" t="n"/>
    </row>
    <row r="371">
      <c r="A371" s="15" t="n"/>
      <c r="B371" s="3" t="n"/>
      <c r="C371" s="4">
        <f>SE(A371="";"";ÍNDICE(Configurações!$B$35:$B$46;MÊS(A371)))</f>
        <v/>
      </c>
      <c r="D371" s="17" t="n"/>
      <c r="E371" s="3" t="n"/>
      <c r="F371" s="3" t="n"/>
      <c r="G371" s="3" t="n"/>
    </row>
    <row r="372">
      <c r="A372" s="15" t="n"/>
      <c r="B372" s="3" t="n"/>
      <c r="C372" s="4">
        <f>SE(A372="";"";ÍNDICE(Configurações!$B$35:$B$46;MÊS(A372)))</f>
        <v/>
      </c>
      <c r="D372" s="17" t="n"/>
      <c r="E372" s="3" t="n"/>
      <c r="F372" s="3" t="n"/>
      <c r="G372" s="3" t="n"/>
    </row>
    <row r="373">
      <c r="A373" s="15" t="n"/>
      <c r="B373" s="3" t="n"/>
      <c r="C373" s="4">
        <f>SE(A373="";"";ÍNDICE(Configurações!$B$35:$B$46;MÊS(A373)))</f>
        <v/>
      </c>
      <c r="D373" s="17" t="n"/>
      <c r="E373" s="3" t="n"/>
      <c r="F373" s="3" t="n"/>
      <c r="G373" s="3" t="n"/>
    </row>
    <row r="374">
      <c r="A374" s="15" t="n"/>
      <c r="B374" s="3" t="n"/>
      <c r="C374" s="4">
        <f>SE(A374="";"";ÍNDICE(Configurações!$B$35:$B$46;MÊS(A374)))</f>
        <v/>
      </c>
      <c r="D374" s="17" t="n"/>
      <c r="E374" s="3" t="n"/>
      <c r="F374" s="3" t="n"/>
      <c r="G374" s="3" t="n"/>
    </row>
    <row r="375">
      <c r="A375" s="15" t="n"/>
      <c r="B375" s="3" t="n"/>
      <c r="C375" s="4">
        <f>SE(A375="";"";ÍNDICE(Configurações!$B$35:$B$46;MÊS(A375)))</f>
        <v/>
      </c>
      <c r="D375" s="17" t="n"/>
      <c r="E375" s="3" t="n"/>
      <c r="F375" s="3" t="n"/>
      <c r="G375" s="3" t="n"/>
    </row>
    <row r="376">
      <c r="A376" s="15" t="n"/>
      <c r="B376" s="3" t="n"/>
      <c r="C376" s="4">
        <f>SE(A376="";"";ÍNDICE(Configurações!$B$35:$B$46;MÊS(A376)))</f>
        <v/>
      </c>
      <c r="D376" s="17" t="n"/>
      <c r="E376" s="3" t="n"/>
      <c r="F376" s="3" t="n"/>
      <c r="G376" s="3" t="n"/>
    </row>
    <row r="377">
      <c r="A377" s="15" t="n"/>
      <c r="B377" s="3" t="n"/>
      <c r="C377" s="4">
        <f>SE(A377="";"";ÍNDICE(Configurações!$B$35:$B$46;MÊS(A377)))</f>
        <v/>
      </c>
      <c r="D377" s="17" t="n"/>
      <c r="E377" s="3" t="n"/>
      <c r="F377" s="3" t="n"/>
      <c r="G377" s="3" t="n"/>
    </row>
    <row r="378">
      <c r="A378" s="15" t="n"/>
      <c r="B378" s="3" t="n"/>
      <c r="C378" s="4">
        <f>SE(A378="";"";ÍNDICE(Configurações!$B$35:$B$46;MÊS(A378)))</f>
        <v/>
      </c>
      <c r="D378" s="17" t="n"/>
      <c r="E378" s="3" t="n"/>
      <c r="F378" s="3" t="n"/>
      <c r="G378" s="3" t="n"/>
    </row>
    <row r="379">
      <c r="A379" s="15" t="n"/>
      <c r="B379" s="3" t="n"/>
      <c r="C379" s="4">
        <f>SE(A379="";"";ÍNDICE(Configurações!$B$35:$B$46;MÊS(A379)))</f>
        <v/>
      </c>
      <c r="D379" s="17" t="n"/>
      <c r="E379" s="3" t="n"/>
      <c r="F379" s="3" t="n"/>
      <c r="G379" s="3" t="n"/>
    </row>
    <row r="380">
      <c r="A380" s="15" t="n"/>
      <c r="B380" s="3" t="n"/>
      <c r="C380" s="4">
        <f>SE(A380="";"";ÍNDICE(Configurações!$B$35:$B$46;MÊS(A380)))</f>
        <v/>
      </c>
      <c r="D380" s="17" t="n"/>
      <c r="E380" s="3" t="n"/>
      <c r="F380" s="3" t="n"/>
      <c r="G380" s="3" t="n"/>
    </row>
    <row r="381">
      <c r="A381" s="15" t="n"/>
      <c r="B381" s="3" t="n"/>
      <c r="C381" s="4">
        <f>SE(A381="";"";ÍNDICE(Configurações!$B$35:$B$46;MÊS(A381)))</f>
        <v/>
      </c>
      <c r="D381" s="17" t="n"/>
      <c r="E381" s="3" t="n"/>
      <c r="F381" s="3" t="n"/>
      <c r="G381" s="3" t="n"/>
    </row>
    <row r="382">
      <c r="A382" s="15" t="n"/>
      <c r="B382" s="3" t="n"/>
      <c r="C382" s="4">
        <f>SE(A382="";"";ÍNDICE(Configurações!$B$35:$B$46;MÊS(A382)))</f>
        <v/>
      </c>
      <c r="D382" s="17" t="n"/>
      <c r="E382" s="3" t="n"/>
      <c r="F382" s="3" t="n"/>
      <c r="G382" s="3" t="n"/>
    </row>
    <row r="383">
      <c r="A383" s="15" t="n"/>
      <c r="B383" s="3" t="n"/>
      <c r="C383" s="4">
        <f>SE(A383="";"";ÍNDICE(Configurações!$B$35:$B$46;MÊS(A383)))</f>
        <v/>
      </c>
      <c r="D383" s="17" t="n"/>
      <c r="E383" s="3" t="n"/>
      <c r="F383" s="3" t="n"/>
      <c r="G383" s="3" t="n"/>
    </row>
    <row r="384">
      <c r="A384" s="15" t="n"/>
      <c r="B384" s="3" t="n"/>
      <c r="C384" s="4">
        <f>SE(A384="";"";ÍNDICE(Configurações!$B$35:$B$46;MÊS(A384)))</f>
        <v/>
      </c>
      <c r="D384" s="17" t="n"/>
      <c r="E384" s="3" t="n"/>
      <c r="F384" s="3" t="n"/>
      <c r="G384" s="3" t="n"/>
    </row>
    <row r="385">
      <c r="A385" s="15" t="n"/>
      <c r="B385" s="3" t="n"/>
      <c r="C385" s="4">
        <f>SE(A385="";"";ÍNDICE(Configurações!$B$35:$B$46;MÊS(A385)))</f>
        <v/>
      </c>
      <c r="D385" s="17" t="n"/>
      <c r="E385" s="3" t="n"/>
      <c r="F385" s="3" t="n"/>
      <c r="G385" s="3" t="n"/>
    </row>
    <row r="386">
      <c r="A386" s="15" t="n"/>
      <c r="B386" s="3" t="n"/>
      <c r="C386" s="4">
        <f>SE(A386="";"";ÍNDICE(Configurações!$B$35:$B$46;MÊS(A386)))</f>
        <v/>
      </c>
      <c r="D386" s="17" t="n"/>
      <c r="E386" s="3" t="n"/>
      <c r="F386" s="3" t="n"/>
      <c r="G386" s="3" t="n"/>
    </row>
    <row r="387">
      <c r="A387" s="15" t="n"/>
      <c r="B387" s="3" t="n"/>
      <c r="C387" s="4">
        <f>SE(A387="";"";ÍNDICE(Configurações!$B$35:$B$46;MÊS(A387)))</f>
        <v/>
      </c>
      <c r="D387" s="17" t="n"/>
      <c r="E387" s="3" t="n"/>
      <c r="F387" s="3" t="n"/>
      <c r="G387" s="3" t="n"/>
    </row>
    <row r="388">
      <c r="A388" s="15" t="n"/>
      <c r="B388" s="3" t="n"/>
      <c r="C388" s="4">
        <f>SE(A388="";"";ÍNDICE(Configurações!$B$35:$B$46;MÊS(A388)))</f>
        <v/>
      </c>
      <c r="D388" s="17" t="n"/>
      <c r="E388" s="3" t="n"/>
      <c r="F388" s="3" t="n"/>
      <c r="G388" s="3" t="n"/>
    </row>
    <row r="389">
      <c r="A389" s="15" t="n"/>
      <c r="B389" s="3" t="n"/>
      <c r="C389" s="4">
        <f>SE(A389="";"";ÍNDICE(Configurações!$B$35:$B$46;MÊS(A389)))</f>
        <v/>
      </c>
      <c r="D389" s="17" t="n"/>
      <c r="E389" s="3" t="n"/>
      <c r="F389" s="3" t="n"/>
      <c r="G389" s="3" t="n"/>
    </row>
    <row r="390">
      <c r="A390" s="15" t="n"/>
      <c r="B390" s="3" t="n"/>
      <c r="C390" s="4">
        <f>SE(A390="";"";ÍNDICE(Configurações!$B$35:$B$46;MÊS(A390)))</f>
        <v/>
      </c>
      <c r="D390" s="17" t="n"/>
      <c r="E390" s="3" t="n"/>
      <c r="F390" s="3" t="n"/>
      <c r="G390" s="3" t="n"/>
    </row>
    <row r="391">
      <c r="A391" s="15" t="n"/>
      <c r="B391" s="3" t="n"/>
      <c r="C391" s="4">
        <f>SE(A391="";"";ÍNDICE(Configurações!$B$35:$B$46;MÊS(A391)))</f>
        <v/>
      </c>
      <c r="D391" s="17" t="n"/>
      <c r="E391" s="3" t="n"/>
      <c r="F391" s="3" t="n"/>
      <c r="G391" s="3" t="n"/>
    </row>
    <row r="392">
      <c r="A392" s="15" t="n"/>
      <c r="B392" s="3" t="n"/>
      <c r="C392" s="4">
        <f>SE(A392="";"";ÍNDICE(Configurações!$B$35:$B$46;MÊS(A392)))</f>
        <v/>
      </c>
      <c r="D392" s="17" t="n"/>
      <c r="E392" s="3" t="n"/>
      <c r="F392" s="3" t="n"/>
      <c r="G392" s="3" t="n"/>
    </row>
    <row r="393">
      <c r="A393" s="15" t="n"/>
      <c r="B393" s="3" t="n"/>
      <c r="C393" s="4">
        <f>SE(A393="";"";ÍNDICE(Configurações!$B$35:$B$46;MÊS(A393)))</f>
        <v/>
      </c>
      <c r="D393" s="17" t="n"/>
      <c r="E393" s="3" t="n"/>
      <c r="F393" s="3" t="n"/>
      <c r="G393" s="3" t="n"/>
    </row>
    <row r="394">
      <c r="A394" s="15" t="n"/>
      <c r="B394" s="3" t="n"/>
      <c r="C394" s="4">
        <f>SE(A394="";"";ÍNDICE(Configurações!$B$35:$B$46;MÊS(A394)))</f>
        <v/>
      </c>
      <c r="D394" s="17" t="n"/>
      <c r="E394" s="3" t="n"/>
      <c r="F394" s="3" t="n"/>
      <c r="G394" s="3" t="n"/>
    </row>
    <row r="395">
      <c r="A395" s="15" t="n"/>
      <c r="B395" s="3" t="n"/>
      <c r="C395" s="4">
        <f>SE(A395="";"";ÍNDICE(Configurações!$B$35:$B$46;MÊS(A395)))</f>
        <v/>
      </c>
      <c r="D395" s="17" t="n"/>
      <c r="E395" s="3" t="n"/>
      <c r="F395" s="3" t="n"/>
      <c r="G395" s="3" t="n"/>
    </row>
    <row r="396">
      <c r="A396" s="15" t="n"/>
      <c r="B396" s="3" t="n"/>
      <c r="C396" s="4">
        <f>SE(A396="";"";ÍNDICE(Configurações!$B$35:$B$46;MÊS(A396)))</f>
        <v/>
      </c>
      <c r="D396" s="17" t="n"/>
      <c r="E396" s="3" t="n"/>
      <c r="F396" s="3" t="n"/>
      <c r="G396" s="3" t="n"/>
    </row>
    <row r="397">
      <c r="A397" s="15" t="n"/>
      <c r="B397" s="3" t="n"/>
      <c r="C397" s="4">
        <f>SE(A397="";"";ÍNDICE(Configurações!$B$35:$B$46;MÊS(A397)))</f>
        <v/>
      </c>
      <c r="D397" s="17" t="n"/>
      <c r="E397" s="3" t="n"/>
      <c r="F397" s="3" t="n"/>
      <c r="G397" s="3" t="n"/>
    </row>
    <row r="398">
      <c r="A398" s="15" t="n"/>
      <c r="B398" s="3" t="n"/>
      <c r="C398" s="4">
        <f>SE(A398="";"";ÍNDICE(Configurações!$B$35:$B$46;MÊS(A398)))</f>
        <v/>
      </c>
      <c r="D398" s="17" t="n"/>
      <c r="E398" s="3" t="n"/>
      <c r="F398" s="3" t="n"/>
      <c r="G398" s="3" t="n"/>
    </row>
    <row r="399">
      <c r="A399" s="15" t="n"/>
      <c r="B399" s="3" t="n"/>
      <c r="C399" s="4">
        <f>SE(A399="";"";ÍNDICE(Configurações!$B$35:$B$46;MÊS(A399)))</f>
        <v/>
      </c>
      <c r="D399" s="17" t="n"/>
      <c r="E399" s="3" t="n"/>
      <c r="F399" s="3" t="n"/>
      <c r="G399" s="3" t="n"/>
    </row>
    <row r="400">
      <c r="A400" s="15" t="n"/>
      <c r="B400" s="3" t="n"/>
      <c r="C400" s="4">
        <f>SE(A400="";"";ÍNDICE(Configurações!$B$35:$B$46;MÊS(A400)))</f>
        <v/>
      </c>
      <c r="D400" s="17" t="n"/>
      <c r="E400" s="3" t="n"/>
      <c r="F400" s="3" t="n"/>
      <c r="G400" s="3" t="n"/>
    </row>
    <row r="401">
      <c r="A401" s="15" t="n"/>
      <c r="B401" s="3" t="n"/>
      <c r="C401" s="4">
        <f>SE(A401="";"";ÍNDICE(Configurações!$B$35:$B$46;MÊS(A401)))</f>
        <v/>
      </c>
      <c r="D401" s="17" t="n"/>
      <c r="E401" s="3" t="n"/>
      <c r="F401" s="3" t="n"/>
      <c r="G401" s="3" t="n"/>
    </row>
    <row r="402">
      <c r="A402" s="15" t="n"/>
      <c r="B402" s="3" t="n"/>
      <c r="C402" s="4">
        <f>SE(A402="";"";ÍNDICE(Configurações!$B$35:$B$46;MÊS(A402)))</f>
        <v/>
      </c>
      <c r="D402" s="17" t="n"/>
      <c r="E402" s="3" t="n"/>
      <c r="F402" s="3" t="n"/>
      <c r="G402" s="3" t="n"/>
    </row>
    <row r="403">
      <c r="A403" s="15" t="n"/>
      <c r="B403" s="3" t="n"/>
      <c r="C403" s="4">
        <f>SE(A403="";"";ÍNDICE(Configurações!$B$35:$B$46;MÊS(A403)))</f>
        <v/>
      </c>
      <c r="D403" s="17" t="n"/>
      <c r="E403" s="3" t="n"/>
      <c r="F403" s="3" t="n"/>
      <c r="G403" s="3" t="n"/>
    </row>
    <row r="404">
      <c r="A404" s="15" t="n"/>
      <c r="B404" s="3" t="n"/>
      <c r="C404" s="4">
        <f>SE(A404="";"";ÍNDICE(Configurações!$B$35:$B$46;MÊS(A404)))</f>
        <v/>
      </c>
      <c r="D404" s="17" t="n"/>
      <c r="E404" s="3" t="n"/>
      <c r="F404" s="3" t="n"/>
      <c r="G404" s="3" t="n"/>
    </row>
    <row r="405">
      <c r="A405" s="15" t="n"/>
      <c r="B405" s="3" t="n"/>
      <c r="C405" s="4">
        <f>SE(A405="";"";ÍNDICE(Configurações!$B$35:$B$46;MÊS(A405)))</f>
        <v/>
      </c>
      <c r="D405" s="17" t="n"/>
      <c r="E405" s="3" t="n"/>
      <c r="F405" s="3" t="n"/>
      <c r="G405" s="3" t="n"/>
    </row>
    <row r="406">
      <c r="A406" s="15" t="n"/>
      <c r="B406" s="3" t="n"/>
      <c r="C406" s="4">
        <f>SE(A406="";"";ÍNDICE(Configurações!$B$35:$B$46;MÊS(A406)))</f>
        <v/>
      </c>
      <c r="D406" s="17" t="n"/>
      <c r="E406" s="3" t="n"/>
      <c r="F406" s="3" t="n"/>
      <c r="G406" s="3" t="n"/>
    </row>
    <row r="407">
      <c r="A407" s="15" t="n"/>
      <c r="B407" s="3" t="n"/>
      <c r="C407" s="4">
        <f>SE(A407="";"";ÍNDICE(Configurações!$B$35:$B$46;MÊS(A407)))</f>
        <v/>
      </c>
      <c r="D407" s="17" t="n"/>
      <c r="E407" s="3" t="n"/>
      <c r="F407" s="3" t="n"/>
      <c r="G407" s="3" t="n"/>
    </row>
    <row r="408">
      <c r="A408" s="15" t="n"/>
      <c r="B408" s="3" t="n"/>
      <c r="C408" s="4">
        <f>SE(A408="";"";ÍNDICE(Configurações!$B$35:$B$46;MÊS(A408)))</f>
        <v/>
      </c>
      <c r="D408" s="17" t="n"/>
      <c r="E408" s="3" t="n"/>
      <c r="F408" s="3" t="n"/>
      <c r="G408" s="3" t="n"/>
    </row>
    <row r="409">
      <c r="A409" s="15" t="n"/>
      <c r="B409" s="3" t="n"/>
      <c r="C409" s="4">
        <f>SE(A409="";"";ÍNDICE(Configurações!$B$35:$B$46;MÊS(A409)))</f>
        <v/>
      </c>
      <c r="D409" s="17" t="n"/>
      <c r="E409" s="3" t="n"/>
      <c r="F409" s="3" t="n"/>
      <c r="G409" s="3" t="n"/>
    </row>
    <row r="410">
      <c r="A410" s="15" t="n"/>
      <c r="B410" s="3" t="n"/>
      <c r="C410" s="4">
        <f>SE(A410="";"";ÍNDICE(Configurações!$B$35:$B$46;MÊS(A410)))</f>
        <v/>
      </c>
      <c r="D410" s="17" t="n"/>
      <c r="E410" s="3" t="n"/>
      <c r="F410" s="3" t="n"/>
      <c r="G410" s="3" t="n"/>
    </row>
    <row r="411">
      <c r="A411" s="15" t="n"/>
      <c r="B411" s="3" t="n"/>
      <c r="C411" s="4">
        <f>SE(A411="";"";ÍNDICE(Configurações!$B$35:$B$46;MÊS(A411)))</f>
        <v/>
      </c>
      <c r="D411" s="17" t="n"/>
      <c r="E411" s="3" t="n"/>
      <c r="F411" s="3" t="n"/>
      <c r="G411" s="3" t="n"/>
    </row>
    <row r="412">
      <c r="A412" s="15" t="n"/>
      <c r="B412" s="3" t="n"/>
      <c r="C412" s="4">
        <f>SE(A412="";"";ÍNDICE(Configurações!$B$35:$B$46;MÊS(A412)))</f>
        <v/>
      </c>
      <c r="D412" s="17" t="n"/>
      <c r="E412" s="3" t="n"/>
      <c r="F412" s="3" t="n"/>
      <c r="G412" s="3" t="n"/>
    </row>
    <row r="413">
      <c r="A413" s="15" t="n"/>
      <c r="B413" s="3" t="n"/>
      <c r="C413" s="4">
        <f>SE(A413="";"";ÍNDICE(Configurações!$B$35:$B$46;MÊS(A413)))</f>
        <v/>
      </c>
      <c r="D413" s="17" t="n"/>
      <c r="E413" s="3" t="n"/>
      <c r="F413" s="3" t="n"/>
      <c r="G413" s="3" t="n"/>
    </row>
    <row r="414">
      <c r="A414" s="15" t="n"/>
      <c r="B414" s="3" t="n"/>
      <c r="C414" s="4">
        <f>SE(A414="";"";ÍNDICE(Configurações!$B$35:$B$46;MÊS(A414)))</f>
        <v/>
      </c>
      <c r="D414" s="17" t="n"/>
      <c r="E414" s="3" t="n"/>
      <c r="F414" s="3" t="n"/>
      <c r="G414" s="3" t="n"/>
    </row>
    <row r="415">
      <c r="A415" s="15" t="n"/>
      <c r="B415" s="3" t="n"/>
      <c r="C415" s="4">
        <f>SE(A415="";"";ÍNDICE(Configurações!$B$35:$B$46;MÊS(A415)))</f>
        <v/>
      </c>
      <c r="D415" s="17" t="n"/>
      <c r="E415" s="3" t="n"/>
      <c r="F415" s="3" t="n"/>
      <c r="G415" s="3" t="n"/>
    </row>
    <row r="416">
      <c r="A416" s="15" t="n"/>
      <c r="B416" s="3" t="n"/>
      <c r="C416" s="4">
        <f>SE(A416="";"";ÍNDICE(Configurações!$B$35:$B$46;MÊS(A416)))</f>
        <v/>
      </c>
      <c r="D416" s="17" t="n"/>
      <c r="E416" s="3" t="n"/>
      <c r="F416" s="3" t="n"/>
      <c r="G416" s="3" t="n"/>
    </row>
    <row r="417">
      <c r="A417" s="15" t="n"/>
      <c r="B417" s="3" t="n"/>
      <c r="C417" s="4">
        <f>SE(A417="";"";ÍNDICE(Configurações!$B$35:$B$46;MÊS(A417)))</f>
        <v/>
      </c>
      <c r="D417" s="17" t="n"/>
      <c r="E417" s="3" t="n"/>
      <c r="F417" s="3" t="n"/>
      <c r="G417" s="3" t="n"/>
    </row>
    <row r="418">
      <c r="A418" s="15" t="n"/>
      <c r="B418" s="3" t="n"/>
      <c r="C418" s="4">
        <f>SE(A418="";"";ÍNDICE(Configurações!$B$35:$B$46;MÊS(A418)))</f>
        <v/>
      </c>
      <c r="D418" s="17" t="n"/>
      <c r="E418" s="3" t="n"/>
      <c r="F418" s="3" t="n"/>
      <c r="G418" s="3" t="n"/>
    </row>
    <row r="419">
      <c r="A419" s="15" t="n"/>
      <c r="B419" s="3" t="n"/>
      <c r="C419" s="4">
        <f>SE(A419="";"";ÍNDICE(Configurações!$B$35:$B$46;MÊS(A419)))</f>
        <v/>
      </c>
      <c r="D419" s="17" t="n"/>
      <c r="E419" s="3" t="n"/>
      <c r="F419" s="3" t="n"/>
      <c r="G419" s="3" t="n"/>
    </row>
    <row r="420">
      <c r="A420" s="15" t="n"/>
      <c r="B420" s="3" t="n"/>
      <c r="C420" s="4">
        <f>SE(A420="";"";ÍNDICE(Configurações!$B$35:$B$46;MÊS(A420)))</f>
        <v/>
      </c>
      <c r="D420" s="17" t="n"/>
      <c r="E420" s="3" t="n"/>
      <c r="F420" s="3" t="n"/>
      <c r="G420" s="3" t="n"/>
    </row>
    <row r="421">
      <c r="A421" s="15" t="n"/>
      <c r="B421" s="3" t="n"/>
      <c r="C421" s="4">
        <f>SE(A421="";"";ÍNDICE(Configurações!$B$35:$B$46;MÊS(A421)))</f>
        <v/>
      </c>
      <c r="D421" s="17" t="n"/>
      <c r="E421" s="3" t="n"/>
      <c r="F421" s="3" t="n"/>
      <c r="G421" s="3" t="n"/>
    </row>
    <row r="422">
      <c r="A422" s="15" t="n"/>
      <c r="B422" s="3" t="n"/>
      <c r="C422" s="4">
        <f>SE(A422="";"";ÍNDICE(Configurações!$B$35:$B$46;MÊS(A422)))</f>
        <v/>
      </c>
      <c r="D422" s="17" t="n"/>
      <c r="E422" s="3" t="n"/>
      <c r="F422" s="3" t="n"/>
      <c r="G422" s="3" t="n"/>
    </row>
    <row r="423">
      <c r="A423" s="15" t="n"/>
      <c r="B423" s="3" t="n"/>
      <c r="C423" s="4">
        <f>SE(A423="";"";ÍNDICE(Configurações!$B$35:$B$46;MÊS(A423)))</f>
        <v/>
      </c>
      <c r="D423" s="17" t="n"/>
      <c r="E423" s="3" t="n"/>
      <c r="F423" s="3" t="n"/>
      <c r="G423" s="3" t="n"/>
    </row>
    <row r="424">
      <c r="A424" s="15" t="n"/>
      <c r="B424" s="3" t="n"/>
      <c r="C424" s="4">
        <f>SE(A424="";"";ÍNDICE(Configurações!$B$35:$B$46;MÊS(A424)))</f>
        <v/>
      </c>
      <c r="D424" s="17" t="n"/>
      <c r="E424" s="3" t="n"/>
      <c r="F424" s="3" t="n"/>
      <c r="G424" s="3" t="n"/>
    </row>
    <row r="425">
      <c r="A425" s="15" t="n"/>
      <c r="B425" s="3" t="n"/>
      <c r="C425" s="4">
        <f>SE(A425="";"";ÍNDICE(Configurações!$B$35:$B$46;MÊS(A425)))</f>
        <v/>
      </c>
      <c r="D425" s="17" t="n"/>
      <c r="E425" s="3" t="n"/>
      <c r="F425" s="3" t="n"/>
      <c r="G425" s="3" t="n"/>
    </row>
    <row r="426">
      <c r="A426" s="15" t="n"/>
      <c r="B426" s="3" t="n"/>
      <c r="C426" s="4">
        <f>SE(A426="";"";ÍNDICE(Configurações!$B$35:$B$46;MÊS(A426)))</f>
        <v/>
      </c>
      <c r="D426" s="17" t="n"/>
      <c r="E426" s="3" t="n"/>
      <c r="F426" s="3" t="n"/>
      <c r="G426" s="3" t="n"/>
    </row>
    <row r="427">
      <c r="A427" s="15" t="n"/>
      <c r="B427" s="3" t="n"/>
      <c r="C427" s="4">
        <f>SE(A427="";"";ÍNDICE(Configurações!$B$35:$B$46;MÊS(A427)))</f>
        <v/>
      </c>
      <c r="D427" s="17" t="n"/>
      <c r="E427" s="3" t="n"/>
      <c r="F427" s="3" t="n"/>
      <c r="G427" s="3" t="n"/>
    </row>
    <row r="428">
      <c r="A428" s="15" t="n"/>
      <c r="B428" s="3" t="n"/>
      <c r="C428" s="4">
        <f>SE(A428="";"";ÍNDICE(Configurações!$B$35:$B$46;MÊS(A428)))</f>
        <v/>
      </c>
      <c r="D428" s="17" t="n"/>
      <c r="E428" s="3" t="n"/>
      <c r="F428" s="3" t="n"/>
      <c r="G428" s="3" t="n"/>
    </row>
    <row r="429">
      <c r="A429" s="15" t="n"/>
      <c r="B429" s="3" t="n"/>
      <c r="C429" s="4">
        <f>SE(A429="";"";ÍNDICE(Configurações!$B$35:$B$46;MÊS(A429)))</f>
        <v/>
      </c>
      <c r="D429" s="17" t="n"/>
      <c r="E429" s="3" t="n"/>
      <c r="F429" s="3" t="n"/>
      <c r="G429" s="3" t="n"/>
    </row>
    <row r="430">
      <c r="A430" s="15" t="n"/>
      <c r="B430" s="3" t="n"/>
      <c r="C430" s="4">
        <f>SE(A430="";"";ÍNDICE(Configurações!$B$35:$B$46;MÊS(A430)))</f>
        <v/>
      </c>
      <c r="D430" s="17" t="n"/>
      <c r="E430" s="3" t="n"/>
      <c r="F430" s="3" t="n"/>
      <c r="G430" s="3" t="n"/>
    </row>
    <row r="431">
      <c r="A431" s="15" t="n"/>
      <c r="B431" s="3" t="n"/>
      <c r="C431" s="4">
        <f>SE(A431="";"";ÍNDICE(Configurações!$B$35:$B$46;MÊS(A431)))</f>
        <v/>
      </c>
      <c r="D431" s="17" t="n"/>
      <c r="E431" s="3" t="n"/>
      <c r="F431" s="3" t="n"/>
      <c r="G431" s="3" t="n"/>
    </row>
    <row r="432">
      <c r="A432" s="15" t="n"/>
      <c r="B432" s="3" t="n"/>
      <c r="C432" s="4">
        <f>SE(A432="";"";ÍNDICE(Configurações!$B$35:$B$46;MÊS(A432)))</f>
        <v/>
      </c>
      <c r="D432" s="17" t="n"/>
      <c r="E432" s="3" t="n"/>
      <c r="F432" s="3" t="n"/>
      <c r="G432" s="3" t="n"/>
    </row>
    <row r="433">
      <c r="A433" s="15" t="n"/>
      <c r="B433" s="3" t="n"/>
      <c r="C433" s="4">
        <f>SE(A433="";"";ÍNDICE(Configurações!$B$35:$B$46;MÊS(A433)))</f>
        <v/>
      </c>
      <c r="D433" s="17" t="n"/>
      <c r="E433" s="3" t="n"/>
      <c r="F433" s="3" t="n"/>
      <c r="G433" s="3" t="n"/>
    </row>
    <row r="434">
      <c r="A434" s="15" t="n"/>
      <c r="B434" s="3" t="n"/>
      <c r="C434" s="4">
        <f>SE(A434="";"";ÍNDICE(Configurações!$B$35:$B$46;MÊS(A434)))</f>
        <v/>
      </c>
      <c r="D434" s="17" t="n"/>
      <c r="E434" s="3" t="n"/>
      <c r="F434" s="3" t="n"/>
      <c r="G434" s="3" t="n"/>
    </row>
    <row r="435">
      <c r="A435" s="15" t="n"/>
      <c r="B435" s="3" t="n"/>
      <c r="C435" s="4">
        <f>SE(A435="";"";ÍNDICE(Configurações!$B$35:$B$46;MÊS(A435)))</f>
        <v/>
      </c>
      <c r="D435" s="17" t="n"/>
      <c r="E435" s="3" t="n"/>
      <c r="F435" s="3" t="n"/>
      <c r="G435" s="3" t="n"/>
    </row>
    <row r="436">
      <c r="A436" s="15" t="n"/>
      <c r="B436" s="3" t="n"/>
      <c r="C436" s="4">
        <f>SE(A436="";"";ÍNDICE(Configurações!$B$35:$B$46;MÊS(A436)))</f>
        <v/>
      </c>
      <c r="D436" s="17" t="n"/>
      <c r="E436" s="3" t="n"/>
      <c r="F436" s="3" t="n"/>
      <c r="G436" s="3" t="n"/>
    </row>
    <row r="437">
      <c r="A437" s="15" t="n"/>
      <c r="B437" s="3" t="n"/>
      <c r="C437" s="4">
        <f>SE(A437="";"";ÍNDICE(Configurações!$B$35:$B$46;MÊS(A437)))</f>
        <v/>
      </c>
      <c r="D437" s="17" t="n"/>
      <c r="E437" s="3" t="n"/>
      <c r="F437" s="3" t="n"/>
      <c r="G437" s="3" t="n"/>
    </row>
    <row r="438">
      <c r="A438" s="15" t="n"/>
      <c r="B438" s="3" t="n"/>
      <c r="C438" s="4">
        <f>SE(A438="";"";ÍNDICE(Configurações!$B$35:$B$46;MÊS(A438)))</f>
        <v/>
      </c>
      <c r="D438" s="17" t="n"/>
      <c r="E438" s="3" t="n"/>
      <c r="F438" s="3" t="n"/>
      <c r="G438" s="3" t="n"/>
    </row>
    <row r="439">
      <c r="A439" s="15" t="n"/>
      <c r="B439" s="3" t="n"/>
      <c r="C439" s="4">
        <f>SE(A439="";"";ÍNDICE(Configurações!$B$35:$B$46;MÊS(A439)))</f>
        <v/>
      </c>
      <c r="D439" s="17" t="n"/>
      <c r="E439" s="3" t="n"/>
      <c r="F439" s="3" t="n"/>
      <c r="G439" s="3" t="n"/>
    </row>
    <row r="440">
      <c r="A440" s="15" t="n"/>
      <c r="B440" s="3" t="n"/>
      <c r="C440" s="4">
        <f>SE(A440="";"";ÍNDICE(Configurações!$B$35:$B$46;MÊS(A440)))</f>
        <v/>
      </c>
      <c r="D440" s="17" t="n"/>
      <c r="E440" s="3" t="n"/>
      <c r="F440" s="3" t="n"/>
      <c r="G440" s="3" t="n"/>
    </row>
    <row r="441">
      <c r="A441" s="15" t="n"/>
      <c r="B441" s="3" t="n"/>
      <c r="C441" s="4">
        <f>SE(A441="";"";ÍNDICE(Configurações!$B$35:$B$46;MÊS(A441)))</f>
        <v/>
      </c>
      <c r="D441" s="17" t="n"/>
      <c r="E441" s="3" t="n"/>
      <c r="F441" s="3" t="n"/>
      <c r="G441" s="3" t="n"/>
    </row>
    <row r="442">
      <c r="A442" s="15" t="n"/>
      <c r="B442" s="3" t="n"/>
      <c r="C442" s="4">
        <f>SE(A442="";"";ÍNDICE(Configurações!$B$35:$B$46;MÊS(A442)))</f>
        <v/>
      </c>
      <c r="D442" s="17" t="n"/>
      <c r="E442" s="3" t="n"/>
      <c r="F442" s="3" t="n"/>
      <c r="G442" s="3" t="n"/>
    </row>
    <row r="443">
      <c r="A443" s="15" t="n"/>
      <c r="B443" s="3" t="n"/>
      <c r="C443" s="4">
        <f>SE(A443="";"";ÍNDICE(Configurações!$B$35:$B$46;MÊS(A443)))</f>
        <v/>
      </c>
      <c r="D443" s="17" t="n"/>
      <c r="E443" s="3" t="n"/>
      <c r="F443" s="3" t="n"/>
      <c r="G443" s="3" t="n"/>
    </row>
    <row r="444">
      <c r="A444" s="15" t="n"/>
      <c r="B444" s="3" t="n"/>
      <c r="C444" s="4">
        <f>SE(A444="";"";ÍNDICE(Configurações!$B$35:$B$46;MÊS(A444)))</f>
        <v/>
      </c>
      <c r="D444" s="17" t="n"/>
      <c r="E444" s="3" t="n"/>
      <c r="F444" s="3" t="n"/>
      <c r="G444" s="3" t="n"/>
    </row>
    <row r="445">
      <c r="A445" s="15" t="n"/>
      <c r="B445" s="3" t="n"/>
      <c r="C445" s="4">
        <f>SE(A445="";"";ÍNDICE(Configurações!$B$35:$B$46;MÊS(A445)))</f>
        <v/>
      </c>
      <c r="D445" s="17" t="n"/>
      <c r="E445" s="3" t="n"/>
      <c r="F445" s="3" t="n"/>
      <c r="G445" s="3" t="n"/>
    </row>
    <row r="446">
      <c r="A446" s="15" t="n"/>
      <c r="B446" s="3" t="n"/>
      <c r="C446" s="4">
        <f>SE(A446="";"";ÍNDICE(Configurações!$B$35:$B$46;MÊS(A446)))</f>
        <v/>
      </c>
      <c r="D446" s="17" t="n"/>
      <c r="E446" s="3" t="n"/>
      <c r="F446" s="3" t="n"/>
      <c r="G446" s="3" t="n"/>
    </row>
    <row r="447">
      <c r="A447" s="15" t="n"/>
      <c r="B447" s="3" t="n"/>
      <c r="C447" s="4">
        <f>SE(A447="";"";ÍNDICE(Configurações!$B$35:$B$46;MÊS(A447)))</f>
        <v/>
      </c>
      <c r="D447" s="17" t="n"/>
      <c r="E447" s="3" t="n"/>
      <c r="F447" s="3" t="n"/>
      <c r="G447" s="3" t="n"/>
    </row>
    <row r="448">
      <c r="A448" s="15" t="n"/>
      <c r="B448" s="3" t="n"/>
      <c r="C448" s="4">
        <f>SE(A448="";"";ÍNDICE(Configurações!$B$35:$B$46;MÊS(A448)))</f>
        <v/>
      </c>
      <c r="D448" s="17" t="n"/>
      <c r="E448" s="3" t="n"/>
      <c r="F448" s="3" t="n"/>
      <c r="G448" s="3" t="n"/>
    </row>
    <row r="449">
      <c r="A449" s="15" t="n"/>
      <c r="B449" s="3" t="n"/>
      <c r="C449" s="4">
        <f>SE(A449="";"";ÍNDICE(Configurações!$B$35:$B$46;MÊS(A449)))</f>
        <v/>
      </c>
      <c r="D449" s="17" t="n"/>
      <c r="E449" s="3" t="n"/>
      <c r="F449" s="3" t="n"/>
      <c r="G449" s="3" t="n"/>
    </row>
    <row r="450">
      <c r="A450" s="15" t="n"/>
      <c r="B450" s="3" t="n"/>
      <c r="C450" s="4">
        <f>SE(A450="";"";ÍNDICE(Configurações!$B$35:$B$46;MÊS(A450)))</f>
        <v/>
      </c>
      <c r="D450" s="17" t="n"/>
      <c r="E450" s="3" t="n"/>
      <c r="F450" s="3" t="n"/>
      <c r="G450" s="3" t="n"/>
    </row>
    <row r="451">
      <c r="A451" s="15" t="n"/>
      <c r="B451" s="3" t="n"/>
      <c r="C451" s="4">
        <f>SE(A451="";"";ÍNDICE(Configurações!$B$35:$B$46;MÊS(A451)))</f>
        <v/>
      </c>
      <c r="D451" s="17" t="n"/>
      <c r="E451" s="3" t="n"/>
      <c r="F451" s="3" t="n"/>
      <c r="G451" s="3" t="n"/>
    </row>
    <row r="452">
      <c r="A452" s="15" t="n"/>
      <c r="B452" s="3" t="n"/>
      <c r="C452" s="4">
        <f>SE(A452="";"";ÍNDICE(Configurações!$B$35:$B$46;MÊS(A452)))</f>
        <v/>
      </c>
      <c r="D452" s="17" t="n"/>
      <c r="E452" s="3" t="n"/>
      <c r="F452" s="3" t="n"/>
      <c r="G452" s="3" t="n"/>
    </row>
    <row r="453">
      <c r="A453" s="15" t="n"/>
      <c r="B453" s="3" t="n"/>
      <c r="C453" s="4">
        <f>SE(A453="";"";ÍNDICE(Configurações!$B$35:$B$46;MÊS(A453)))</f>
        <v/>
      </c>
      <c r="D453" s="17" t="n"/>
      <c r="E453" s="3" t="n"/>
      <c r="F453" s="3" t="n"/>
      <c r="G453" s="3" t="n"/>
    </row>
    <row r="454">
      <c r="A454" s="15" t="n"/>
      <c r="B454" s="3" t="n"/>
      <c r="C454" s="4">
        <f>SE(A454="";"";ÍNDICE(Configurações!$B$35:$B$46;MÊS(A454)))</f>
        <v/>
      </c>
      <c r="D454" s="17" t="n"/>
      <c r="E454" s="3" t="n"/>
      <c r="F454" s="3" t="n"/>
      <c r="G454" s="3" t="n"/>
    </row>
    <row r="455">
      <c r="A455" s="15" t="n"/>
      <c r="B455" s="3" t="n"/>
      <c r="C455" s="4">
        <f>SE(A455="";"";ÍNDICE(Configurações!$B$35:$B$46;MÊS(A455)))</f>
        <v/>
      </c>
      <c r="D455" s="17" t="n"/>
      <c r="E455" s="3" t="n"/>
      <c r="F455" s="3" t="n"/>
      <c r="G455" s="3" t="n"/>
    </row>
    <row r="456">
      <c r="A456" s="15" t="n"/>
      <c r="B456" s="3" t="n"/>
      <c r="C456" s="4">
        <f>SE(A456="";"";ÍNDICE(Configurações!$B$35:$B$46;MÊS(A456)))</f>
        <v/>
      </c>
      <c r="D456" s="17" t="n"/>
      <c r="E456" s="3" t="n"/>
      <c r="F456" s="3" t="n"/>
      <c r="G456" s="3" t="n"/>
    </row>
    <row r="457">
      <c r="A457" s="15" t="n"/>
      <c r="B457" s="3" t="n"/>
      <c r="C457" s="4">
        <f>SE(A457="";"";ÍNDICE(Configurações!$B$35:$B$46;MÊS(A457)))</f>
        <v/>
      </c>
      <c r="D457" s="17" t="n"/>
      <c r="E457" s="3" t="n"/>
      <c r="F457" s="3" t="n"/>
      <c r="G457" s="3" t="n"/>
    </row>
    <row r="458">
      <c r="A458" s="15" t="n"/>
      <c r="B458" s="3" t="n"/>
      <c r="C458" s="4">
        <f>SE(A458="";"";ÍNDICE(Configurações!$B$35:$B$46;MÊS(A458)))</f>
        <v/>
      </c>
      <c r="D458" s="17" t="n"/>
      <c r="E458" s="3" t="n"/>
      <c r="F458" s="3" t="n"/>
      <c r="G458" s="3" t="n"/>
    </row>
    <row r="459">
      <c r="A459" s="15" t="n"/>
      <c r="B459" s="3" t="n"/>
      <c r="C459" s="4">
        <f>SE(A459="";"";ÍNDICE(Configurações!$B$35:$B$46;MÊS(A459)))</f>
        <v/>
      </c>
      <c r="D459" s="17" t="n"/>
      <c r="E459" s="3" t="n"/>
      <c r="F459" s="3" t="n"/>
      <c r="G459" s="3" t="n"/>
    </row>
    <row r="460">
      <c r="A460" s="15" t="n"/>
      <c r="B460" s="3" t="n"/>
      <c r="C460" s="4">
        <f>SE(A460="";"";ÍNDICE(Configurações!$B$35:$B$46;MÊS(A460)))</f>
        <v/>
      </c>
      <c r="D460" s="17" t="n"/>
      <c r="E460" s="3" t="n"/>
      <c r="F460" s="3" t="n"/>
      <c r="G460" s="3" t="n"/>
    </row>
    <row r="461">
      <c r="A461" s="15" t="n"/>
      <c r="B461" s="3" t="n"/>
      <c r="C461" s="4">
        <f>SE(A461="";"";ÍNDICE(Configurações!$B$35:$B$46;MÊS(A461)))</f>
        <v/>
      </c>
      <c r="D461" s="17" t="n"/>
      <c r="E461" s="3" t="n"/>
      <c r="F461" s="3" t="n"/>
      <c r="G461" s="3" t="n"/>
    </row>
    <row r="462">
      <c r="A462" s="15" t="n"/>
      <c r="B462" s="3" t="n"/>
      <c r="C462" s="4">
        <f>SE(A462="";"";ÍNDICE(Configurações!$B$35:$B$46;MÊS(A462)))</f>
        <v/>
      </c>
      <c r="D462" s="17" t="n"/>
      <c r="E462" s="3" t="n"/>
      <c r="F462" s="3" t="n"/>
      <c r="G462" s="3" t="n"/>
    </row>
    <row r="463">
      <c r="A463" s="15" t="n"/>
      <c r="B463" s="3" t="n"/>
      <c r="C463" s="4">
        <f>SE(A463="";"";ÍNDICE(Configurações!$B$35:$B$46;MÊS(A463)))</f>
        <v/>
      </c>
      <c r="D463" s="17" t="n"/>
      <c r="E463" s="3" t="n"/>
      <c r="F463" s="3" t="n"/>
      <c r="G463" s="3" t="n"/>
    </row>
    <row r="464">
      <c r="A464" s="15" t="n"/>
      <c r="B464" s="3" t="n"/>
      <c r="C464" s="4">
        <f>SE(A464="";"";ÍNDICE(Configurações!$B$35:$B$46;MÊS(A464)))</f>
        <v/>
      </c>
      <c r="D464" s="17" t="n"/>
      <c r="E464" s="3" t="n"/>
      <c r="F464" s="3" t="n"/>
      <c r="G464" s="3" t="n"/>
    </row>
    <row r="465">
      <c r="A465" s="15" t="n"/>
      <c r="B465" s="3" t="n"/>
      <c r="C465" s="4">
        <f>SE(A465="";"";ÍNDICE(Configurações!$B$35:$B$46;MÊS(A465)))</f>
        <v/>
      </c>
      <c r="D465" s="17" t="n"/>
      <c r="E465" s="3" t="n"/>
      <c r="F465" s="3" t="n"/>
      <c r="G465" s="3" t="n"/>
    </row>
    <row r="466">
      <c r="A466" s="15" t="n"/>
      <c r="B466" s="3" t="n"/>
      <c r="C466" s="4">
        <f>SE(A466="";"";ÍNDICE(Configurações!$B$35:$B$46;MÊS(A466)))</f>
        <v/>
      </c>
      <c r="D466" s="17" t="n"/>
      <c r="E466" s="3" t="n"/>
      <c r="F466" s="3" t="n"/>
      <c r="G466" s="3" t="n"/>
    </row>
    <row r="467">
      <c r="A467" s="15" t="n"/>
      <c r="B467" s="3" t="n"/>
      <c r="C467" s="4">
        <f>SE(A467="";"";ÍNDICE(Configurações!$B$35:$B$46;MÊS(A467)))</f>
        <v/>
      </c>
      <c r="D467" s="17" t="n"/>
      <c r="E467" s="3" t="n"/>
      <c r="F467" s="3" t="n"/>
      <c r="G467" s="3" t="n"/>
    </row>
    <row r="468">
      <c r="A468" s="15" t="n"/>
      <c r="B468" s="3" t="n"/>
      <c r="C468" s="4">
        <f>SE(A468="";"";ÍNDICE(Configurações!$B$35:$B$46;MÊS(A468)))</f>
        <v/>
      </c>
      <c r="D468" s="17" t="n"/>
      <c r="E468" s="3" t="n"/>
      <c r="F468" s="3" t="n"/>
      <c r="G468" s="3" t="n"/>
    </row>
    <row r="469">
      <c r="A469" s="15" t="n"/>
      <c r="B469" s="3" t="n"/>
      <c r="C469" s="4">
        <f>SE(A469="";"";ÍNDICE(Configurações!$B$35:$B$46;MÊS(A469)))</f>
        <v/>
      </c>
      <c r="D469" s="17" t="n"/>
      <c r="E469" s="3" t="n"/>
      <c r="F469" s="3" t="n"/>
      <c r="G469" s="3" t="n"/>
    </row>
    <row r="470">
      <c r="A470" s="15" t="n"/>
      <c r="B470" s="3" t="n"/>
      <c r="C470" s="4">
        <f>SE(A470="";"";ÍNDICE(Configurações!$B$35:$B$46;MÊS(A470)))</f>
        <v/>
      </c>
      <c r="D470" s="17" t="n"/>
      <c r="E470" s="3" t="n"/>
      <c r="F470" s="3" t="n"/>
      <c r="G470" s="3" t="n"/>
    </row>
    <row r="471">
      <c r="A471" s="15" t="n"/>
      <c r="B471" s="3" t="n"/>
      <c r="C471" s="4">
        <f>SE(A471="";"";ÍNDICE(Configurações!$B$35:$B$46;MÊS(A471)))</f>
        <v/>
      </c>
      <c r="D471" s="17" t="n"/>
      <c r="E471" s="3" t="n"/>
      <c r="F471" s="3" t="n"/>
      <c r="G471" s="3" t="n"/>
    </row>
    <row r="472">
      <c r="A472" s="15" t="n"/>
      <c r="B472" s="3" t="n"/>
      <c r="C472" s="4">
        <f>SE(A472="";"";ÍNDICE(Configurações!$B$35:$B$46;MÊS(A472)))</f>
        <v/>
      </c>
      <c r="D472" s="17" t="n"/>
      <c r="E472" s="3" t="n"/>
      <c r="F472" s="3" t="n"/>
      <c r="G472" s="3" t="n"/>
    </row>
    <row r="473">
      <c r="A473" s="15" t="n"/>
      <c r="B473" s="3" t="n"/>
      <c r="C473" s="4">
        <f>SE(A473="";"";ÍNDICE(Configurações!$B$35:$B$46;MÊS(A473)))</f>
        <v/>
      </c>
      <c r="D473" s="17" t="n"/>
      <c r="E473" s="3" t="n"/>
      <c r="F473" s="3" t="n"/>
      <c r="G473" s="3" t="n"/>
    </row>
    <row r="474">
      <c r="A474" s="15" t="n"/>
      <c r="B474" s="3" t="n"/>
      <c r="C474" s="4">
        <f>SE(A474="";"";ÍNDICE(Configurações!$B$35:$B$46;MÊS(A474)))</f>
        <v/>
      </c>
      <c r="D474" s="17" t="n"/>
      <c r="E474" s="3" t="n"/>
      <c r="F474" s="3" t="n"/>
      <c r="G474" s="3" t="n"/>
    </row>
    <row r="475">
      <c r="A475" s="15" t="n"/>
      <c r="B475" s="3" t="n"/>
      <c r="C475" s="4">
        <f>SE(A475="";"";ÍNDICE(Configurações!$B$35:$B$46;MÊS(A475)))</f>
        <v/>
      </c>
      <c r="D475" s="17" t="n"/>
      <c r="E475" s="3" t="n"/>
      <c r="F475" s="3" t="n"/>
      <c r="G475" s="3" t="n"/>
    </row>
    <row r="476">
      <c r="A476" s="15" t="n"/>
      <c r="B476" s="3" t="n"/>
      <c r="C476" s="4">
        <f>SE(A476="";"";ÍNDICE(Configurações!$B$35:$B$46;MÊS(A476)))</f>
        <v/>
      </c>
      <c r="D476" s="17" t="n"/>
      <c r="E476" s="3" t="n"/>
      <c r="F476" s="3" t="n"/>
      <c r="G476" s="3" t="n"/>
    </row>
    <row r="477">
      <c r="A477" s="15" t="n"/>
      <c r="B477" s="3" t="n"/>
      <c r="C477" s="4">
        <f>SE(A477="";"";ÍNDICE(Configurações!$B$35:$B$46;MÊS(A477)))</f>
        <v/>
      </c>
      <c r="D477" s="17" t="n"/>
      <c r="E477" s="3" t="n"/>
      <c r="F477" s="3" t="n"/>
      <c r="G477" s="3" t="n"/>
    </row>
    <row r="478">
      <c r="A478" s="15" t="n"/>
      <c r="B478" s="3" t="n"/>
      <c r="C478" s="4">
        <f>SE(A478="";"";ÍNDICE(Configurações!$B$35:$B$46;MÊS(A478)))</f>
        <v/>
      </c>
      <c r="D478" s="17" t="n"/>
      <c r="E478" s="3" t="n"/>
      <c r="F478" s="3" t="n"/>
      <c r="G478" s="3" t="n"/>
    </row>
    <row r="479">
      <c r="A479" s="15" t="n"/>
      <c r="B479" s="3" t="n"/>
      <c r="C479" s="4">
        <f>SE(A479="";"";ÍNDICE(Configurações!$B$35:$B$46;MÊS(A479)))</f>
        <v/>
      </c>
      <c r="D479" s="17" t="n"/>
      <c r="E479" s="3" t="n"/>
      <c r="F479" s="3" t="n"/>
      <c r="G479" s="3" t="n"/>
    </row>
    <row r="480">
      <c r="A480" s="15" t="n"/>
      <c r="B480" s="3" t="n"/>
      <c r="C480" s="4">
        <f>SE(A480="";"";ÍNDICE(Configurações!$B$35:$B$46;MÊS(A480)))</f>
        <v/>
      </c>
      <c r="D480" s="17" t="n"/>
      <c r="E480" s="3" t="n"/>
      <c r="F480" s="3" t="n"/>
      <c r="G480" s="3" t="n"/>
    </row>
    <row r="481">
      <c r="A481" s="15" t="n"/>
      <c r="B481" s="3" t="n"/>
      <c r="C481" s="4">
        <f>SE(A481="";"";ÍNDICE(Configurações!$B$35:$B$46;MÊS(A481)))</f>
        <v/>
      </c>
      <c r="D481" s="17" t="n"/>
      <c r="E481" s="3" t="n"/>
      <c r="F481" s="3" t="n"/>
      <c r="G481" s="3" t="n"/>
    </row>
    <row r="482">
      <c r="A482" s="15" t="n"/>
      <c r="B482" s="3" t="n"/>
      <c r="C482" s="4">
        <f>SE(A482="";"";ÍNDICE(Configurações!$B$35:$B$46;MÊS(A482)))</f>
        <v/>
      </c>
      <c r="D482" s="17" t="n"/>
      <c r="E482" s="3" t="n"/>
      <c r="F482" s="3" t="n"/>
      <c r="G482" s="3" t="n"/>
    </row>
    <row r="483">
      <c r="A483" s="15" t="n"/>
      <c r="B483" s="3" t="n"/>
      <c r="C483" s="4">
        <f>SE(A483="";"";ÍNDICE(Configurações!$B$35:$B$46;MÊS(A483)))</f>
        <v/>
      </c>
      <c r="D483" s="17" t="n"/>
      <c r="E483" s="3" t="n"/>
      <c r="F483" s="3" t="n"/>
      <c r="G483" s="3" t="n"/>
    </row>
    <row r="484">
      <c r="A484" s="15" t="n"/>
      <c r="B484" s="3" t="n"/>
      <c r="C484" s="4">
        <f>SE(A484="";"";ÍNDICE(Configurações!$B$35:$B$46;MÊS(A484)))</f>
        <v/>
      </c>
      <c r="D484" s="17" t="n"/>
      <c r="E484" s="3" t="n"/>
      <c r="F484" s="3" t="n"/>
      <c r="G484" s="3" t="n"/>
    </row>
    <row r="485">
      <c r="A485" s="15" t="n"/>
      <c r="B485" s="3" t="n"/>
      <c r="C485" s="4">
        <f>SE(A485="";"";ÍNDICE(Configurações!$B$35:$B$46;MÊS(A485)))</f>
        <v/>
      </c>
      <c r="D485" s="17" t="n"/>
      <c r="E485" s="3" t="n"/>
      <c r="F485" s="3" t="n"/>
      <c r="G485" s="3" t="n"/>
    </row>
    <row r="486">
      <c r="A486" s="15" t="n"/>
      <c r="B486" s="3" t="n"/>
      <c r="C486" s="4">
        <f>SE(A486="";"";ÍNDICE(Configurações!$B$35:$B$46;MÊS(A486)))</f>
        <v/>
      </c>
      <c r="D486" s="17" t="n"/>
      <c r="E486" s="3" t="n"/>
      <c r="F486" s="3" t="n"/>
      <c r="G486" s="3" t="n"/>
    </row>
    <row r="487">
      <c r="A487" s="15" t="n"/>
      <c r="B487" s="3" t="n"/>
      <c r="C487" s="4">
        <f>SE(A487="";"";ÍNDICE(Configurações!$B$35:$B$46;MÊS(A487)))</f>
        <v/>
      </c>
      <c r="D487" s="17" t="n"/>
      <c r="E487" s="3" t="n"/>
      <c r="F487" s="3" t="n"/>
      <c r="G487" s="3" t="n"/>
    </row>
    <row r="488">
      <c r="A488" s="15" t="n"/>
      <c r="B488" s="3" t="n"/>
      <c r="C488" s="4">
        <f>SE(A488="";"";ÍNDICE(Configurações!$B$35:$B$46;MÊS(A488)))</f>
        <v/>
      </c>
      <c r="D488" s="17" t="n"/>
      <c r="E488" s="3" t="n"/>
      <c r="F488" s="3" t="n"/>
      <c r="G488" s="3" t="n"/>
    </row>
    <row r="489">
      <c r="A489" s="15" t="n"/>
      <c r="B489" s="3" t="n"/>
      <c r="C489" s="4">
        <f>SE(A489="";"";ÍNDICE(Configurações!$B$35:$B$46;MÊS(A489)))</f>
        <v/>
      </c>
      <c r="D489" s="17" t="n"/>
      <c r="E489" s="3" t="n"/>
      <c r="F489" s="3" t="n"/>
      <c r="G489" s="3" t="n"/>
    </row>
    <row r="490">
      <c r="A490" s="15" t="n"/>
      <c r="B490" s="3" t="n"/>
      <c r="C490" s="4">
        <f>SE(A490="";"";ÍNDICE(Configurações!$B$35:$B$46;MÊS(A490)))</f>
        <v/>
      </c>
      <c r="D490" s="17" t="n"/>
      <c r="E490" s="3" t="n"/>
      <c r="F490" s="3" t="n"/>
      <c r="G490" s="3" t="n"/>
    </row>
    <row r="491">
      <c r="A491" s="15" t="n"/>
      <c r="B491" s="3" t="n"/>
      <c r="C491" s="4">
        <f>SE(A491="";"";ÍNDICE(Configurações!$B$35:$B$46;MÊS(A491)))</f>
        <v/>
      </c>
      <c r="D491" s="17" t="n"/>
      <c r="E491" s="3" t="n"/>
      <c r="F491" s="3" t="n"/>
      <c r="G491" s="3" t="n"/>
    </row>
    <row r="492">
      <c r="A492" s="15" t="n"/>
      <c r="B492" s="3" t="n"/>
      <c r="C492" s="4">
        <f>SE(A492="";"";ÍNDICE(Configurações!$B$35:$B$46;MÊS(A492)))</f>
        <v/>
      </c>
      <c r="D492" s="17" t="n"/>
      <c r="E492" s="3" t="n"/>
      <c r="F492" s="3" t="n"/>
      <c r="G492" s="3" t="n"/>
    </row>
    <row r="493">
      <c r="A493" s="15" t="n"/>
      <c r="B493" s="3" t="n"/>
      <c r="C493" s="4">
        <f>SE(A493="";"";ÍNDICE(Configurações!$B$35:$B$46;MÊS(A493)))</f>
        <v/>
      </c>
      <c r="D493" s="17" t="n"/>
      <c r="E493" s="3" t="n"/>
      <c r="F493" s="3" t="n"/>
      <c r="G493" s="3" t="n"/>
    </row>
    <row r="494">
      <c r="A494" s="15" t="n"/>
      <c r="B494" s="3" t="n"/>
      <c r="C494" s="4">
        <f>SE(A494="";"";ÍNDICE(Configurações!$B$35:$B$46;MÊS(A494)))</f>
        <v/>
      </c>
      <c r="D494" s="17" t="n"/>
      <c r="E494" s="3" t="n"/>
      <c r="F494" s="3" t="n"/>
      <c r="G494" s="3" t="n"/>
    </row>
    <row r="495">
      <c r="A495" s="15" t="n"/>
      <c r="B495" s="3" t="n"/>
      <c r="C495" s="4">
        <f>SE(A495="";"";ÍNDICE(Configurações!$B$35:$B$46;MÊS(A495)))</f>
        <v/>
      </c>
      <c r="D495" s="17" t="n"/>
      <c r="E495" s="3" t="n"/>
      <c r="F495" s="3" t="n"/>
      <c r="G495" s="3" t="n"/>
    </row>
    <row r="496">
      <c r="A496" s="15" t="n"/>
      <c r="B496" s="3" t="n"/>
      <c r="C496" s="4">
        <f>SE(A496="";"";ÍNDICE(Configurações!$B$35:$B$46;MÊS(A496)))</f>
        <v/>
      </c>
      <c r="D496" s="17" t="n"/>
      <c r="E496" s="3" t="n"/>
      <c r="F496" s="3" t="n"/>
      <c r="G496" s="3" t="n"/>
    </row>
    <row r="497">
      <c r="A497" s="15" t="n"/>
      <c r="B497" s="3" t="n"/>
      <c r="C497" s="4">
        <f>SE(A497="";"";ÍNDICE(Configurações!$B$35:$B$46;MÊS(A497)))</f>
        <v/>
      </c>
      <c r="D497" s="17" t="n"/>
      <c r="E497" s="3" t="n"/>
      <c r="F497" s="3" t="n"/>
      <c r="G497" s="3" t="n"/>
    </row>
    <row r="498">
      <c r="A498" s="15" t="n"/>
      <c r="B498" s="3" t="n"/>
      <c r="C498" s="4">
        <f>SE(A498="";"";ÍNDICE(Configurações!$B$35:$B$46;MÊS(A498)))</f>
        <v/>
      </c>
      <c r="D498" s="17" t="n"/>
      <c r="E498" s="3" t="n"/>
      <c r="F498" s="3" t="n"/>
      <c r="G498" s="3" t="n"/>
    </row>
    <row r="499">
      <c r="A499" s="15" t="n"/>
      <c r="B499" s="3" t="n"/>
      <c r="C499" s="4">
        <f>SE(A499="";"";ÍNDICE(Configurações!$B$35:$B$46;MÊS(A499)))</f>
        <v/>
      </c>
      <c r="D499" s="17" t="n"/>
      <c r="E499" s="3" t="n"/>
      <c r="F499" s="3" t="n"/>
      <c r="G499" s="3" t="n"/>
    </row>
    <row r="500">
      <c r="A500" s="15" t="n"/>
      <c r="B500" s="3" t="n"/>
      <c r="C500" s="4">
        <f>SE(A500="";"";ÍNDICE(Configurações!$B$35:$B$46;MÊS(A500)))</f>
        <v/>
      </c>
      <c r="D500" s="17" t="n"/>
      <c r="E500" s="3" t="n"/>
      <c r="F500" s="3" t="n"/>
      <c r="G500" s="3" t="n"/>
    </row>
    <row r="501">
      <c r="A501" s="15" t="n"/>
      <c r="B501" s="3" t="n"/>
      <c r="C501" s="4">
        <f>SE(A501="";"";ÍNDICE(Configurações!$B$35:$B$46;MÊS(A501)))</f>
        <v/>
      </c>
      <c r="D501" s="17" t="n"/>
      <c r="E501" s="3" t="n"/>
      <c r="F501" s="3" t="n"/>
      <c r="G501" s="3" t="n"/>
    </row>
    <row r="502">
      <c r="A502" s="15" t="n"/>
      <c r="B502" s="3" t="n"/>
      <c r="C502" s="4">
        <f>SE(A502="";"";ÍNDICE(Configurações!$B$35:$B$46;MÊS(A502)))</f>
        <v/>
      </c>
      <c r="D502" s="17" t="n"/>
      <c r="E502" s="3" t="n"/>
      <c r="F502" s="3" t="n"/>
      <c r="G50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G2"/>
  <mergeCells count="1">
    <mergeCell ref="A1:G1"/>
  </mergeCells>
  <dataValidations count="2">
    <dataValidation sqref="E3:E502" showDropDown="0" showInputMessage="0" showErrorMessage="0" allowBlank="1" errorTitle="Valor inválido" error="Selecione um valor da lista." type="list">
      <formula1>=Configurações!$J$36:$J$37</formula1>
    </dataValidation>
    <dataValidation sqref="F3:F502" showDropDown="0" showInputMessage="0" showErrorMessage="0" allowBlank="1" errorTitle="Valor inválido" error="Selecione um valor da lista." type="list">
      <formula1>=Configurações!$H$36:$H$40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0" customWidth="1" min="4" max="4"/>
    <col width="18" customWidth="1" min="5" max="5"/>
    <col width="14" customWidth="1" min="6" max="6"/>
    <col width="12" customWidth="1" min="7" max="7"/>
    <col width="18" customWidth="1" min="8" max="8"/>
    <col width="26" customWidth="1" min="9" max="9"/>
  </cols>
  <sheetData>
    <row r="1" ht="40" customHeight="1">
      <c r="A1" s="1" t="inlineStr">
        <is>
          <t>💸  Gastos</t>
        </is>
      </c>
    </row>
    <row r="2" ht="28" customHeight="1">
      <c r="A2" s="14" t="inlineStr">
        <is>
          <t>Data</t>
        </is>
      </c>
      <c r="B2" s="14" t="inlineStr">
        <is>
          <t>Categoria</t>
        </is>
      </c>
      <c r="C2" s="14" t="inlineStr">
        <is>
          <t>Descrição</t>
        </is>
      </c>
      <c r="D2" s="14" t="inlineStr">
        <is>
          <t>Fornecedor</t>
        </is>
      </c>
      <c r="E2" s="14" t="inlineStr">
        <is>
          <t>Forma de Pagamento</t>
        </is>
      </c>
      <c r="F2" s="14" t="inlineStr">
        <is>
          <t>Valor</t>
        </is>
      </c>
      <c r="G2" s="14" t="inlineStr">
        <is>
          <t>Conta</t>
        </is>
      </c>
      <c r="H2" s="14" t="inlineStr">
        <is>
          <t>Responsável</t>
        </is>
      </c>
      <c r="I2" s="14" t="inlineStr">
        <is>
          <t>Observação</t>
        </is>
      </c>
    </row>
    <row r="3">
      <c r="A3" s="15" t="n"/>
      <c r="B3" s="3" t="n"/>
      <c r="C3" s="3" t="n"/>
      <c r="D3" s="3" t="n"/>
      <c r="E3" s="3" t="n"/>
      <c r="F3" s="17" t="n"/>
      <c r="G3" s="3" t="n"/>
      <c r="H3" s="3" t="n"/>
      <c r="I3" s="3" t="n"/>
    </row>
    <row r="4">
      <c r="A4" s="15" t="n"/>
      <c r="B4" s="3" t="n"/>
      <c r="C4" s="3" t="n"/>
      <c r="D4" s="3" t="n"/>
      <c r="E4" s="3" t="n"/>
      <c r="F4" s="17" t="n"/>
      <c r="G4" s="3" t="n"/>
      <c r="H4" s="3" t="n"/>
      <c r="I4" s="3" t="n"/>
    </row>
    <row r="5">
      <c r="A5" s="15" t="n"/>
      <c r="B5" s="3" t="n"/>
      <c r="C5" s="3" t="n"/>
      <c r="D5" s="3" t="n"/>
      <c r="E5" s="3" t="n"/>
      <c r="F5" s="17" t="n"/>
      <c r="G5" s="3" t="n"/>
      <c r="H5" s="3" t="n"/>
      <c r="I5" s="3" t="n"/>
    </row>
    <row r="6">
      <c r="A6" s="15" t="n"/>
      <c r="B6" s="3" t="n"/>
      <c r="C6" s="3" t="n"/>
      <c r="D6" s="3" t="n"/>
      <c r="E6" s="3" t="n"/>
      <c r="F6" s="17" t="n"/>
      <c r="G6" s="3" t="n"/>
      <c r="H6" s="3" t="n"/>
      <c r="I6" s="3" t="n"/>
    </row>
    <row r="7">
      <c r="A7" s="15" t="n"/>
      <c r="B7" s="3" t="n"/>
      <c r="C7" s="3" t="n"/>
      <c r="D7" s="3" t="n"/>
      <c r="E7" s="3" t="n"/>
      <c r="F7" s="17" t="n"/>
      <c r="G7" s="3" t="n"/>
      <c r="H7" s="3" t="n"/>
      <c r="I7" s="3" t="n"/>
    </row>
    <row r="8">
      <c r="A8" s="15" t="n"/>
      <c r="B8" s="3" t="n"/>
      <c r="C8" s="3" t="n"/>
      <c r="D8" s="3" t="n"/>
      <c r="E8" s="3" t="n"/>
      <c r="F8" s="17" t="n"/>
      <c r="G8" s="3" t="n"/>
      <c r="H8" s="3" t="n"/>
      <c r="I8" s="3" t="n"/>
    </row>
    <row r="9">
      <c r="A9" s="15" t="n"/>
      <c r="B9" s="3" t="n"/>
      <c r="C9" s="3" t="n"/>
      <c r="D9" s="3" t="n"/>
      <c r="E9" s="3" t="n"/>
      <c r="F9" s="17" t="n"/>
      <c r="G9" s="3" t="n"/>
      <c r="H9" s="3" t="n"/>
      <c r="I9" s="3" t="n"/>
    </row>
    <row r="10">
      <c r="A10" s="15" t="n"/>
      <c r="B10" s="3" t="n"/>
      <c r="C10" s="3" t="n"/>
      <c r="D10" s="3" t="n"/>
      <c r="E10" s="3" t="n"/>
      <c r="F10" s="17" t="n"/>
      <c r="G10" s="3" t="n"/>
      <c r="H10" s="3" t="n"/>
      <c r="I10" s="3" t="n"/>
    </row>
    <row r="11">
      <c r="A11" s="15" t="n"/>
      <c r="B11" s="3" t="n"/>
      <c r="C11" s="3" t="n"/>
      <c r="D11" s="3" t="n"/>
      <c r="E11" s="3" t="n"/>
      <c r="F11" s="17" t="n"/>
      <c r="G11" s="3" t="n"/>
      <c r="H11" s="3" t="n"/>
      <c r="I11" s="3" t="n"/>
    </row>
    <row r="12">
      <c r="A12" s="15" t="n"/>
      <c r="B12" s="3" t="n"/>
      <c r="C12" s="3" t="n"/>
      <c r="D12" s="3" t="n"/>
      <c r="E12" s="3" t="n"/>
      <c r="F12" s="17" t="n"/>
      <c r="G12" s="3" t="n"/>
      <c r="H12" s="3" t="n"/>
      <c r="I12" s="3" t="n"/>
    </row>
    <row r="13">
      <c r="A13" s="15" t="n"/>
      <c r="B13" s="3" t="n"/>
      <c r="C13" s="3" t="n"/>
      <c r="D13" s="3" t="n"/>
      <c r="E13" s="3" t="n"/>
      <c r="F13" s="17" t="n"/>
      <c r="G13" s="3" t="n"/>
      <c r="H13" s="3" t="n"/>
      <c r="I13" s="3" t="n"/>
    </row>
    <row r="14">
      <c r="A14" s="15" t="n"/>
      <c r="B14" s="3" t="n"/>
      <c r="C14" s="3" t="n"/>
      <c r="D14" s="3" t="n"/>
      <c r="E14" s="3" t="n"/>
      <c r="F14" s="17" t="n"/>
      <c r="G14" s="3" t="n"/>
      <c r="H14" s="3" t="n"/>
      <c r="I14" s="3" t="n"/>
    </row>
    <row r="15">
      <c r="A15" s="15" t="n"/>
      <c r="B15" s="3" t="n"/>
      <c r="C15" s="3" t="n"/>
      <c r="D15" s="3" t="n"/>
      <c r="E15" s="3" t="n"/>
      <c r="F15" s="17" t="n"/>
      <c r="G15" s="3" t="n"/>
      <c r="H15" s="3" t="n"/>
      <c r="I15" s="3" t="n"/>
    </row>
    <row r="16">
      <c r="A16" s="15" t="n"/>
      <c r="B16" s="3" t="n"/>
      <c r="C16" s="3" t="n"/>
      <c r="D16" s="3" t="n"/>
      <c r="E16" s="3" t="n"/>
      <c r="F16" s="17" t="n"/>
      <c r="G16" s="3" t="n"/>
      <c r="H16" s="3" t="n"/>
      <c r="I16" s="3" t="n"/>
    </row>
    <row r="17">
      <c r="A17" s="15" t="n"/>
      <c r="B17" s="3" t="n"/>
      <c r="C17" s="3" t="n"/>
      <c r="D17" s="3" t="n"/>
      <c r="E17" s="3" t="n"/>
      <c r="F17" s="17" t="n"/>
      <c r="G17" s="3" t="n"/>
      <c r="H17" s="3" t="n"/>
      <c r="I17" s="3" t="n"/>
    </row>
    <row r="18">
      <c r="A18" s="15" t="n"/>
      <c r="B18" s="3" t="n"/>
      <c r="C18" s="3" t="n"/>
      <c r="D18" s="3" t="n"/>
      <c r="E18" s="3" t="n"/>
      <c r="F18" s="17" t="n"/>
      <c r="G18" s="3" t="n"/>
      <c r="H18" s="3" t="n"/>
      <c r="I18" s="3" t="n"/>
    </row>
    <row r="19">
      <c r="A19" s="15" t="n"/>
      <c r="B19" s="3" t="n"/>
      <c r="C19" s="3" t="n"/>
      <c r="D19" s="3" t="n"/>
      <c r="E19" s="3" t="n"/>
      <c r="F19" s="17" t="n"/>
      <c r="G19" s="3" t="n"/>
      <c r="H19" s="3" t="n"/>
      <c r="I19" s="3" t="n"/>
    </row>
    <row r="20">
      <c r="A20" s="15" t="n"/>
      <c r="B20" s="3" t="n"/>
      <c r="C20" s="3" t="n"/>
      <c r="D20" s="3" t="n"/>
      <c r="E20" s="3" t="n"/>
      <c r="F20" s="17" t="n"/>
      <c r="G20" s="3" t="n"/>
      <c r="H20" s="3" t="n"/>
      <c r="I20" s="3" t="n"/>
    </row>
    <row r="21">
      <c r="A21" s="15" t="n"/>
      <c r="B21" s="3" t="n"/>
      <c r="C21" s="3" t="n"/>
      <c r="D21" s="3" t="n"/>
      <c r="E21" s="3" t="n"/>
      <c r="F21" s="17" t="n"/>
      <c r="G21" s="3" t="n"/>
      <c r="H21" s="3" t="n"/>
      <c r="I21" s="3" t="n"/>
    </row>
    <row r="22">
      <c r="A22" s="15" t="n"/>
      <c r="B22" s="3" t="n"/>
      <c r="C22" s="3" t="n"/>
      <c r="D22" s="3" t="n"/>
      <c r="E22" s="3" t="n"/>
      <c r="F22" s="17" t="n"/>
      <c r="G22" s="3" t="n"/>
      <c r="H22" s="3" t="n"/>
      <c r="I22" s="3" t="n"/>
    </row>
    <row r="23">
      <c r="A23" s="15" t="n"/>
      <c r="B23" s="3" t="n"/>
      <c r="C23" s="3" t="n"/>
      <c r="D23" s="3" t="n"/>
      <c r="E23" s="3" t="n"/>
      <c r="F23" s="17" t="n"/>
      <c r="G23" s="3" t="n"/>
      <c r="H23" s="3" t="n"/>
      <c r="I23" s="3" t="n"/>
    </row>
    <row r="24">
      <c r="A24" s="15" t="n"/>
      <c r="B24" s="3" t="n"/>
      <c r="C24" s="3" t="n"/>
      <c r="D24" s="3" t="n"/>
      <c r="E24" s="3" t="n"/>
      <c r="F24" s="17" t="n"/>
      <c r="G24" s="3" t="n"/>
      <c r="H24" s="3" t="n"/>
      <c r="I24" s="3" t="n"/>
    </row>
    <row r="25">
      <c r="A25" s="15" t="n"/>
      <c r="B25" s="3" t="n"/>
      <c r="C25" s="3" t="n"/>
      <c r="D25" s="3" t="n"/>
      <c r="E25" s="3" t="n"/>
      <c r="F25" s="17" t="n"/>
      <c r="G25" s="3" t="n"/>
      <c r="H25" s="3" t="n"/>
      <c r="I25" s="3" t="n"/>
    </row>
    <row r="26">
      <c r="A26" s="15" t="n"/>
      <c r="B26" s="3" t="n"/>
      <c r="C26" s="3" t="n"/>
      <c r="D26" s="3" t="n"/>
      <c r="E26" s="3" t="n"/>
      <c r="F26" s="17" t="n"/>
      <c r="G26" s="3" t="n"/>
      <c r="H26" s="3" t="n"/>
      <c r="I26" s="3" t="n"/>
    </row>
    <row r="27">
      <c r="A27" s="15" t="n"/>
      <c r="B27" s="3" t="n"/>
      <c r="C27" s="3" t="n"/>
      <c r="D27" s="3" t="n"/>
      <c r="E27" s="3" t="n"/>
      <c r="F27" s="17" t="n"/>
      <c r="G27" s="3" t="n"/>
      <c r="H27" s="3" t="n"/>
      <c r="I27" s="3" t="n"/>
    </row>
    <row r="28">
      <c r="A28" s="15" t="n"/>
      <c r="B28" s="3" t="n"/>
      <c r="C28" s="3" t="n"/>
      <c r="D28" s="3" t="n"/>
      <c r="E28" s="3" t="n"/>
      <c r="F28" s="17" t="n"/>
      <c r="G28" s="3" t="n"/>
      <c r="H28" s="3" t="n"/>
      <c r="I28" s="3" t="n"/>
    </row>
    <row r="29">
      <c r="A29" s="15" t="n"/>
      <c r="B29" s="3" t="n"/>
      <c r="C29" s="3" t="n"/>
      <c r="D29" s="3" t="n"/>
      <c r="E29" s="3" t="n"/>
      <c r="F29" s="17" t="n"/>
      <c r="G29" s="3" t="n"/>
      <c r="H29" s="3" t="n"/>
      <c r="I29" s="3" t="n"/>
    </row>
    <row r="30">
      <c r="A30" s="15" t="n"/>
      <c r="B30" s="3" t="n"/>
      <c r="C30" s="3" t="n"/>
      <c r="D30" s="3" t="n"/>
      <c r="E30" s="3" t="n"/>
      <c r="F30" s="17" t="n"/>
      <c r="G30" s="3" t="n"/>
      <c r="H30" s="3" t="n"/>
      <c r="I30" s="3" t="n"/>
    </row>
    <row r="31">
      <c r="A31" s="15" t="n"/>
      <c r="B31" s="3" t="n"/>
      <c r="C31" s="3" t="n"/>
      <c r="D31" s="3" t="n"/>
      <c r="E31" s="3" t="n"/>
      <c r="F31" s="17" t="n"/>
      <c r="G31" s="3" t="n"/>
      <c r="H31" s="3" t="n"/>
      <c r="I31" s="3" t="n"/>
    </row>
    <row r="32">
      <c r="A32" s="15" t="n"/>
      <c r="B32" s="3" t="n"/>
      <c r="C32" s="3" t="n"/>
      <c r="D32" s="3" t="n"/>
      <c r="E32" s="3" t="n"/>
      <c r="F32" s="17" t="n"/>
      <c r="G32" s="3" t="n"/>
      <c r="H32" s="3" t="n"/>
      <c r="I32" s="3" t="n"/>
    </row>
    <row r="33">
      <c r="A33" s="15" t="n"/>
      <c r="B33" s="3" t="n"/>
      <c r="C33" s="3" t="n"/>
      <c r="D33" s="3" t="n"/>
      <c r="E33" s="3" t="n"/>
      <c r="F33" s="17" t="n"/>
      <c r="G33" s="3" t="n"/>
      <c r="H33" s="3" t="n"/>
      <c r="I33" s="3" t="n"/>
    </row>
    <row r="34">
      <c r="A34" s="15" t="n"/>
      <c r="B34" s="3" t="n"/>
      <c r="C34" s="3" t="n"/>
      <c r="D34" s="3" t="n"/>
      <c r="E34" s="3" t="n"/>
      <c r="F34" s="17" t="n"/>
      <c r="G34" s="3" t="n"/>
      <c r="H34" s="3" t="n"/>
      <c r="I34" s="3" t="n"/>
    </row>
    <row r="35">
      <c r="A35" s="15" t="n"/>
      <c r="B35" s="3" t="n"/>
      <c r="C35" s="3" t="n"/>
      <c r="D35" s="3" t="n"/>
      <c r="E35" s="3" t="n"/>
      <c r="F35" s="17" t="n"/>
      <c r="G35" s="3" t="n"/>
      <c r="H35" s="3" t="n"/>
      <c r="I35" s="3" t="n"/>
    </row>
    <row r="36">
      <c r="A36" s="15" t="n"/>
      <c r="B36" s="3" t="n"/>
      <c r="C36" s="3" t="n"/>
      <c r="D36" s="3" t="n"/>
      <c r="E36" s="3" t="n"/>
      <c r="F36" s="17" t="n"/>
      <c r="G36" s="3" t="n"/>
      <c r="H36" s="3" t="n"/>
      <c r="I36" s="3" t="n"/>
    </row>
    <row r="37">
      <c r="A37" s="15" t="n"/>
      <c r="B37" s="3" t="n"/>
      <c r="C37" s="3" t="n"/>
      <c r="D37" s="3" t="n"/>
      <c r="E37" s="3" t="n"/>
      <c r="F37" s="17" t="n"/>
      <c r="G37" s="3" t="n"/>
      <c r="H37" s="3" t="n"/>
      <c r="I37" s="3" t="n"/>
    </row>
    <row r="38">
      <c r="A38" s="15" t="n"/>
      <c r="B38" s="3" t="n"/>
      <c r="C38" s="3" t="n"/>
      <c r="D38" s="3" t="n"/>
      <c r="E38" s="3" t="n"/>
      <c r="F38" s="17" t="n"/>
      <c r="G38" s="3" t="n"/>
      <c r="H38" s="3" t="n"/>
      <c r="I38" s="3" t="n"/>
    </row>
    <row r="39">
      <c r="A39" s="15" t="n"/>
      <c r="B39" s="3" t="n"/>
      <c r="C39" s="3" t="n"/>
      <c r="D39" s="3" t="n"/>
      <c r="E39" s="3" t="n"/>
      <c r="F39" s="17" t="n"/>
      <c r="G39" s="3" t="n"/>
      <c r="H39" s="3" t="n"/>
      <c r="I39" s="3" t="n"/>
    </row>
    <row r="40">
      <c r="A40" s="15" t="n"/>
      <c r="B40" s="3" t="n"/>
      <c r="C40" s="3" t="n"/>
      <c r="D40" s="3" t="n"/>
      <c r="E40" s="3" t="n"/>
      <c r="F40" s="17" t="n"/>
      <c r="G40" s="3" t="n"/>
      <c r="H40" s="3" t="n"/>
      <c r="I40" s="3" t="n"/>
    </row>
    <row r="41">
      <c r="A41" s="15" t="n"/>
      <c r="B41" s="3" t="n"/>
      <c r="C41" s="3" t="n"/>
      <c r="D41" s="3" t="n"/>
      <c r="E41" s="3" t="n"/>
      <c r="F41" s="17" t="n"/>
      <c r="G41" s="3" t="n"/>
      <c r="H41" s="3" t="n"/>
      <c r="I41" s="3" t="n"/>
    </row>
    <row r="42">
      <c r="A42" s="15" t="n"/>
      <c r="B42" s="3" t="n"/>
      <c r="C42" s="3" t="n"/>
      <c r="D42" s="3" t="n"/>
      <c r="E42" s="3" t="n"/>
      <c r="F42" s="17" t="n"/>
      <c r="G42" s="3" t="n"/>
      <c r="H42" s="3" t="n"/>
      <c r="I42" s="3" t="n"/>
    </row>
    <row r="43">
      <c r="A43" s="15" t="n"/>
      <c r="B43" s="3" t="n"/>
      <c r="C43" s="3" t="n"/>
      <c r="D43" s="3" t="n"/>
      <c r="E43" s="3" t="n"/>
      <c r="F43" s="17" t="n"/>
      <c r="G43" s="3" t="n"/>
      <c r="H43" s="3" t="n"/>
      <c r="I43" s="3" t="n"/>
    </row>
    <row r="44">
      <c r="A44" s="15" t="n"/>
      <c r="B44" s="3" t="n"/>
      <c r="C44" s="3" t="n"/>
      <c r="D44" s="3" t="n"/>
      <c r="E44" s="3" t="n"/>
      <c r="F44" s="17" t="n"/>
      <c r="G44" s="3" t="n"/>
      <c r="H44" s="3" t="n"/>
      <c r="I44" s="3" t="n"/>
    </row>
    <row r="45">
      <c r="A45" s="15" t="n"/>
      <c r="B45" s="3" t="n"/>
      <c r="C45" s="3" t="n"/>
      <c r="D45" s="3" t="n"/>
      <c r="E45" s="3" t="n"/>
      <c r="F45" s="17" t="n"/>
      <c r="G45" s="3" t="n"/>
      <c r="H45" s="3" t="n"/>
      <c r="I45" s="3" t="n"/>
    </row>
    <row r="46">
      <c r="A46" s="15" t="n"/>
      <c r="B46" s="3" t="n"/>
      <c r="C46" s="3" t="n"/>
      <c r="D46" s="3" t="n"/>
      <c r="E46" s="3" t="n"/>
      <c r="F46" s="17" t="n"/>
      <c r="G46" s="3" t="n"/>
      <c r="H46" s="3" t="n"/>
      <c r="I46" s="3" t="n"/>
    </row>
    <row r="47">
      <c r="A47" s="15" t="n"/>
      <c r="B47" s="3" t="n"/>
      <c r="C47" s="3" t="n"/>
      <c r="D47" s="3" t="n"/>
      <c r="E47" s="3" t="n"/>
      <c r="F47" s="17" t="n"/>
      <c r="G47" s="3" t="n"/>
      <c r="H47" s="3" t="n"/>
      <c r="I47" s="3" t="n"/>
    </row>
    <row r="48">
      <c r="A48" s="15" t="n"/>
      <c r="B48" s="3" t="n"/>
      <c r="C48" s="3" t="n"/>
      <c r="D48" s="3" t="n"/>
      <c r="E48" s="3" t="n"/>
      <c r="F48" s="17" t="n"/>
      <c r="G48" s="3" t="n"/>
      <c r="H48" s="3" t="n"/>
      <c r="I48" s="3" t="n"/>
    </row>
    <row r="49">
      <c r="A49" s="15" t="n"/>
      <c r="B49" s="3" t="n"/>
      <c r="C49" s="3" t="n"/>
      <c r="D49" s="3" t="n"/>
      <c r="E49" s="3" t="n"/>
      <c r="F49" s="17" t="n"/>
      <c r="G49" s="3" t="n"/>
      <c r="H49" s="3" t="n"/>
      <c r="I49" s="3" t="n"/>
    </row>
    <row r="50">
      <c r="A50" s="15" t="n"/>
      <c r="B50" s="3" t="n"/>
      <c r="C50" s="3" t="n"/>
      <c r="D50" s="3" t="n"/>
      <c r="E50" s="3" t="n"/>
      <c r="F50" s="17" t="n"/>
      <c r="G50" s="3" t="n"/>
      <c r="H50" s="3" t="n"/>
      <c r="I50" s="3" t="n"/>
    </row>
    <row r="51">
      <c r="A51" s="15" t="n"/>
      <c r="B51" s="3" t="n"/>
      <c r="C51" s="3" t="n"/>
      <c r="D51" s="3" t="n"/>
      <c r="E51" s="3" t="n"/>
      <c r="F51" s="17" t="n"/>
      <c r="G51" s="3" t="n"/>
      <c r="H51" s="3" t="n"/>
      <c r="I51" s="3" t="n"/>
    </row>
    <row r="52">
      <c r="A52" s="15" t="n"/>
      <c r="B52" s="3" t="n"/>
      <c r="C52" s="3" t="n"/>
      <c r="D52" s="3" t="n"/>
      <c r="E52" s="3" t="n"/>
      <c r="F52" s="17" t="n"/>
      <c r="G52" s="3" t="n"/>
      <c r="H52" s="3" t="n"/>
      <c r="I52" s="3" t="n"/>
    </row>
    <row r="53">
      <c r="A53" s="15" t="n"/>
      <c r="B53" s="3" t="n"/>
      <c r="C53" s="3" t="n"/>
      <c r="D53" s="3" t="n"/>
      <c r="E53" s="3" t="n"/>
      <c r="F53" s="17" t="n"/>
      <c r="G53" s="3" t="n"/>
      <c r="H53" s="3" t="n"/>
      <c r="I53" s="3" t="n"/>
    </row>
    <row r="54">
      <c r="A54" s="15" t="n"/>
      <c r="B54" s="3" t="n"/>
      <c r="C54" s="3" t="n"/>
      <c r="D54" s="3" t="n"/>
      <c r="E54" s="3" t="n"/>
      <c r="F54" s="17" t="n"/>
      <c r="G54" s="3" t="n"/>
      <c r="H54" s="3" t="n"/>
      <c r="I54" s="3" t="n"/>
    </row>
    <row r="55">
      <c r="A55" s="15" t="n"/>
      <c r="B55" s="3" t="n"/>
      <c r="C55" s="3" t="n"/>
      <c r="D55" s="3" t="n"/>
      <c r="E55" s="3" t="n"/>
      <c r="F55" s="17" t="n"/>
      <c r="G55" s="3" t="n"/>
      <c r="H55" s="3" t="n"/>
      <c r="I55" s="3" t="n"/>
    </row>
    <row r="56">
      <c r="A56" s="15" t="n"/>
      <c r="B56" s="3" t="n"/>
      <c r="C56" s="3" t="n"/>
      <c r="D56" s="3" t="n"/>
      <c r="E56" s="3" t="n"/>
      <c r="F56" s="17" t="n"/>
      <c r="G56" s="3" t="n"/>
      <c r="H56" s="3" t="n"/>
      <c r="I56" s="3" t="n"/>
    </row>
    <row r="57">
      <c r="A57" s="15" t="n"/>
      <c r="B57" s="3" t="n"/>
      <c r="C57" s="3" t="n"/>
      <c r="D57" s="3" t="n"/>
      <c r="E57" s="3" t="n"/>
      <c r="F57" s="17" t="n"/>
      <c r="G57" s="3" t="n"/>
      <c r="H57" s="3" t="n"/>
      <c r="I57" s="3" t="n"/>
    </row>
    <row r="58">
      <c r="A58" s="15" t="n"/>
      <c r="B58" s="3" t="n"/>
      <c r="C58" s="3" t="n"/>
      <c r="D58" s="3" t="n"/>
      <c r="E58" s="3" t="n"/>
      <c r="F58" s="17" t="n"/>
      <c r="G58" s="3" t="n"/>
      <c r="H58" s="3" t="n"/>
      <c r="I58" s="3" t="n"/>
    </row>
    <row r="59">
      <c r="A59" s="15" t="n"/>
      <c r="B59" s="3" t="n"/>
      <c r="C59" s="3" t="n"/>
      <c r="D59" s="3" t="n"/>
      <c r="E59" s="3" t="n"/>
      <c r="F59" s="17" t="n"/>
      <c r="G59" s="3" t="n"/>
      <c r="H59" s="3" t="n"/>
      <c r="I59" s="3" t="n"/>
    </row>
    <row r="60">
      <c r="A60" s="15" t="n"/>
      <c r="B60" s="3" t="n"/>
      <c r="C60" s="3" t="n"/>
      <c r="D60" s="3" t="n"/>
      <c r="E60" s="3" t="n"/>
      <c r="F60" s="17" t="n"/>
      <c r="G60" s="3" t="n"/>
      <c r="H60" s="3" t="n"/>
      <c r="I60" s="3" t="n"/>
    </row>
    <row r="61">
      <c r="A61" s="15" t="n"/>
      <c r="B61" s="3" t="n"/>
      <c r="C61" s="3" t="n"/>
      <c r="D61" s="3" t="n"/>
      <c r="E61" s="3" t="n"/>
      <c r="F61" s="17" t="n"/>
      <c r="G61" s="3" t="n"/>
      <c r="H61" s="3" t="n"/>
      <c r="I61" s="3" t="n"/>
    </row>
    <row r="62">
      <c r="A62" s="15" t="n"/>
      <c r="B62" s="3" t="n"/>
      <c r="C62" s="3" t="n"/>
      <c r="D62" s="3" t="n"/>
      <c r="E62" s="3" t="n"/>
      <c r="F62" s="17" t="n"/>
      <c r="G62" s="3" t="n"/>
      <c r="H62" s="3" t="n"/>
      <c r="I62" s="3" t="n"/>
    </row>
    <row r="63">
      <c r="A63" s="15" t="n"/>
      <c r="B63" s="3" t="n"/>
      <c r="C63" s="3" t="n"/>
      <c r="D63" s="3" t="n"/>
      <c r="E63" s="3" t="n"/>
      <c r="F63" s="17" t="n"/>
      <c r="G63" s="3" t="n"/>
      <c r="H63" s="3" t="n"/>
      <c r="I63" s="3" t="n"/>
    </row>
    <row r="64">
      <c r="A64" s="15" t="n"/>
      <c r="B64" s="3" t="n"/>
      <c r="C64" s="3" t="n"/>
      <c r="D64" s="3" t="n"/>
      <c r="E64" s="3" t="n"/>
      <c r="F64" s="17" t="n"/>
      <c r="G64" s="3" t="n"/>
      <c r="H64" s="3" t="n"/>
      <c r="I64" s="3" t="n"/>
    </row>
    <row r="65">
      <c r="A65" s="15" t="n"/>
      <c r="B65" s="3" t="n"/>
      <c r="C65" s="3" t="n"/>
      <c r="D65" s="3" t="n"/>
      <c r="E65" s="3" t="n"/>
      <c r="F65" s="17" t="n"/>
      <c r="G65" s="3" t="n"/>
      <c r="H65" s="3" t="n"/>
      <c r="I65" s="3" t="n"/>
    </row>
    <row r="66">
      <c r="A66" s="15" t="n"/>
      <c r="B66" s="3" t="n"/>
      <c r="C66" s="3" t="n"/>
      <c r="D66" s="3" t="n"/>
      <c r="E66" s="3" t="n"/>
      <c r="F66" s="17" t="n"/>
      <c r="G66" s="3" t="n"/>
      <c r="H66" s="3" t="n"/>
      <c r="I66" s="3" t="n"/>
    </row>
    <row r="67">
      <c r="A67" s="15" t="n"/>
      <c r="B67" s="3" t="n"/>
      <c r="C67" s="3" t="n"/>
      <c r="D67" s="3" t="n"/>
      <c r="E67" s="3" t="n"/>
      <c r="F67" s="17" t="n"/>
      <c r="G67" s="3" t="n"/>
      <c r="H67" s="3" t="n"/>
      <c r="I67" s="3" t="n"/>
    </row>
    <row r="68">
      <c r="A68" s="15" t="n"/>
      <c r="B68" s="3" t="n"/>
      <c r="C68" s="3" t="n"/>
      <c r="D68" s="3" t="n"/>
      <c r="E68" s="3" t="n"/>
      <c r="F68" s="17" t="n"/>
      <c r="G68" s="3" t="n"/>
      <c r="H68" s="3" t="n"/>
      <c r="I68" s="3" t="n"/>
    </row>
    <row r="69">
      <c r="A69" s="15" t="n"/>
      <c r="B69" s="3" t="n"/>
      <c r="C69" s="3" t="n"/>
      <c r="D69" s="3" t="n"/>
      <c r="E69" s="3" t="n"/>
      <c r="F69" s="17" t="n"/>
      <c r="G69" s="3" t="n"/>
      <c r="H69" s="3" t="n"/>
      <c r="I69" s="3" t="n"/>
    </row>
    <row r="70">
      <c r="A70" s="15" t="n"/>
      <c r="B70" s="3" t="n"/>
      <c r="C70" s="3" t="n"/>
      <c r="D70" s="3" t="n"/>
      <c r="E70" s="3" t="n"/>
      <c r="F70" s="17" t="n"/>
      <c r="G70" s="3" t="n"/>
      <c r="H70" s="3" t="n"/>
      <c r="I70" s="3" t="n"/>
    </row>
    <row r="71">
      <c r="A71" s="15" t="n"/>
      <c r="B71" s="3" t="n"/>
      <c r="C71" s="3" t="n"/>
      <c r="D71" s="3" t="n"/>
      <c r="E71" s="3" t="n"/>
      <c r="F71" s="17" t="n"/>
      <c r="G71" s="3" t="n"/>
      <c r="H71" s="3" t="n"/>
      <c r="I71" s="3" t="n"/>
    </row>
    <row r="72">
      <c r="A72" s="15" t="n"/>
      <c r="B72" s="3" t="n"/>
      <c r="C72" s="3" t="n"/>
      <c r="D72" s="3" t="n"/>
      <c r="E72" s="3" t="n"/>
      <c r="F72" s="17" t="n"/>
      <c r="G72" s="3" t="n"/>
      <c r="H72" s="3" t="n"/>
      <c r="I72" s="3" t="n"/>
    </row>
    <row r="73">
      <c r="A73" s="15" t="n"/>
      <c r="B73" s="3" t="n"/>
      <c r="C73" s="3" t="n"/>
      <c r="D73" s="3" t="n"/>
      <c r="E73" s="3" t="n"/>
      <c r="F73" s="17" t="n"/>
      <c r="G73" s="3" t="n"/>
      <c r="H73" s="3" t="n"/>
      <c r="I73" s="3" t="n"/>
    </row>
    <row r="74">
      <c r="A74" s="15" t="n"/>
      <c r="B74" s="3" t="n"/>
      <c r="C74" s="3" t="n"/>
      <c r="D74" s="3" t="n"/>
      <c r="E74" s="3" t="n"/>
      <c r="F74" s="17" t="n"/>
      <c r="G74" s="3" t="n"/>
      <c r="H74" s="3" t="n"/>
      <c r="I74" s="3" t="n"/>
    </row>
    <row r="75">
      <c r="A75" s="15" t="n"/>
      <c r="B75" s="3" t="n"/>
      <c r="C75" s="3" t="n"/>
      <c r="D75" s="3" t="n"/>
      <c r="E75" s="3" t="n"/>
      <c r="F75" s="17" t="n"/>
      <c r="G75" s="3" t="n"/>
      <c r="H75" s="3" t="n"/>
      <c r="I75" s="3" t="n"/>
    </row>
    <row r="76">
      <c r="A76" s="15" t="n"/>
      <c r="B76" s="3" t="n"/>
      <c r="C76" s="3" t="n"/>
      <c r="D76" s="3" t="n"/>
      <c r="E76" s="3" t="n"/>
      <c r="F76" s="17" t="n"/>
      <c r="G76" s="3" t="n"/>
      <c r="H76" s="3" t="n"/>
      <c r="I76" s="3" t="n"/>
    </row>
    <row r="77">
      <c r="A77" s="15" t="n"/>
      <c r="B77" s="3" t="n"/>
      <c r="C77" s="3" t="n"/>
      <c r="D77" s="3" t="n"/>
      <c r="E77" s="3" t="n"/>
      <c r="F77" s="17" t="n"/>
      <c r="G77" s="3" t="n"/>
      <c r="H77" s="3" t="n"/>
      <c r="I77" s="3" t="n"/>
    </row>
    <row r="78">
      <c r="A78" s="15" t="n"/>
      <c r="B78" s="3" t="n"/>
      <c r="C78" s="3" t="n"/>
      <c r="D78" s="3" t="n"/>
      <c r="E78" s="3" t="n"/>
      <c r="F78" s="17" t="n"/>
      <c r="G78" s="3" t="n"/>
      <c r="H78" s="3" t="n"/>
      <c r="I78" s="3" t="n"/>
    </row>
    <row r="79">
      <c r="A79" s="15" t="n"/>
      <c r="B79" s="3" t="n"/>
      <c r="C79" s="3" t="n"/>
      <c r="D79" s="3" t="n"/>
      <c r="E79" s="3" t="n"/>
      <c r="F79" s="17" t="n"/>
      <c r="G79" s="3" t="n"/>
      <c r="H79" s="3" t="n"/>
      <c r="I79" s="3" t="n"/>
    </row>
    <row r="80">
      <c r="A80" s="15" t="n"/>
      <c r="B80" s="3" t="n"/>
      <c r="C80" s="3" t="n"/>
      <c r="D80" s="3" t="n"/>
      <c r="E80" s="3" t="n"/>
      <c r="F80" s="17" t="n"/>
      <c r="G80" s="3" t="n"/>
      <c r="H80" s="3" t="n"/>
      <c r="I80" s="3" t="n"/>
    </row>
    <row r="81">
      <c r="A81" s="15" t="n"/>
      <c r="B81" s="3" t="n"/>
      <c r="C81" s="3" t="n"/>
      <c r="D81" s="3" t="n"/>
      <c r="E81" s="3" t="n"/>
      <c r="F81" s="17" t="n"/>
      <c r="G81" s="3" t="n"/>
      <c r="H81" s="3" t="n"/>
      <c r="I81" s="3" t="n"/>
    </row>
    <row r="82">
      <c r="A82" s="15" t="n"/>
      <c r="B82" s="3" t="n"/>
      <c r="C82" s="3" t="n"/>
      <c r="D82" s="3" t="n"/>
      <c r="E82" s="3" t="n"/>
      <c r="F82" s="17" t="n"/>
      <c r="G82" s="3" t="n"/>
      <c r="H82" s="3" t="n"/>
      <c r="I82" s="3" t="n"/>
    </row>
    <row r="83">
      <c r="A83" s="15" t="n"/>
      <c r="B83" s="3" t="n"/>
      <c r="C83" s="3" t="n"/>
      <c r="D83" s="3" t="n"/>
      <c r="E83" s="3" t="n"/>
      <c r="F83" s="17" t="n"/>
      <c r="G83" s="3" t="n"/>
      <c r="H83" s="3" t="n"/>
      <c r="I83" s="3" t="n"/>
    </row>
    <row r="84">
      <c r="A84" s="15" t="n"/>
      <c r="B84" s="3" t="n"/>
      <c r="C84" s="3" t="n"/>
      <c r="D84" s="3" t="n"/>
      <c r="E84" s="3" t="n"/>
      <c r="F84" s="17" t="n"/>
      <c r="G84" s="3" t="n"/>
      <c r="H84" s="3" t="n"/>
      <c r="I84" s="3" t="n"/>
    </row>
    <row r="85">
      <c r="A85" s="15" t="n"/>
      <c r="B85" s="3" t="n"/>
      <c r="C85" s="3" t="n"/>
      <c r="D85" s="3" t="n"/>
      <c r="E85" s="3" t="n"/>
      <c r="F85" s="17" t="n"/>
      <c r="G85" s="3" t="n"/>
      <c r="H85" s="3" t="n"/>
      <c r="I85" s="3" t="n"/>
    </row>
    <row r="86">
      <c r="A86" s="15" t="n"/>
      <c r="B86" s="3" t="n"/>
      <c r="C86" s="3" t="n"/>
      <c r="D86" s="3" t="n"/>
      <c r="E86" s="3" t="n"/>
      <c r="F86" s="17" t="n"/>
      <c r="G86" s="3" t="n"/>
      <c r="H86" s="3" t="n"/>
      <c r="I86" s="3" t="n"/>
    </row>
    <row r="87">
      <c r="A87" s="15" t="n"/>
      <c r="B87" s="3" t="n"/>
      <c r="C87" s="3" t="n"/>
      <c r="D87" s="3" t="n"/>
      <c r="E87" s="3" t="n"/>
      <c r="F87" s="17" t="n"/>
      <c r="G87" s="3" t="n"/>
      <c r="H87" s="3" t="n"/>
      <c r="I87" s="3" t="n"/>
    </row>
    <row r="88">
      <c r="A88" s="15" t="n"/>
      <c r="B88" s="3" t="n"/>
      <c r="C88" s="3" t="n"/>
      <c r="D88" s="3" t="n"/>
      <c r="E88" s="3" t="n"/>
      <c r="F88" s="17" t="n"/>
      <c r="G88" s="3" t="n"/>
      <c r="H88" s="3" t="n"/>
      <c r="I88" s="3" t="n"/>
    </row>
    <row r="89">
      <c r="A89" s="15" t="n"/>
      <c r="B89" s="3" t="n"/>
      <c r="C89" s="3" t="n"/>
      <c r="D89" s="3" t="n"/>
      <c r="E89" s="3" t="n"/>
      <c r="F89" s="17" t="n"/>
      <c r="G89" s="3" t="n"/>
      <c r="H89" s="3" t="n"/>
      <c r="I89" s="3" t="n"/>
    </row>
    <row r="90">
      <c r="A90" s="15" t="n"/>
      <c r="B90" s="3" t="n"/>
      <c r="C90" s="3" t="n"/>
      <c r="D90" s="3" t="n"/>
      <c r="E90" s="3" t="n"/>
      <c r="F90" s="17" t="n"/>
      <c r="G90" s="3" t="n"/>
      <c r="H90" s="3" t="n"/>
      <c r="I90" s="3" t="n"/>
    </row>
    <row r="91">
      <c r="A91" s="15" t="n"/>
      <c r="B91" s="3" t="n"/>
      <c r="C91" s="3" t="n"/>
      <c r="D91" s="3" t="n"/>
      <c r="E91" s="3" t="n"/>
      <c r="F91" s="17" t="n"/>
      <c r="G91" s="3" t="n"/>
      <c r="H91" s="3" t="n"/>
      <c r="I91" s="3" t="n"/>
    </row>
    <row r="92">
      <c r="A92" s="15" t="n"/>
      <c r="B92" s="3" t="n"/>
      <c r="C92" s="3" t="n"/>
      <c r="D92" s="3" t="n"/>
      <c r="E92" s="3" t="n"/>
      <c r="F92" s="17" t="n"/>
      <c r="G92" s="3" t="n"/>
      <c r="H92" s="3" t="n"/>
      <c r="I92" s="3" t="n"/>
    </row>
    <row r="93">
      <c r="A93" s="15" t="n"/>
      <c r="B93" s="3" t="n"/>
      <c r="C93" s="3" t="n"/>
      <c r="D93" s="3" t="n"/>
      <c r="E93" s="3" t="n"/>
      <c r="F93" s="17" t="n"/>
      <c r="G93" s="3" t="n"/>
      <c r="H93" s="3" t="n"/>
      <c r="I93" s="3" t="n"/>
    </row>
    <row r="94">
      <c r="A94" s="15" t="n"/>
      <c r="B94" s="3" t="n"/>
      <c r="C94" s="3" t="n"/>
      <c r="D94" s="3" t="n"/>
      <c r="E94" s="3" t="n"/>
      <c r="F94" s="17" t="n"/>
      <c r="G94" s="3" t="n"/>
      <c r="H94" s="3" t="n"/>
      <c r="I94" s="3" t="n"/>
    </row>
    <row r="95">
      <c r="A95" s="15" t="n"/>
      <c r="B95" s="3" t="n"/>
      <c r="C95" s="3" t="n"/>
      <c r="D95" s="3" t="n"/>
      <c r="E95" s="3" t="n"/>
      <c r="F95" s="17" t="n"/>
      <c r="G95" s="3" t="n"/>
      <c r="H95" s="3" t="n"/>
      <c r="I95" s="3" t="n"/>
    </row>
    <row r="96">
      <c r="A96" s="15" t="n"/>
      <c r="B96" s="3" t="n"/>
      <c r="C96" s="3" t="n"/>
      <c r="D96" s="3" t="n"/>
      <c r="E96" s="3" t="n"/>
      <c r="F96" s="17" t="n"/>
      <c r="G96" s="3" t="n"/>
      <c r="H96" s="3" t="n"/>
      <c r="I96" s="3" t="n"/>
    </row>
    <row r="97">
      <c r="A97" s="15" t="n"/>
      <c r="B97" s="3" t="n"/>
      <c r="C97" s="3" t="n"/>
      <c r="D97" s="3" t="n"/>
      <c r="E97" s="3" t="n"/>
      <c r="F97" s="17" t="n"/>
      <c r="G97" s="3" t="n"/>
      <c r="H97" s="3" t="n"/>
      <c r="I97" s="3" t="n"/>
    </row>
    <row r="98">
      <c r="A98" s="15" t="n"/>
      <c r="B98" s="3" t="n"/>
      <c r="C98" s="3" t="n"/>
      <c r="D98" s="3" t="n"/>
      <c r="E98" s="3" t="n"/>
      <c r="F98" s="17" t="n"/>
      <c r="G98" s="3" t="n"/>
      <c r="H98" s="3" t="n"/>
      <c r="I98" s="3" t="n"/>
    </row>
    <row r="99">
      <c r="A99" s="15" t="n"/>
      <c r="B99" s="3" t="n"/>
      <c r="C99" s="3" t="n"/>
      <c r="D99" s="3" t="n"/>
      <c r="E99" s="3" t="n"/>
      <c r="F99" s="17" t="n"/>
      <c r="G99" s="3" t="n"/>
      <c r="H99" s="3" t="n"/>
      <c r="I99" s="3" t="n"/>
    </row>
    <row r="100">
      <c r="A100" s="15" t="n"/>
      <c r="B100" s="3" t="n"/>
      <c r="C100" s="3" t="n"/>
      <c r="D100" s="3" t="n"/>
      <c r="E100" s="3" t="n"/>
      <c r="F100" s="17" t="n"/>
      <c r="G100" s="3" t="n"/>
      <c r="H100" s="3" t="n"/>
      <c r="I100" s="3" t="n"/>
    </row>
    <row r="101">
      <c r="A101" s="15" t="n"/>
      <c r="B101" s="3" t="n"/>
      <c r="C101" s="3" t="n"/>
      <c r="D101" s="3" t="n"/>
      <c r="E101" s="3" t="n"/>
      <c r="F101" s="17" t="n"/>
      <c r="G101" s="3" t="n"/>
      <c r="H101" s="3" t="n"/>
      <c r="I101" s="3" t="n"/>
    </row>
    <row r="102">
      <c r="A102" s="15" t="n"/>
      <c r="B102" s="3" t="n"/>
      <c r="C102" s="3" t="n"/>
      <c r="D102" s="3" t="n"/>
      <c r="E102" s="3" t="n"/>
      <c r="F102" s="17" t="n"/>
      <c r="G102" s="3" t="n"/>
      <c r="H102" s="3" t="n"/>
      <c r="I102" s="3" t="n"/>
    </row>
    <row r="103">
      <c r="A103" s="15" t="n"/>
      <c r="B103" s="3" t="n"/>
      <c r="C103" s="3" t="n"/>
      <c r="D103" s="3" t="n"/>
      <c r="E103" s="3" t="n"/>
      <c r="F103" s="17" t="n"/>
      <c r="G103" s="3" t="n"/>
      <c r="H103" s="3" t="n"/>
      <c r="I103" s="3" t="n"/>
    </row>
    <row r="104">
      <c r="A104" s="15" t="n"/>
      <c r="B104" s="3" t="n"/>
      <c r="C104" s="3" t="n"/>
      <c r="D104" s="3" t="n"/>
      <c r="E104" s="3" t="n"/>
      <c r="F104" s="17" t="n"/>
      <c r="G104" s="3" t="n"/>
      <c r="H104" s="3" t="n"/>
      <c r="I104" s="3" t="n"/>
    </row>
    <row r="105">
      <c r="A105" s="15" t="n"/>
      <c r="B105" s="3" t="n"/>
      <c r="C105" s="3" t="n"/>
      <c r="D105" s="3" t="n"/>
      <c r="E105" s="3" t="n"/>
      <c r="F105" s="17" t="n"/>
      <c r="G105" s="3" t="n"/>
      <c r="H105" s="3" t="n"/>
      <c r="I105" s="3" t="n"/>
    </row>
    <row r="106">
      <c r="A106" s="15" t="n"/>
      <c r="B106" s="3" t="n"/>
      <c r="C106" s="3" t="n"/>
      <c r="D106" s="3" t="n"/>
      <c r="E106" s="3" t="n"/>
      <c r="F106" s="17" t="n"/>
      <c r="G106" s="3" t="n"/>
      <c r="H106" s="3" t="n"/>
      <c r="I106" s="3" t="n"/>
    </row>
    <row r="107">
      <c r="A107" s="15" t="n"/>
      <c r="B107" s="3" t="n"/>
      <c r="C107" s="3" t="n"/>
      <c r="D107" s="3" t="n"/>
      <c r="E107" s="3" t="n"/>
      <c r="F107" s="17" t="n"/>
      <c r="G107" s="3" t="n"/>
      <c r="H107" s="3" t="n"/>
      <c r="I107" s="3" t="n"/>
    </row>
    <row r="108">
      <c r="A108" s="15" t="n"/>
      <c r="B108" s="3" t="n"/>
      <c r="C108" s="3" t="n"/>
      <c r="D108" s="3" t="n"/>
      <c r="E108" s="3" t="n"/>
      <c r="F108" s="17" t="n"/>
      <c r="G108" s="3" t="n"/>
      <c r="H108" s="3" t="n"/>
      <c r="I108" s="3" t="n"/>
    </row>
    <row r="109">
      <c r="A109" s="15" t="n"/>
      <c r="B109" s="3" t="n"/>
      <c r="C109" s="3" t="n"/>
      <c r="D109" s="3" t="n"/>
      <c r="E109" s="3" t="n"/>
      <c r="F109" s="17" t="n"/>
      <c r="G109" s="3" t="n"/>
      <c r="H109" s="3" t="n"/>
      <c r="I109" s="3" t="n"/>
    </row>
    <row r="110">
      <c r="A110" s="15" t="n"/>
      <c r="B110" s="3" t="n"/>
      <c r="C110" s="3" t="n"/>
      <c r="D110" s="3" t="n"/>
      <c r="E110" s="3" t="n"/>
      <c r="F110" s="17" t="n"/>
      <c r="G110" s="3" t="n"/>
      <c r="H110" s="3" t="n"/>
      <c r="I110" s="3" t="n"/>
    </row>
    <row r="111">
      <c r="A111" s="15" t="n"/>
      <c r="B111" s="3" t="n"/>
      <c r="C111" s="3" t="n"/>
      <c r="D111" s="3" t="n"/>
      <c r="E111" s="3" t="n"/>
      <c r="F111" s="17" t="n"/>
      <c r="G111" s="3" t="n"/>
      <c r="H111" s="3" t="n"/>
      <c r="I111" s="3" t="n"/>
    </row>
    <row r="112">
      <c r="A112" s="15" t="n"/>
      <c r="B112" s="3" t="n"/>
      <c r="C112" s="3" t="n"/>
      <c r="D112" s="3" t="n"/>
      <c r="E112" s="3" t="n"/>
      <c r="F112" s="17" t="n"/>
      <c r="G112" s="3" t="n"/>
      <c r="H112" s="3" t="n"/>
      <c r="I112" s="3" t="n"/>
    </row>
    <row r="113">
      <c r="A113" s="15" t="n"/>
      <c r="B113" s="3" t="n"/>
      <c r="C113" s="3" t="n"/>
      <c r="D113" s="3" t="n"/>
      <c r="E113" s="3" t="n"/>
      <c r="F113" s="17" t="n"/>
      <c r="G113" s="3" t="n"/>
      <c r="H113" s="3" t="n"/>
      <c r="I113" s="3" t="n"/>
    </row>
    <row r="114">
      <c r="A114" s="15" t="n"/>
      <c r="B114" s="3" t="n"/>
      <c r="C114" s="3" t="n"/>
      <c r="D114" s="3" t="n"/>
      <c r="E114" s="3" t="n"/>
      <c r="F114" s="17" t="n"/>
      <c r="G114" s="3" t="n"/>
      <c r="H114" s="3" t="n"/>
      <c r="I114" s="3" t="n"/>
    </row>
    <row r="115">
      <c r="A115" s="15" t="n"/>
      <c r="B115" s="3" t="n"/>
      <c r="C115" s="3" t="n"/>
      <c r="D115" s="3" t="n"/>
      <c r="E115" s="3" t="n"/>
      <c r="F115" s="17" t="n"/>
      <c r="G115" s="3" t="n"/>
      <c r="H115" s="3" t="n"/>
      <c r="I115" s="3" t="n"/>
    </row>
    <row r="116">
      <c r="A116" s="15" t="n"/>
      <c r="B116" s="3" t="n"/>
      <c r="C116" s="3" t="n"/>
      <c r="D116" s="3" t="n"/>
      <c r="E116" s="3" t="n"/>
      <c r="F116" s="17" t="n"/>
      <c r="G116" s="3" t="n"/>
      <c r="H116" s="3" t="n"/>
      <c r="I116" s="3" t="n"/>
    </row>
    <row r="117">
      <c r="A117" s="15" t="n"/>
      <c r="B117" s="3" t="n"/>
      <c r="C117" s="3" t="n"/>
      <c r="D117" s="3" t="n"/>
      <c r="E117" s="3" t="n"/>
      <c r="F117" s="17" t="n"/>
      <c r="G117" s="3" t="n"/>
      <c r="H117" s="3" t="n"/>
      <c r="I117" s="3" t="n"/>
    </row>
    <row r="118">
      <c r="A118" s="15" t="n"/>
      <c r="B118" s="3" t="n"/>
      <c r="C118" s="3" t="n"/>
      <c r="D118" s="3" t="n"/>
      <c r="E118" s="3" t="n"/>
      <c r="F118" s="17" t="n"/>
      <c r="G118" s="3" t="n"/>
      <c r="H118" s="3" t="n"/>
      <c r="I118" s="3" t="n"/>
    </row>
    <row r="119">
      <c r="A119" s="15" t="n"/>
      <c r="B119" s="3" t="n"/>
      <c r="C119" s="3" t="n"/>
      <c r="D119" s="3" t="n"/>
      <c r="E119" s="3" t="n"/>
      <c r="F119" s="17" t="n"/>
      <c r="G119" s="3" t="n"/>
      <c r="H119" s="3" t="n"/>
      <c r="I119" s="3" t="n"/>
    </row>
    <row r="120">
      <c r="A120" s="15" t="n"/>
      <c r="B120" s="3" t="n"/>
      <c r="C120" s="3" t="n"/>
      <c r="D120" s="3" t="n"/>
      <c r="E120" s="3" t="n"/>
      <c r="F120" s="17" t="n"/>
      <c r="G120" s="3" t="n"/>
      <c r="H120" s="3" t="n"/>
      <c r="I120" s="3" t="n"/>
    </row>
    <row r="121">
      <c r="A121" s="15" t="n"/>
      <c r="B121" s="3" t="n"/>
      <c r="C121" s="3" t="n"/>
      <c r="D121" s="3" t="n"/>
      <c r="E121" s="3" t="n"/>
      <c r="F121" s="17" t="n"/>
      <c r="G121" s="3" t="n"/>
      <c r="H121" s="3" t="n"/>
      <c r="I121" s="3" t="n"/>
    </row>
    <row r="122">
      <c r="A122" s="15" t="n"/>
      <c r="B122" s="3" t="n"/>
      <c r="C122" s="3" t="n"/>
      <c r="D122" s="3" t="n"/>
      <c r="E122" s="3" t="n"/>
      <c r="F122" s="17" t="n"/>
      <c r="G122" s="3" t="n"/>
      <c r="H122" s="3" t="n"/>
      <c r="I122" s="3" t="n"/>
    </row>
    <row r="123">
      <c r="A123" s="15" t="n"/>
      <c r="B123" s="3" t="n"/>
      <c r="C123" s="3" t="n"/>
      <c r="D123" s="3" t="n"/>
      <c r="E123" s="3" t="n"/>
      <c r="F123" s="17" t="n"/>
      <c r="G123" s="3" t="n"/>
      <c r="H123" s="3" t="n"/>
      <c r="I123" s="3" t="n"/>
    </row>
    <row r="124">
      <c r="A124" s="15" t="n"/>
      <c r="B124" s="3" t="n"/>
      <c r="C124" s="3" t="n"/>
      <c r="D124" s="3" t="n"/>
      <c r="E124" s="3" t="n"/>
      <c r="F124" s="17" t="n"/>
      <c r="G124" s="3" t="n"/>
      <c r="H124" s="3" t="n"/>
      <c r="I124" s="3" t="n"/>
    </row>
    <row r="125">
      <c r="A125" s="15" t="n"/>
      <c r="B125" s="3" t="n"/>
      <c r="C125" s="3" t="n"/>
      <c r="D125" s="3" t="n"/>
      <c r="E125" s="3" t="n"/>
      <c r="F125" s="17" t="n"/>
      <c r="G125" s="3" t="n"/>
      <c r="H125" s="3" t="n"/>
      <c r="I125" s="3" t="n"/>
    </row>
    <row r="126">
      <c r="A126" s="15" t="n"/>
      <c r="B126" s="3" t="n"/>
      <c r="C126" s="3" t="n"/>
      <c r="D126" s="3" t="n"/>
      <c r="E126" s="3" t="n"/>
      <c r="F126" s="17" t="n"/>
      <c r="G126" s="3" t="n"/>
      <c r="H126" s="3" t="n"/>
      <c r="I126" s="3" t="n"/>
    </row>
    <row r="127">
      <c r="A127" s="15" t="n"/>
      <c r="B127" s="3" t="n"/>
      <c r="C127" s="3" t="n"/>
      <c r="D127" s="3" t="n"/>
      <c r="E127" s="3" t="n"/>
      <c r="F127" s="17" t="n"/>
      <c r="G127" s="3" t="n"/>
      <c r="H127" s="3" t="n"/>
      <c r="I127" s="3" t="n"/>
    </row>
    <row r="128">
      <c r="A128" s="15" t="n"/>
      <c r="B128" s="3" t="n"/>
      <c r="C128" s="3" t="n"/>
      <c r="D128" s="3" t="n"/>
      <c r="E128" s="3" t="n"/>
      <c r="F128" s="17" t="n"/>
      <c r="G128" s="3" t="n"/>
      <c r="H128" s="3" t="n"/>
      <c r="I128" s="3" t="n"/>
    </row>
    <row r="129">
      <c r="A129" s="15" t="n"/>
      <c r="B129" s="3" t="n"/>
      <c r="C129" s="3" t="n"/>
      <c r="D129" s="3" t="n"/>
      <c r="E129" s="3" t="n"/>
      <c r="F129" s="17" t="n"/>
      <c r="G129" s="3" t="n"/>
      <c r="H129" s="3" t="n"/>
      <c r="I129" s="3" t="n"/>
    </row>
    <row r="130">
      <c r="A130" s="15" t="n"/>
      <c r="B130" s="3" t="n"/>
      <c r="C130" s="3" t="n"/>
      <c r="D130" s="3" t="n"/>
      <c r="E130" s="3" t="n"/>
      <c r="F130" s="17" t="n"/>
      <c r="G130" s="3" t="n"/>
      <c r="H130" s="3" t="n"/>
      <c r="I130" s="3" t="n"/>
    </row>
    <row r="131">
      <c r="A131" s="15" t="n"/>
      <c r="B131" s="3" t="n"/>
      <c r="C131" s="3" t="n"/>
      <c r="D131" s="3" t="n"/>
      <c r="E131" s="3" t="n"/>
      <c r="F131" s="17" t="n"/>
      <c r="G131" s="3" t="n"/>
      <c r="H131" s="3" t="n"/>
      <c r="I131" s="3" t="n"/>
    </row>
    <row r="132">
      <c r="A132" s="15" t="n"/>
      <c r="B132" s="3" t="n"/>
      <c r="C132" s="3" t="n"/>
      <c r="D132" s="3" t="n"/>
      <c r="E132" s="3" t="n"/>
      <c r="F132" s="17" t="n"/>
      <c r="G132" s="3" t="n"/>
      <c r="H132" s="3" t="n"/>
      <c r="I132" s="3" t="n"/>
    </row>
    <row r="133">
      <c r="A133" s="15" t="n"/>
      <c r="B133" s="3" t="n"/>
      <c r="C133" s="3" t="n"/>
      <c r="D133" s="3" t="n"/>
      <c r="E133" s="3" t="n"/>
      <c r="F133" s="17" t="n"/>
      <c r="G133" s="3" t="n"/>
      <c r="H133" s="3" t="n"/>
      <c r="I133" s="3" t="n"/>
    </row>
    <row r="134">
      <c r="A134" s="15" t="n"/>
      <c r="B134" s="3" t="n"/>
      <c r="C134" s="3" t="n"/>
      <c r="D134" s="3" t="n"/>
      <c r="E134" s="3" t="n"/>
      <c r="F134" s="17" t="n"/>
      <c r="G134" s="3" t="n"/>
      <c r="H134" s="3" t="n"/>
      <c r="I134" s="3" t="n"/>
    </row>
    <row r="135">
      <c r="A135" s="15" t="n"/>
      <c r="B135" s="3" t="n"/>
      <c r="C135" s="3" t="n"/>
      <c r="D135" s="3" t="n"/>
      <c r="E135" s="3" t="n"/>
      <c r="F135" s="17" t="n"/>
      <c r="G135" s="3" t="n"/>
      <c r="H135" s="3" t="n"/>
      <c r="I135" s="3" t="n"/>
    </row>
    <row r="136">
      <c r="A136" s="15" t="n"/>
      <c r="B136" s="3" t="n"/>
      <c r="C136" s="3" t="n"/>
      <c r="D136" s="3" t="n"/>
      <c r="E136" s="3" t="n"/>
      <c r="F136" s="17" t="n"/>
      <c r="G136" s="3" t="n"/>
      <c r="H136" s="3" t="n"/>
      <c r="I136" s="3" t="n"/>
    </row>
    <row r="137">
      <c r="A137" s="15" t="n"/>
      <c r="B137" s="3" t="n"/>
      <c r="C137" s="3" t="n"/>
      <c r="D137" s="3" t="n"/>
      <c r="E137" s="3" t="n"/>
      <c r="F137" s="17" t="n"/>
      <c r="G137" s="3" t="n"/>
      <c r="H137" s="3" t="n"/>
      <c r="I137" s="3" t="n"/>
    </row>
    <row r="138">
      <c r="A138" s="15" t="n"/>
      <c r="B138" s="3" t="n"/>
      <c r="C138" s="3" t="n"/>
      <c r="D138" s="3" t="n"/>
      <c r="E138" s="3" t="n"/>
      <c r="F138" s="17" t="n"/>
      <c r="G138" s="3" t="n"/>
      <c r="H138" s="3" t="n"/>
      <c r="I138" s="3" t="n"/>
    </row>
    <row r="139">
      <c r="A139" s="15" t="n"/>
      <c r="B139" s="3" t="n"/>
      <c r="C139" s="3" t="n"/>
      <c r="D139" s="3" t="n"/>
      <c r="E139" s="3" t="n"/>
      <c r="F139" s="17" t="n"/>
      <c r="G139" s="3" t="n"/>
      <c r="H139" s="3" t="n"/>
      <c r="I139" s="3" t="n"/>
    </row>
    <row r="140">
      <c r="A140" s="15" t="n"/>
      <c r="B140" s="3" t="n"/>
      <c r="C140" s="3" t="n"/>
      <c r="D140" s="3" t="n"/>
      <c r="E140" s="3" t="n"/>
      <c r="F140" s="17" t="n"/>
      <c r="G140" s="3" t="n"/>
      <c r="H140" s="3" t="n"/>
      <c r="I140" s="3" t="n"/>
    </row>
    <row r="141">
      <c r="A141" s="15" t="n"/>
      <c r="B141" s="3" t="n"/>
      <c r="C141" s="3" t="n"/>
      <c r="D141" s="3" t="n"/>
      <c r="E141" s="3" t="n"/>
      <c r="F141" s="17" t="n"/>
      <c r="G141" s="3" t="n"/>
      <c r="H141" s="3" t="n"/>
      <c r="I141" s="3" t="n"/>
    </row>
    <row r="142">
      <c r="A142" s="15" t="n"/>
      <c r="B142" s="3" t="n"/>
      <c r="C142" s="3" t="n"/>
      <c r="D142" s="3" t="n"/>
      <c r="E142" s="3" t="n"/>
      <c r="F142" s="17" t="n"/>
      <c r="G142" s="3" t="n"/>
      <c r="H142" s="3" t="n"/>
      <c r="I142" s="3" t="n"/>
    </row>
    <row r="143">
      <c r="A143" s="15" t="n"/>
      <c r="B143" s="3" t="n"/>
      <c r="C143" s="3" t="n"/>
      <c r="D143" s="3" t="n"/>
      <c r="E143" s="3" t="n"/>
      <c r="F143" s="17" t="n"/>
      <c r="G143" s="3" t="n"/>
      <c r="H143" s="3" t="n"/>
      <c r="I143" s="3" t="n"/>
    </row>
    <row r="144">
      <c r="A144" s="15" t="n"/>
      <c r="B144" s="3" t="n"/>
      <c r="C144" s="3" t="n"/>
      <c r="D144" s="3" t="n"/>
      <c r="E144" s="3" t="n"/>
      <c r="F144" s="17" t="n"/>
      <c r="G144" s="3" t="n"/>
      <c r="H144" s="3" t="n"/>
      <c r="I144" s="3" t="n"/>
    </row>
    <row r="145">
      <c r="A145" s="15" t="n"/>
      <c r="B145" s="3" t="n"/>
      <c r="C145" s="3" t="n"/>
      <c r="D145" s="3" t="n"/>
      <c r="E145" s="3" t="n"/>
      <c r="F145" s="17" t="n"/>
      <c r="G145" s="3" t="n"/>
      <c r="H145" s="3" t="n"/>
      <c r="I145" s="3" t="n"/>
    </row>
    <row r="146">
      <c r="A146" s="15" t="n"/>
      <c r="B146" s="3" t="n"/>
      <c r="C146" s="3" t="n"/>
      <c r="D146" s="3" t="n"/>
      <c r="E146" s="3" t="n"/>
      <c r="F146" s="17" t="n"/>
      <c r="G146" s="3" t="n"/>
      <c r="H146" s="3" t="n"/>
      <c r="I146" s="3" t="n"/>
    </row>
    <row r="147">
      <c r="A147" s="15" t="n"/>
      <c r="B147" s="3" t="n"/>
      <c r="C147" s="3" t="n"/>
      <c r="D147" s="3" t="n"/>
      <c r="E147" s="3" t="n"/>
      <c r="F147" s="17" t="n"/>
      <c r="G147" s="3" t="n"/>
      <c r="H147" s="3" t="n"/>
      <c r="I147" s="3" t="n"/>
    </row>
    <row r="148">
      <c r="A148" s="15" t="n"/>
      <c r="B148" s="3" t="n"/>
      <c r="C148" s="3" t="n"/>
      <c r="D148" s="3" t="n"/>
      <c r="E148" s="3" t="n"/>
      <c r="F148" s="17" t="n"/>
      <c r="G148" s="3" t="n"/>
      <c r="H148" s="3" t="n"/>
      <c r="I148" s="3" t="n"/>
    </row>
    <row r="149">
      <c r="A149" s="15" t="n"/>
      <c r="B149" s="3" t="n"/>
      <c r="C149" s="3" t="n"/>
      <c r="D149" s="3" t="n"/>
      <c r="E149" s="3" t="n"/>
      <c r="F149" s="17" t="n"/>
      <c r="G149" s="3" t="n"/>
      <c r="H149" s="3" t="n"/>
      <c r="I149" s="3" t="n"/>
    </row>
    <row r="150">
      <c r="A150" s="15" t="n"/>
      <c r="B150" s="3" t="n"/>
      <c r="C150" s="3" t="n"/>
      <c r="D150" s="3" t="n"/>
      <c r="E150" s="3" t="n"/>
      <c r="F150" s="17" t="n"/>
      <c r="G150" s="3" t="n"/>
      <c r="H150" s="3" t="n"/>
      <c r="I150" s="3" t="n"/>
    </row>
    <row r="151">
      <c r="A151" s="15" t="n"/>
      <c r="B151" s="3" t="n"/>
      <c r="C151" s="3" t="n"/>
      <c r="D151" s="3" t="n"/>
      <c r="E151" s="3" t="n"/>
      <c r="F151" s="17" t="n"/>
      <c r="G151" s="3" t="n"/>
      <c r="H151" s="3" t="n"/>
      <c r="I151" s="3" t="n"/>
    </row>
    <row r="152">
      <c r="A152" s="15" t="n"/>
      <c r="B152" s="3" t="n"/>
      <c r="C152" s="3" t="n"/>
      <c r="D152" s="3" t="n"/>
      <c r="E152" s="3" t="n"/>
      <c r="F152" s="17" t="n"/>
      <c r="G152" s="3" t="n"/>
      <c r="H152" s="3" t="n"/>
      <c r="I152" s="3" t="n"/>
    </row>
    <row r="153">
      <c r="A153" s="15" t="n"/>
      <c r="B153" s="3" t="n"/>
      <c r="C153" s="3" t="n"/>
      <c r="D153" s="3" t="n"/>
      <c r="E153" s="3" t="n"/>
      <c r="F153" s="17" t="n"/>
      <c r="G153" s="3" t="n"/>
      <c r="H153" s="3" t="n"/>
      <c r="I153" s="3" t="n"/>
    </row>
    <row r="154">
      <c r="A154" s="15" t="n"/>
      <c r="B154" s="3" t="n"/>
      <c r="C154" s="3" t="n"/>
      <c r="D154" s="3" t="n"/>
      <c r="E154" s="3" t="n"/>
      <c r="F154" s="17" t="n"/>
      <c r="G154" s="3" t="n"/>
      <c r="H154" s="3" t="n"/>
      <c r="I154" s="3" t="n"/>
    </row>
    <row r="155">
      <c r="A155" s="15" t="n"/>
      <c r="B155" s="3" t="n"/>
      <c r="C155" s="3" t="n"/>
      <c r="D155" s="3" t="n"/>
      <c r="E155" s="3" t="n"/>
      <c r="F155" s="17" t="n"/>
      <c r="G155" s="3" t="n"/>
      <c r="H155" s="3" t="n"/>
      <c r="I155" s="3" t="n"/>
    </row>
    <row r="156">
      <c r="A156" s="15" t="n"/>
      <c r="B156" s="3" t="n"/>
      <c r="C156" s="3" t="n"/>
      <c r="D156" s="3" t="n"/>
      <c r="E156" s="3" t="n"/>
      <c r="F156" s="17" t="n"/>
      <c r="G156" s="3" t="n"/>
      <c r="H156" s="3" t="n"/>
      <c r="I156" s="3" t="n"/>
    </row>
    <row r="157">
      <c r="A157" s="15" t="n"/>
      <c r="B157" s="3" t="n"/>
      <c r="C157" s="3" t="n"/>
      <c r="D157" s="3" t="n"/>
      <c r="E157" s="3" t="n"/>
      <c r="F157" s="17" t="n"/>
      <c r="G157" s="3" t="n"/>
      <c r="H157" s="3" t="n"/>
      <c r="I157" s="3" t="n"/>
    </row>
    <row r="158">
      <c r="A158" s="15" t="n"/>
      <c r="B158" s="3" t="n"/>
      <c r="C158" s="3" t="n"/>
      <c r="D158" s="3" t="n"/>
      <c r="E158" s="3" t="n"/>
      <c r="F158" s="17" t="n"/>
      <c r="G158" s="3" t="n"/>
      <c r="H158" s="3" t="n"/>
      <c r="I158" s="3" t="n"/>
    </row>
    <row r="159">
      <c r="A159" s="15" t="n"/>
      <c r="B159" s="3" t="n"/>
      <c r="C159" s="3" t="n"/>
      <c r="D159" s="3" t="n"/>
      <c r="E159" s="3" t="n"/>
      <c r="F159" s="17" t="n"/>
      <c r="G159" s="3" t="n"/>
      <c r="H159" s="3" t="n"/>
      <c r="I159" s="3" t="n"/>
    </row>
    <row r="160">
      <c r="A160" s="15" t="n"/>
      <c r="B160" s="3" t="n"/>
      <c r="C160" s="3" t="n"/>
      <c r="D160" s="3" t="n"/>
      <c r="E160" s="3" t="n"/>
      <c r="F160" s="17" t="n"/>
      <c r="G160" s="3" t="n"/>
      <c r="H160" s="3" t="n"/>
      <c r="I160" s="3" t="n"/>
    </row>
    <row r="161">
      <c r="A161" s="15" t="n"/>
      <c r="B161" s="3" t="n"/>
      <c r="C161" s="3" t="n"/>
      <c r="D161" s="3" t="n"/>
      <c r="E161" s="3" t="n"/>
      <c r="F161" s="17" t="n"/>
      <c r="G161" s="3" t="n"/>
      <c r="H161" s="3" t="n"/>
      <c r="I161" s="3" t="n"/>
    </row>
    <row r="162">
      <c r="A162" s="15" t="n"/>
      <c r="B162" s="3" t="n"/>
      <c r="C162" s="3" t="n"/>
      <c r="D162" s="3" t="n"/>
      <c r="E162" s="3" t="n"/>
      <c r="F162" s="17" t="n"/>
      <c r="G162" s="3" t="n"/>
      <c r="H162" s="3" t="n"/>
      <c r="I162" s="3" t="n"/>
    </row>
    <row r="163">
      <c r="A163" s="15" t="n"/>
      <c r="B163" s="3" t="n"/>
      <c r="C163" s="3" t="n"/>
      <c r="D163" s="3" t="n"/>
      <c r="E163" s="3" t="n"/>
      <c r="F163" s="17" t="n"/>
      <c r="G163" s="3" t="n"/>
      <c r="H163" s="3" t="n"/>
      <c r="I163" s="3" t="n"/>
    </row>
    <row r="164">
      <c r="A164" s="15" t="n"/>
      <c r="B164" s="3" t="n"/>
      <c r="C164" s="3" t="n"/>
      <c r="D164" s="3" t="n"/>
      <c r="E164" s="3" t="n"/>
      <c r="F164" s="17" t="n"/>
      <c r="G164" s="3" t="n"/>
      <c r="H164" s="3" t="n"/>
      <c r="I164" s="3" t="n"/>
    </row>
    <row r="165">
      <c r="A165" s="15" t="n"/>
      <c r="B165" s="3" t="n"/>
      <c r="C165" s="3" t="n"/>
      <c r="D165" s="3" t="n"/>
      <c r="E165" s="3" t="n"/>
      <c r="F165" s="17" t="n"/>
      <c r="G165" s="3" t="n"/>
      <c r="H165" s="3" t="n"/>
      <c r="I165" s="3" t="n"/>
    </row>
    <row r="166">
      <c r="A166" s="15" t="n"/>
      <c r="B166" s="3" t="n"/>
      <c r="C166" s="3" t="n"/>
      <c r="D166" s="3" t="n"/>
      <c r="E166" s="3" t="n"/>
      <c r="F166" s="17" t="n"/>
      <c r="G166" s="3" t="n"/>
      <c r="H166" s="3" t="n"/>
      <c r="I166" s="3" t="n"/>
    </row>
    <row r="167">
      <c r="A167" s="15" t="n"/>
      <c r="B167" s="3" t="n"/>
      <c r="C167" s="3" t="n"/>
      <c r="D167" s="3" t="n"/>
      <c r="E167" s="3" t="n"/>
      <c r="F167" s="17" t="n"/>
      <c r="G167" s="3" t="n"/>
      <c r="H167" s="3" t="n"/>
      <c r="I167" s="3" t="n"/>
    </row>
    <row r="168">
      <c r="A168" s="15" t="n"/>
      <c r="B168" s="3" t="n"/>
      <c r="C168" s="3" t="n"/>
      <c r="D168" s="3" t="n"/>
      <c r="E168" s="3" t="n"/>
      <c r="F168" s="17" t="n"/>
      <c r="G168" s="3" t="n"/>
      <c r="H168" s="3" t="n"/>
      <c r="I168" s="3" t="n"/>
    </row>
    <row r="169">
      <c r="A169" s="15" t="n"/>
      <c r="B169" s="3" t="n"/>
      <c r="C169" s="3" t="n"/>
      <c r="D169" s="3" t="n"/>
      <c r="E169" s="3" t="n"/>
      <c r="F169" s="17" t="n"/>
      <c r="G169" s="3" t="n"/>
      <c r="H169" s="3" t="n"/>
      <c r="I169" s="3" t="n"/>
    </row>
    <row r="170">
      <c r="A170" s="15" t="n"/>
      <c r="B170" s="3" t="n"/>
      <c r="C170" s="3" t="n"/>
      <c r="D170" s="3" t="n"/>
      <c r="E170" s="3" t="n"/>
      <c r="F170" s="17" t="n"/>
      <c r="G170" s="3" t="n"/>
      <c r="H170" s="3" t="n"/>
      <c r="I170" s="3" t="n"/>
    </row>
    <row r="171">
      <c r="A171" s="15" t="n"/>
      <c r="B171" s="3" t="n"/>
      <c r="C171" s="3" t="n"/>
      <c r="D171" s="3" t="n"/>
      <c r="E171" s="3" t="n"/>
      <c r="F171" s="17" t="n"/>
      <c r="G171" s="3" t="n"/>
      <c r="H171" s="3" t="n"/>
      <c r="I171" s="3" t="n"/>
    </row>
    <row r="172">
      <c r="A172" s="15" t="n"/>
      <c r="B172" s="3" t="n"/>
      <c r="C172" s="3" t="n"/>
      <c r="D172" s="3" t="n"/>
      <c r="E172" s="3" t="n"/>
      <c r="F172" s="17" t="n"/>
      <c r="G172" s="3" t="n"/>
      <c r="H172" s="3" t="n"/>
      <c r="I172" s="3" t="n"/>
    </row>
    <row r="173">
      <c r="A173" s="15" t="n"/>
      <c r="B173" s="3" t="n"/>
      <c r="C173" s="3" t="n"/>
      <c r="D173" s="3" t="n"/>
      <c r="E173" s="3" t="n"/>
      <c r="F173" s="17" t="n"/>
      <c r="G173" s="3" t="n"/>
      <c r="H173" s="3" t="n"/>
      <c r="I173" s="3" t="n"/>
    </row>
    <row r="174">
      <c r="A174" s="15" t="n"/>
      <c r="B174" s="3" t="n"/>
      <c r="C174" s="3" t="n"/>
      <c r="D174" s="3" t="n"/>
      <c r="E174" s="3" t="n"/>
      <c r="F174" s="17" t="n"/>
      <c r="G174" s="3" t="n"/>
      <c r="H174" s="3" t="n"/>
      <c r="I174" s="3" t="n"/>
    </row>
    <row r="175">
      <c r="A175" s="15" t="n"/>
      <c r="B175" s="3" t="n"/>
      <c r="C175" s="3" t="n"/>
      <c r="D175" s="3" t="n"/>
      <c r="E175" s="3" t="n"/>
      <c r="F175" s="17" t="n"/>
      <c r="G175" s="3" t="n"/>
      <c r="H175" s="3" t="n"/>
      <c r="I175" s="3" t="n"/>
    </row>
    <row r="176">
      <c r="A176" s="15" t="n"/>
      <c r="B176" s="3" t="n"/>
      <c r="C176" s="3" t="n"/>
      <c r="D176" s="3" t="n"/>
      <c r="E176" s="3" t="n"/>
      <c r="F176" s="17" t="n"/>
      <c r="G176" s="3" t="n"/>
      <c r="H176" s="3" t="n"/>
      <c r="I176" s="3" t="n"/>
    </row>
    <row r="177">
      <c r="A177" s="15" t="n"/>
      <c r="B177" s="3" t="n"/>
      <c r="C177" s="3" t="n"/>
      <c r="D177" s="3" t="n"/>
      <c r="E177" s="3" t="n"/>
      <c r="F177" s="17" t="n"/>
      <c r="G177" s="3" t="n"/>
      <c r="H177" s="3" t="n"/>
      <c r="I177" s="3" t="n"/>
    </row>
    <row r="178">
      <c r="A178" s="15" t="n"/>
      <c r="B178" s="3" t="n"/>
      <c r="C178" s="3" t="n"/>
      <c r="D178" s="3" t="n"/>
      <c r="E178" s="3" t="n"/>
      <c r="F178" s="17" t="n"/>
      <c r="G178" s="3" t="n"/>
      <c r="H178" s="3" t="n"/>
      <c r="I178" s="3" t="n"/>
    </row>
    <row r="179">
      <c r="A179" s="15" t="n"/>
      <c r="B179" s="3" t="n"/>
      <c r="C179" s="3" t="n"/>
      <c r="D179" s="3" t="n"/>
      <c r="E179" s="3" t="n"/>
      <c r="F179" s="17" t="n"/>
      <c r="G179" s="3" t="n"/>
      <c r="H179" s="3" t="n"/>
      <c r="I179" s="3" t="n"/>
    </row>
    <row r="180">
      <c r="A180" s="15" t="n"/>
      <c r="B180" s="3" t="n"/>
      <c r="C180" s="3" t="n"/>
      <c r="D180" s="3" t="n"/>
      <c r="E180" s="3" t="n"/>
      <c r="F180" s="17" t="n"/>
      <c r="G180" s="3" t="n"/>
      <c r="H180" s="3" t="n"/>
      <c r="I180" s="3" t="n"/>
    </row>
    <row r="181">
      <c r="A181" s="15" t="n"/>
      <c r="B181" s="3" t="n"/>
      <c r="C181" s="3" t="n"/>
      <c r="D181" s="3" t="n"/>
      <c r="E181" s="3" t="n"/>
      <c r="F181" s="17" t="n"/>
      <c r="G181" s="3" t="n"/>
      <c r="H181" s="3" t="n"/>
      <c r="I181" s="3" t="n"/>
    </row>
    <row r="182">
      <c r="A182" s="15" t="n"/>
      <c r="B182" s="3" t="n"/>
      <c r="C182" s="3" t="n"/>
      <c r="D182" s="3" t="n"/>
      <c r="E182" s="3" t="n"/>
      <c r="F182" s="17" t="n"/>
      <c r="G182" s="3" t="n"/>
      <c r="H182" s="3" t="n"/>
      <c r="I182" s="3" t="n"/>
    </row>
    <row r="183">
      <c r="A183" s="15" t="n"/>
      <c r="B183" s="3" t="n"/>
      <c r="C183" s="3" t="n"/>
      <c r="D183" s="3" t="n"/>
      <c r="E183" s="3" t="n"/>
      <c r="F183" s="17" t="n"/>
      <c r="G183" s="3" t="n"/>
      <c r="H183" s="3" t="n"/>
      <c r="I183" s="3" t="n"/>
    </row>
    <row r="184">
      <c r="A184" s="15" t="n"/>
      <c r="B184" s="3" t="n"/>
      <c r="C184" s="3" t="n"/>
      <c r="D184" s="3" t="n"/>
      <c r="E184" s="3" t="n"/>
      <c r="F184" s="17" t="n"/>
      <c r="G184" s="3" t="n"/>
      <c r="H184" s="3" t="n"/>
      <c r="I184" s="3" t="n"/>
    </row>
    <row r="185">
      <c r="A185" s="15" t="n"/>
      <c r="B185" s="3" t="n"/>
      <c r="C185" s="3" t="n"/>
      <c r="D185" s="3" t="n"/>
      <c r="E185" s="3" t="n"/>
      <c r="F185" s="17" t="n"/>
      <c r="G185" s="3" t="n"/>
      <c r="H185" s="3" t="n"/>
      <c r="I185" s="3" t="n"/>
    </row>
    <row r="186">
      <c r="A186" s="15" t="n"/>
      <c r="B186" s="3" t="n"/>
      <c r="C186" s="3" t="n"/>
      <c r="D186" s="3" t="n"/>
      <c r="E186" s="3" t="n"/>
      <c r="F186" s="17" t="n"/>
      <c r="G186" s="3" t="n"/>
      <c r="H186" s="3" t="n"/>
      <c r="I186" s="3" t="n"/>
    </row>
    <row r="187">
      <c r="A187" s="15" t="n"/>
      <c r="B187" s="3" t="n"/>
      <c r="C187" s="3" t="n"/>
      <c r="D187" s="3" t="n"/>
      <c r="E187" s="3" t="n"/>
      <c r="F187" s="17" t="n"/>
      <c r="G187" s="3" t="n"/>
      <c r="H187" s="3" t="n"/>
      <c r="I187" s="3" t="n"/>
    </row>
    <row r="188">
      <c r="A188" s="15" t="n"/>
      <c r="B188" s="3" t="n"/>
      <c r="C188" s="3" t="n"/>
      <c r="D188" s="3" t="n"/>
      <c r="E188" s="3" t="n"/>
      <c r="F188" s="17" t="n"/>
      <c r="G188" s="3" t="n"/>
      <c r="H188" s="3" t="n"/>
      <c r="I188" s="3" t="n"/>
    </row>
    <row r="189">
      <c r="A189" s="15" t="n"/>
      <c r="B189" s="3" t="n"/>
      <c r="C189" s="3" t="n"/>
      <c r="D189" s="3" t="n"/>
      <c r="E189" s="3" t="n"/>
      <c r="F189" s="17" t="n"/>
      <c r="G189" s="3" t="n"/>
      <c r="H189" s="3" t="n"/>
      <c r="I189" s="3" t="n"/>
    </row>
    <row r="190">
      <c r="A190" s="15" t="n"/>
      <c r="B190" s="3" t="n"/>
      <c r="C190" s="3" t="n"/>
      <c r="D190" s="3" t="n"/>
      <c r="E190" s="3" t="n"/>
      <c r="F190" s="17" t="n"/>
      <c r="G190" s="3" t="n"/>
      <c r="H190" s="3" t="n"/>
      <c r="I190" s="3" t="n"/>
    </row>
    <row r="191">
      <c r="A191" s="15" t="n"/>
      <c r="B191" s="3" t="n"/>
      <c r="C191" s="3" t="n"/>
      <c r="D191" s="3" t="n"/>
      <c r="E191" s="3" t="n"/>
      <c r="F191" s="17" t="n"/>
      <c r="G191" s="3" t="n"/>
      <c r="H191" s="3" t="n"/>
      <c r="I191" s="3" t="n"/>
    </row>
    <row r="192">
      <c r="A192" s="15" t="n"/>
      <c r="B192" s="3" t="n"/>
      <c r="C192" s="3" t="n"/>
      <c r="D192" s="3" t="n"/>
      <c r="E192" s="3" t="n"/>
      <c r="F192" s="17" t="n"/>
      <c r="G192" s="3" t="n"/>
      <c r="H192" s="3" t="n"/>
      <c r="I192" s="3" t="n"/>
    </row>
    <row r="193">
      <c r="A193" s="15" t="n"/>
      <c r="B193" s="3" t="n"/>
      <c r="C193" s="3" t="n"/>
      <c r="D193" s="3" t="n"/>
      <c r="E193" s="3" t="n"/>
      <c r="F193" s="17" t="n"/>
      <c r="G193" s="3" t="n"/>
      <c r="H193" s="3" t="n"/>
      <c r="I193" s="3" t="n"/>
    </row>
    <row r="194">
      <c r="A194" s="15" t="n"/>
      <c r="B194" s="3" t="n"/>
      <c r="C194" s="3" t="n"/>
      <c r="D194" s="3" t="n"/>
      <c r="E194" s="3" t="n"/>
      <c r="F194" s="17" t="n"/>
      <c r="G194" s="3" t="n"/>
      <c r="H194" s="3" t="n"/>
      <c r="I194" s="3" t="n"/>
    </row>
    <row r="195">
      <c r="A195" s="15" t="n"/>
      <c r="B195" s="3" t="n"/>
      <c r="C195" s="3" t="n"/>
      <c r="D195" s="3" t="n"/>
      <c r="E195" s="3" t="n"/>
      <c r="F195" s="17" t="n"/>
      <c r="G195" s="3" t="n"/>
      <c r="H195" s="3" t="n"/>
      <c r="I195" s="3" t="n"/>
    </row>
    <row r="196">
      <c r="A196" s="15" t="n"/>
      <c r="B196" s="3" t="n"/>
      <c r="C196" s="3" t="n"/>
      <c r="D196" s="3" t="n"/>
      <c r="E196" s="3" t="n"/>
      <c r="F196" s="17" t="n"/>
      <c r="G196" s="3" t="n"/>
      <c r="H196" s="3" t="n"/>
      <c r="I196" s="3" t="n"/>
    </row>
    <row r="197">
      <c r="A197" s="15" t="n"/>
      <c r="B197" s="3" t="n"/>
      <c r="C197" s="3" t="n"/>
      <c r="D197" s="3" t="n"/>
      <c r="E197" s="3" t="n"/>
      <c r="F197" s="17" t="n"/>
      <c r="G197" s="3" t="n"/>
      <c r="H197" s="3" t="n"/>
      <c r="I197" s="3" t="n"/>
    </row>
    <row r="198">
      <c r="A198" s="15" t="n"/>
      <c r="B198" s="3" t="n"/>
      <c r="C198" s="3" t="n"/>
      <c r="D198" s="3" t="n"/>
      <c r="E198" s="3" t="n"/>
      <c r="F198" s="17" t="n"/>
      <c r="G198" s="3" t="n"/>
      <c r="H198" s="3" t="n"/>
      <c r="I198" s="3" t="n"/>
    </row>
    <row r="199">
      <c r="A199" s="15" t="n"/>
      <c r="B199" s="3" t="n"/>
      <c r="C199" s="3" t="n"/>
      <c r="D199" s="3" t="n"/>
      <c r="E199" s="3" t="n"/>
      <c r="F199" s="17" t="n"/>
      <c r="G199" s="3" t="n"/>
      <c r="H199" s="3" t="n"/>
      <c r="I199" s="3" t="n"/>
    </row>
    <row r="200">
      <c r="A200" s="15" t="n"/>
      <c r="B200" s="3" t="n"/>
      <c r="C200" s="3" t="n"/>
      <c r="D200" s="3" t="n"/>
      <c r="E200" s="3" t="n"/>
      <c r="F200" s="17" t="n"/>
      <c r="G200" s="3" t="n"/>
      <c r="H200" s="3" t="n"/>
      <c r="I200" s="3" t="n"/>
    </row>
    <row r="201">
      <c r="A201" s="15" t="n"/>
      <c r="B201" s="3" t="n"/>
      <c r="C201" s="3" t="n"/>
      <c r="D201" s="3" t="n"/>
      <c r="E201" s="3" t="n"/>
      <c r="F201" s="17" t="n"/>
      <c r="G201" s="3" t="n"/>
      <c r="H201" s="3" t="n"/>
      <c r="I201" s="3" t="n"/>
    </row>
    <row r="202">
      <c r="A202" s="15" t="n"/>
      <c r="B202" s="3" t="n"/>
      <c r="C202" s="3" t="n"/>
      <c r="D202" s="3" t="n"/>
      <c r="E202" s="3" t="n"/>
      <c r="F202" s="17" t="n"/>
      <c r="G202" s="3" t="n"/>
      <c r="H202" s="3" t="n"/>
      <c r="I202" s="3" t="n"/>
    </row>
    <row r="203">
      <c r="A203" s="15" t="n"/>
      <c r="B203" s="3" t="n"/>
      <c r="C203" s="3" t="n"/>
      <c r="D203" s="3" t="n"/>
      <c r="E203" s="3" t="n"/>
      <c r="F203" s="17" t="n"/>
      <c r="G203" s="3" t="n"/>
      <c r="H203" s="3" t="n"/>
      <c r="I203" s="3" t="n"/>
    </row>
    <row r="204">
      <c r="A204" s="15" t="n"/>
      <c r="B204" s="3" t="n"/>
      <c r="C204" s="3" t="n"/>
      <c r="D204" s="3" t="n"/>
      <c r="E204" s="3" t="n"/>
      <c r="F204" s="17" t="n"/>
      <c r="G204" s="3" t="n"/>
      <c r="H204" s="3" t="n"/>
      <c r="I204" s="3" t="n"/>
    </row>
    <row r="205">
      <c r="A205" s="15" t="n"/>
      <c r="B205" s="3" t="n"/>
      <c r="C205" s="3" t="n"/>
      <c r="D205" s="3" t="n"/>
      <c r="E205" s="3" t="n"/>
      <c r="F205" s="17" t="n"/>
      <c r="G205" s="3" t="n"/>
      <c r="H205" s="3" t="n"/>
      <c r="I205" s="3" t="n"/>
    </row>
    <row r="206">
      <c r="A206" s="15" t="n"/>
      <c r="B206" s="3" t="n"/>
      <c r="C206" s="3" t="n"/>
      <c r="D206" s="3" t="n"/>
      <c r="E206" s="3" t="n"/>
      <c r="F206" s="17" t="n"/>
      <c r="G206" s="3" t="n"/>
      <c r="H206" s="3" t="n"/>
      <c r="I206" s="3" t="n"/>
    </row>
    <row r="207">
      <c r="A207" s="15" t="n"/>
      <c r="B207" s="3" t="n"/>
      <c r="C207" s="3" t="n"/>
      <c r="D207" s="3" t="n"/>
      <c r="E207" s="3" t="n"/>
      <c r="F207" s="17" t="n"/>
      <c r="G207" s="3" t="n"/>
      <c r="H207" s="3" t="n"/>
      <c r="I207" s="3" t="n"/>
    </row>
    <row r="208">
      <c r="A208" s="15" t="n"/>
      <c r="B208" s="3" t="n"/>
      <c r="C208" s="3" t="n"/>
      <c r="D208" s="3" t="n"/>
      <c r="E208" s="3" t="n"/>
      <c r="F208" s="17" t="n"/>
      <c r="G208" s="3" t="n"/>
      <c r="H208" s="3" t="n"/>
      <c r="I208" s="3" t="n"/>
    </row>
    <row r="209">
      <c r="A209" s="15" t="n"/>
      <c r="B209" s="3" t="n"/>
      <c r="C209" s="3" t="n"/>
      <c r="D209" s="3" t="n"/>
      <c r="E209" s="3" t="n"/>
      <c r="F209" s="17" t="n"/>
      <c r="G209" s="3" t="n"/>
      <c r="H209" s="3" t="n"/>
      <c r="I209" s="3" t="n"/>
    </row>
    <row r="210">
      <c r="A210" s="15" t="n"/>
      <c r="B210" s="3" t="n"/>
      <c r="C210" s="3" t="n"/>
      <c r="D210" s="3" t="n"/>
      <c r="E210" s="3" t="n"/>
      <c r="F210" s="17" t="n"/>
      <c r="G210" s="3" t="n"/>
      <c r="H210" s="3" t="n"/>
      <c r="I210" s="3" t="n"/>
    </row>
    <row r="211">
      <c r="A211" s="15" t="n"/>
      <c r="B211" s="3" t="n"/>
      <c r="C211" s="3" t="n"/>
      <c r="D211" s="3" t="n"/>
      <c r="E211" s="3" t="n"/>
      <c r="F211" s="17" t="n"/>
      <c r="G211" s="3" t="n"/>
      <c r="H211" s="3" t="n"/>
      <c r="I211" s="3" t="n"/>
    </row>
    <row r="212">
      <c r="A212" s="15" t="n"/>
      <c r="B212" s="3" t="n"/>
      <c r="C212" s="3" t="n"/>
      <c r="D212" s="3" t="n"/>
      <c r="E212" s="3" t="n"/>
      <c r="F212" s="17" t="n"/>
      <c r="G212" s="3" t="n"/>
      <c r="H212" s="3" t="n"/>
      <c r="I212" s="3" t="n"/>
    </row>
    <row r="213">
      <c r="A213" s="15" t="n"/>
      <c r="B213" s="3" t="n"/>
      <c r="C213" s="3" t="n"/>
      <c r="D213" s="3" t="n"/>
      <c r="E213" s="3" t="n"/>
      <c r="F213" s="17" t="n"/>
      <c r="G213" s="3" t="n"/>
      <c r="H213" s="3" t="n"/>
      <c r="I213" s="3" t="n"/>
    </row>
    <row r="214">
      <c r="A214" s="15" t="n"/>
      <c r="B214" s="3" t="n"/>
      <c r="C214" s="3" t="n"/>
      <c r="D214" s="3" t="n"/>
      <c r="E214" s="3" t="n"/>
      <c r="F214" s="17" t="n"/>
      <c r="G214" s="3" t="n"/>
      <c r="H214" s="3" t="n"/>
      <c r="I214" s="3" t="n"/>
    </row>
    <row r="215">
      <c r="A215" s="15" t="n"/>
      <c r="B215" s="3" t="n"/>
      <c r="C215" s="3" t="n"/>
      <c r="D215" s="3" t="n"/>
      <c r="E215" s="3" t="n"/>
      <c r="F215" s="17" t="n"/>
      <c r="G215" s="3" t="n"/>
      <c r="H215" s="3" t="n"/>
      <c r="I215" s="3" t="n"/>
    </row>
    <row r="216">
      <c r="A216" s="15" t="n"/>
      <c r="B216" s="3" t="n"/>
      <c r="C216" s="3" t="n"/>
      <c r="D216" s="3" t="n"/>
      <c r="E216" s="3" t="n"/>
      <c r="F216" s="17" t="n"/>
      <c r="G216" s="3" t="n"/>
      <c r="H216" s="3" t="n"/>
      <c r="I216" s="3" t="n"/>
    </row>
    <row r="217">
      <c r="A217" s="15" t="n"/>
      <c r="B217" s="3" t="n"/>
      <c r="C217" s="3" t="n"/>
      <c r="D217" s="3" t="n"/>
      <c r="E217" s="3" t="n"/>
      <c r="F217" s="17" t="n"/>
      <c r="G217" s="3" t="n"/>
      <c r="H217" s="3" t="n"/>
      <c r="I217" s="3" t="n"/>
    </row>
    <row r="218">
      <c r="A218" s="15" t="n"/>
      <c r="B218" s="3" t="n"/>
      <c r="C218" s="3" t="n"/>
      <c r="D218" s="3" t="n"/>
      <c r="E218" s="3" t="n"/>
      <c r="F218" s="17" t="n"/>
      <c r="G218" s="3" t="n"/>
      <c r="H218" s="3" t="n"/>
      <c r="I218" s="3" t="n"/>
    </row>
    <row r="219">
      <c r="A219" s="15" t="n"/>
      <c r="B219" s="3" t="n"/>
      <c r="C219" s="3" t="n"/>
      <c r="D219" s="3" t="n"/>
      <c r="E219" s="3" t="n"/>
      <c r="F219" s="17" t="n"/>
      <c r="G219" s="3" t="n"/>
      <c r="H219" s="3" t="n"/>
      <c r="I219" s="3" t="n"/>
    </row>
    <row r="220">
      <c r="A220" s="15" t="n"/>
      <c r="B220" s="3" t="n"/>
      <c r="C220" s="3" t="n"/>
      <c r="D220" s="3" t="n"/>
      <c r="E220" s="3" t="n"/>
      <c r="F220" s="17" t="n"/>
      <c r="G220" s="3" t="n"/>
      <c r="H220" s="3" t="n"/>
      <c r="I220" s="3" t="n"/>
    </row>
    <row r="221">
      <c r="A221" s="15" t="n"/>
      <c r="B221" s="3" t="n"/>
      <c r="C221" s="3" t="n"/>
      <c r="D221" s="3" t="n"/>
      <c r="E221" s="3" t="n"/>
      <c r="F221" s="17" t="n"/>
      <c r="G221" s="3" t="n"/>
      <c r="H221" s="3" t="n"/>
      <c r="I221" s="3" t="n"/>
    </row>
    <row r="222">
      <c r="A222" s="15" t="n"/>
      <c r="B222" s="3" t="n"/>
      <c r="C222" s="3" t="n"/>
      <c r="D222" s="3" t="n"/>
      <c r="E222" s="3" t="n"/>
      <c r="F222" s="17" t="n"/>
      <c r="G222" s="3" t="n"/>
      <c r="H222" s="3" t="n"/>
      <c r="I222" s="3" t="n"/>
    </row>
    <row r="223">
      <c r="A223" s="15" t="n"/>
      <c r="B223" s="3" t="n"/>
      <c r="C223" s="3" t="n"/>
      <c r="D223" s="3" t="n"/>
      <c r="E223" s="3" t="n"/>
      <c r="F223" s="17" t="n"/>
      <c r="G223" s="3" t="n"/>
      <c r="H223" s="3" t="n"/>
      <c r="I223" s="3" t="n"/>
    </row>
    <row r="224">
      <c r="A224" s="15" t="n"/>
      <c r="B224" s="3" t="n"/>
      <c r="C224" s="3" t="n"/>
      <c r="D224" s="3" t="n"/>
      <c r="E224" s="3" t="n"/>
      <c r="F224" s="17" t="n"/>
      <c r="G224" s="3" t="n"/>
      <c r="H224" s="3" t="n"/>
      <c r="I224" s="3" t="n"/>
    </row>
    <row r="225">
      <c r="A225" s="15" t="n"/>
      <c r="B225" s="3" t="n"/>
      <c r="C225" s="3" t="n"/>
      <c r="D225" s="3" t="n"/>
      <c r="E225" s="3" t="n"/>
      <c r="F225" s="17" t="n"/>
      <c r="G225" s="3" t="n"/>
      <c r="H225" s="3" t="n"/>
      <c r="I225" s="3" t="n"/>
    </row>
    <row r="226">
      <c r="A226" s="15" t="n"/>
      <c r="B226" s="3" t="n"/>
      <c r="C226" s="3" t="n"/>
      <c r="D226" s="3" t="n"/>
      <c r="E226" s="3" t="n"/>
      <c r="F226" s="17" t="n"/>
      <c r="G226" s="3" t="n"/>
      <c r="H226" s="3" t="n"/>
      <c r="I226" s="3" t="n"/>
    </row>
    <row r="227">
      <c r="A227" s="15" t="n"/>
      <c r="B227" s="3" t="n"/>
      <c r="C227" s="3" t="n"/>
      <c r="D227" s="3" t="n"/>
      <c r="E227" s="3" t="n"/>
      <c r="F227" s="17" t="n"/>
      <c r="G227" s="3" t="n"/>
      <c r="H227" s="3" t="n"/>
      <c r="I227" s="3" t="n"/>
    </row>
    <row r="228">
      <c r="A228" s="15" t="n"/>
      <c r="B228" s="3" t="n"/>
      <c r="C228" s="3" t="n"/>
      <c r="D228" s="3" t="n"/>
      <c r="E228" s="3" t="n"/>
      <c r="F228" s="17" t="n"/>
      <c r="G228" s="3" t="n"/>
      <c r="H228" s="3" t="n"/>
      <c r="I228" s="3" t="n"/>
    </row>
    <row r="229">
      <c r="A229" s="15" t="n"/>
      <c r="B229" s="3" t="n"/>
      <c r="C229" s="3" t="n"/>
      <c r="D229" s="3" t="n"/>
      <c r="E229" s="3" t="n"/>
      <c r="F229" s="17" t="n"/>
      <c r="G229" s="3" t="n"/>
      <c r="H229" s="3" t="n"/>
      <c r="I229" s="3" t="n"/>
    </row>
    <row r="230">
      <c r="A230" s="15" t="n"/>
      <c r="B230" s="3" t="n"/>
      <c r="C230" s="3" t="n"/>
      <c r="D230" s="3" t="n"/>
      <c r="E230" s="3" t="n"/>
      <c r="F230" s="17" t="n"/>
      <c r="G230" s="3" t="n"/>
      <c r="H230" s="3" t="n"/>
      <c r="I230" s="3" t="n"/>
    </row>
    <row r="231">
      <c r="A231" s="15" t="n"/>
      <c r="B231" s="3" t="n"/>
      <c r="C231" s="3" t="n"/>
      <c r="D231" s="3" t="n"/>
      <c r="E231" s="3" t="n"/>
      <c r="F231" s="17" t="n"/>
      <c r="G231" s="3" t="n"/>
      <c r="H231" s="3" t="n"/>
      <c r="I231" s="3" t="n"/>
    </row>
    <row r="232">
      <c r="A232" s="15" t="n"/>
      <c r="B232" s="3" t="n"/>
      <c r="C232" s="3" t="n"/>
      <c r="D232" s="3" t="n"/>
      <c r="E232" s="3" t="n"/>
      <c r="F232" s="17" t="n"/>
      <c r="G232" s="3" t="n"/>
      <c r="H232" s="3" t="n"/>
      <c r="I232" s="3" t="n"/>
    </row>
    <row r="233">
      <c r="A233" s="15" t="n"/>
      <c r="B233" s="3" t="n"/>
      <c r="C233" s="3" t="n"/>
      <c r="D233" s="3" t="n"/>
      <c r="E233" s="3" t="n"/>
      <c r="F233" s="17" t="n"/>
      <c r="G233" s="3" t="n"/>
      <c r="H233" s="3" t="n"/>
      <c r="I233" s="3" t="n"/>
    </row>
    <row r="234">
      <c r="A234" s="15" t="n"/>
      <c r="B234" s="3" t="n"/>
      <c r="C234" s="3" t="n"/>
      <c r="D234" s="3" t="n"/>
      <c r="E234" s="3" t="n"/>
      <c r="F234" s="17" t="n"/>
      <c r="G234" s="3" t="n"/>
      <c r="H234" s="3" t="n"/>
      <c r="I234" s="3" t="n"/>
    </row>
    <row r="235">
      <c r="A235" s="15" t="n"/>
      <c r="B235" s="3" t="n"/>
      <c r="C235" s="3" t="n"/>
      <c r="D235" s="3" t="n"/>
      <c r="E235" s="3" t="n"/>
      <c r="F235" s="17" t="n"/>
      <c r="G235" s="3" t="n"/>
      <c r="H235" s="3" t="n"/>
      <c r="I235" s="3" t="n"/>
    </row>
    <row r="236">
      <c r="A236" s="15" t="n"/>
      <c r="B236" s="3" t="n"/>
      <c r="C236" s="3" t="n"/>
      <c r="D236" s="3" t="n"/>
      <c r="E236" s="3" t="n"/>
      <c r="F236" s="17" t="n"/>
      <c r="G236" s="3" t="n"/>
      <c r="H236" s="3" t="n"/>
      <c r="I236" s="3" t="n"/>
    </row>
    <row r="237">
      <c r="A237" s="15" t="n"/>
      <c r="B237" s="3" t="n"/>
      <c r="C237" s="3" t="n"/>
      <c r="D237" s="3" t="n"/>
      <c r="E237" s="3" t="n"/>
      <c r="F237" s="17" t="n"/>
      <c r="G237" s="3" t="n"/>
      <c r="H237" s="3" t="n"/>
      <c r="I237" s="3" t="n"/>
    </row>
    <row r="238">
      <c r="A238" s="15" t="n"/>
      <c r="B238" s="3" t="n"/>
      <c r="C238" s="3" t="n"/>
      <c r="D238" s="3" t="n"/>
      <c r="E238" s="3" t="n"/>
      <c r="F238" s="17" t="n"/>
      <c r="G238" s="3" t="n"/>
      <c r="H238" s="3" t="n"/>
      <c r="I238" s="3" t="n"/>
    </row>
    <row r="239">
      <c r="A239" s="15" t="n"/>
      <c r="B239" s="3" t="n"/>
      <c r="C239" s="3" t="n"/>
      <c r="D239" s="3" t="n"/>
      <c r="E239" s="3" t="n"/>
      <c r="F239" s="17" t="n"/>
      <c r="G239" s="3" t="n"/>
      <c r="H239" s="3" t="n"/>
      <c r="I239" s="3" t="n"/>
    </row>
    <row r="240">
      <c r="A240" s="15" t="n"/>
      <c r="B240" s="3" t="n"/>
      <c r="C240" s="3" t="n"/>
      <c r="D240" s="3" t="n"/>
      <c r="E240" s="3" t="n"/>
      <c r="F240" s="17" t="n"/>
      <c r="G240" s="3" t="n"/>
      <c r="H240" s="3" t="n"/>
      <c r="I240" s="3" t="n"/>
    </row>
    <row r="241">
      <c r="A241" s="15" t="n"/>
      <c r="B241" s="3" t="n"/>
      <c r="C241" s="3" t="n"/>
      <c r="D241" s="3" t="n"/>
      <c r="E241" s="3" t="n"/>
      <c r="F241" s="17" t="n"/>
      <c r="G241" s="3" t="n"/>
      <c r="H241" s="3" t="n"/>
      <c r="I241" s="3" t="n"/>
    </row>
    <row r="242">
      <c r="A242" s="15" t="n"/>
      <c r="B242" s="3" t="n"/>
      <c r="C242" s="3" t="n"/>
      <c r="D242" s="3" t="n"/>
      <c r="E242" s="3" t="n"/>
      <c r="F242" s="17" t="n"/>
      <c r="G242" s="3" t="n"/>
      <c r="H242" s="3" t="n"/>
      <c r="I242" s="3" t="n"/>
    </row>
    <row r="243">
      <c r="A243" s="15" t="n"/>
      <c r="B243" s="3" t="n"/>
      <c r="C243" s="3" t="n"/>
      <c r="D243" s="3" t="n"/>
      <c r="E243" s="3" t="n"/>
      <c r="F243" s="17" t="n"/>
      <c r="G243" s="3" t="n"/>
      <c r="H243" s="3" t="n"/>
      <c r="I243" s="3" t="n"/>
    </row>
    <row r="244">
      <c r="A244" s="15" t="n"/>
      <c r="B244" s="3" t="n"/>
      <c r="C244" s="3" t="n"/>
      <c r="D244" s="3" t="n"/>
      <c r="E244" s="3" t="n"/>
      <c r="F244" s="17" t="n"/>
      <c r="G244" s="3" t="n"/>
      <c r="H244" s="3" t="n"/>
      <c r="I244" s="3" t="n"/>
    </row>
    <row r="245">
      <c r="A245" s="15" t="n"/>
      <c r="B245" s="3" t="n"/>
      <c r="C245" s="3" t="n"/>
      <c r="D245" s="3" t="n"/>
      <c r="E245" s="3" t="n"/>
      <c r="F245" s="17" t="n"/>
      <c r="G245" s="3" t="n"/>
      <c r="H245" s="3" t="n"/>
      <c r="I245" s="3" t="n"/>
    </row>
    <row r="246">
      <c r="A246" s="15" t="n"/>
      <c r="B246" s="3" t="n"/>
      <c r="C246" s="3" t="n"/>
      <c r="D246" s="3" t="n"/>
      <c r="E246" s="3" t="n"/>
      <c r="F246" s="17" t="n"/>
      <c r="G246" s="3" t="n"/>
      <c r="H246" s="3" t="n"/>
      <c r="I246" s="3" t="n"/>
    </row>
    <row r="247">
      <c r="A247" s="15" t="n"/>
      <c r="B247" s="3" t="n"/>
      <c r="C247" s="3" t="n"/>
      <c r="D247" s="3" t="n"/>
      <c r="E247" s="3" t="n"/>
      <c r="F247" s="17" t="n"/>
      <c r="G247" s="3" t="n"/>
      <c r="H247" s="3" t="n"/>
      <c r="I247" s="3" t="n"/>
    </row>
    <row r="248">
      <c r="A248" s="15" t="n"/>
      <c r="B248" s="3" t="n"/>
      <c r="C248" s="3" t="n"/>
      <c r="D248" s="3" t="n"/>
      <c r="E248" s="3" t="n"/>
      <c r="F248" s="17" t="n"/>
      <c r="G248" s="3" t="n"/>
      <c r="H248" s="3" t="n"/>
      <c r="I248" s="3" t="n"/>
    </row>
    <row r="249">
      <c r="A249" s="15" t="n"/>
      <c r="B249" s="3" t="n"/>
      <c r="C249" s="3" t="n"/>
      <c r="D249" s="3" t="n"/>
      <c r="E249" s="3" t="n"/>
      <c r="F249" s="17" t="n"/>
      <c r="G249" s="3" t="n"/>
      <c r="H249" s="3" t="n"/>
      <c r="I249" s="3" t="n"/>
    </row>
    <row r="250">
      <c r="A250" s="15" t="n"/>
      <c r="B250" s="3" t="n"/>
      <c r="C250" s="3" t="n"/>
      <c r="D250" s="3" t="n"/>
      <c r="E250" s="3" t="n"/>
      <c r="F250" s="17" t="n"/>
      <c r="G250" s="3" t="n"/>
      <c r="H250" s="3" t="n"/>
      <c r="I250" s="3" t="n"/>
    </row>
    <row r="251">
      <c r="A251" s="15" t="n"/>
      <c r="B251" s="3" t="n"/>
      <c r="C251" s="3" t="n"/>
      <c r="D251" s="3" t="n"/>
      <c r="E251" s="3" t="n"/>
      <c r="F251" s="17" t="n"/>
      <c r="G251" s="3" t="n"/>
      <c r="H251" s="3" t="n"/>
      <c r="I251" s="3" t="n"/>
    </row>
    <row r="252">
      <c r="A252" s="15" t="n"/>
      <c r="B252" s="3" t="n"/>
      <c r="C252" s="3" t="n"/>
      <c r="D252" s="3" t="n"/>
      <c r="E252" s="3" t="n"/>
      <c r="F252" s="17" t="n"/>
      <c r="G252" s="3" t="n"/>
      <c r="H252" s="3" t="n"/>
      <c r="I252" s="3" t="n"/>
    </row>
    <row r="253">
      <c r="A253" s="15" t="n"/>
      <c r="B253" s="3" t="n"/>
      <c r="C253" s="3" t="n"/>
      <c r="D253" s="3" t="n"/>
      <c r="E253" s="3" t="n"/>
      <c r="F253" s="17" t="n"/>
      <c r="G253" s="3" t="n"/>
      <c r="H253" s="3" t="n"/>
      <c r="I253" s="3" t="n"/>
    </row>
    <row r="254">
      <c r="A254" s="15" t="n"/>
      <c r="B254" s="3" t="n"/>
      <c r="C254" s="3" t="n"/>
      <c r="D254" s="3" t="n"/>
      <c r="E254" s="3" t="n"/>
      <c r="F254" s="17" t="n"/>
      <c r="G254" s="3" t="n"/>
      <c r="H254" s="3" t="n"/>
      <c r="I254" s="3" t="n"/>
    </row>
    <row r="255">
      <c r="A255" s="15" t="n"/>
      <c r="B255" s="3" t="n"/>
      <c r="C255" s="3" t="n"/>
      <c r="D255" s="3" t="n"/>
      <c r="E255" s="3" t="n"/>
      <c r="F255" s="17" t="n"/>
      <c r="G255" s="3" t="n"/>
      <c r="H255" s="3" t="n"/>
      <c r="I255" s="3" t="n"/>
    </row>
    <row r="256">
      <c r="A256" s="15" t="n"/>
      <c r="B256" s="3" t="n"/>
      <c r="C256" s="3" t="n"/>
      <c r="D256" s="3" t="n"/>
      <c r="E256" s="3" t="n"/>
      <c r="F256" s="17" t="n"/>
      <c r="G256" s="3" t="n"/>
      <c r="H256" s="3" t="n"/>
      <c r="I256" s="3" t="n"/>
    </row>
    <row r="257">
      <c r="A257" s="15" t="n"/>
      <c r="B257" s="3" t="n"/>
      <c r="C257" s="3" t="n"/>
      <c r="D257" s="3" t="n"/>
      <c r="E257" s="3" t="n"/>
      <c r="F257" s="17" t="n"/>
      <c r="G257" s="3" t="n"/>
      <c r="H257" s="3" t="n"/>
      <c r="I257" s="3" t="n"/>
    </row>
    <row r="258">
      <c r="A258" s="15" t="n"/>
      <c r="B258" s="3" t="n"/>
      <c r="C258" s="3" t="n"/>
      <c r="D258" s="3" t="n"/>
      <c r="E258" s="3" t="n"/>
      <c r="F258" s="17" t="n"/>
      <c r="G258" s="3" t="n"/>
      <c r="H258" s="3" t="n"/>
      <c r="I258" s="3" t="n"/>
    </row>
    <row r="259">
      <c r="A259" s="15" t="n"/>
      <c r="B259" s="3" t="n"/>
      <c r="C259" s="3" t="n"/>
      <c r="D259" s="3" t="n"/>
      <c r="E259" s="3" t="n"/>
      <c r="F259" s="17" t="n"/>
      <c r="G259" s="3" t="n"/>
      <c r="H259" s="3" t="n"/>
      <c r="I259" s="3" t="n"/>
    </row>
    <row r="260">
      <c r="A260" s="15" t="n"/>
      <c r="B260" s="3" t="n"/>
      <c r="C260" s="3" t="n"/>
      <c r="D260" s="3" t="n"/>
      <c r="E260" s="3" t="n"/>
      <c r="F260" s="17" t="n"/>
      <c r="G260" s="3" t="n"/>
      <c r="H260" s="3" t="n"/>
      <c r="I260" s="3" t="n"/>
    </row>
    <row r="261">
      <c r="A261" s="15" t="n"/>
      <c r="B261" s="3" t="n"/>
      <c r="C261" s="3" t="n"/>
      <c r="D261" s="3" t="n"/>
      <c r="E261" s="3" t="n"/>
      <c r="F261" s="17" t="n"/>
      <c r="G261" s="3" t="n"/>
      <c r="H261" s="3" t="n"/>
      <c r="I261" s="3" t="n"/>
    </row>
    <row r="262">
      <c r="A262" s="15" t="n"/>
      <c r="B262" s="3" t="n"/>
      <c r="C262" s="3" t="n"/>
      <c r="D262" s="3" t="n"/>
      <c r="E262" s="3" t="n"/>
      <c r="F262" s="17" t="n"/>
      <c r="G262" s="3" t="n"/>
      <c r="H262" s="3" t="n"/>
      <c r="I262" s="3" t="n"/>
    </row>
    <row r="263">
      <c r="A263" s="15" t="n"/>
      <c r="B263" s="3" t="n"/>
      <c r="C263" s="3" t="n"/>
      <c r="D263" s="3" t="n"/>
      <c r="E263" s="3" t="n"/>
      <c r="F263" s="17" t="n"/>
      <c r="G263" s="3" t="n"/>
      <c r="H263" s="3" t="n"/>
      <c r="I263" s="3" t="n"/>
    </row>
    <row r="264">
      <c r="A264" s="15" t="n"/>
      <c r="B264" s="3" t="n"/>
      <c r="C264" s="3" t="n"/>
      <c r="D264" s="3" t="n"/>
      <c r="E264" s="3" t="n"/>
      <c r="F264" s="17" t="n"/>
      <c r="G264" s="3" t="n"/>
      <c r="H264" s="3" t="n"/>
      <c r="I264" s="3" t="n"/>
    </row>
    <row r="265">
      <c r="A265" s="15" t="n"/>
      <c r="B265" s="3" t="n"/>
      <c r="C265" s="3" t="n"/>
      <c r="D265" s="3" t="n"/>
      <c r="E265" s="3" t="n"/>
      <c r="F265" s="17" t="n"/>
      <c r="G265" s="3" t="n"/>
      <c r="H265" s="3" t="n"/>
      <c r="I265" s="3" t="n"/>
    </row>
    <row r="266">
      <c r="A266" s="15" t="n"/>
      <c r="B266" s="3" t="n"/>
      <c r="C266" s="3" t="n"/>
      <c r="D266" s="3" t="n"/>
      <c r="E266" s="3" t="n"/>
      <c r="F266" s="17" t="n"/>
      <c r="G266" s="3" t="n"/>
      <c r="H266" s="3" t="n"/>
      <c r="I266" s="3" t="n"/>
    </row>
    <row r="267">
      <c r="A267" s="15" t="n"/>
      <c r="B267" s="3" t="n"/>
      <c r="C267" s="3" t="n"/>
      <c r="D267" s="3" t="n"/>
      <c r="E267" s="3" t="n"/>
      <c r="F267" s="17" t="n"/>
      <c r="G267" s="3" t="n"/>
      <c r="H267" s="3" t="n"/>
      <c r="I267" s="3" t="n"/>
    </row>
    <row r="268">
      <c r="A268" s="15" t="n"/>
      <c r="B268" s="3" t="n"/>
      <c r="C268" s="3" t="n"/>
      <c r="D268" s="3" t="n"/>
      <c r="E268" s="3" t="n"/>
      <c r="F268" s="17" t="n"/>
      <c r="G268" s="3" t="n"/>
      <c r="H268" s="3" t="n"/>
      <c r="I268" s="3" t="n"/>
    </row>
    <row r="269">
      <c r="A269" s="15" t="n"/>
      <c r="B269" s="3" t="n"/>
      <c r="C269" s="3" t="n"/>
      <c r="D269" s="3" t="n"/>
      <c r="E269" s="3" t="n"/>
      <c r="F269" s="17" t="n"/>
      <c r="G269" s="3" t="n"/>
      <c r="H269" s="3" t="n"/>
      <c r="I269" s="3" t="n"/>
    </row>
    <row r="270">
      <c r="A270" s="15" t="n"/>
      <c r="B270" s="3" t="n"/>
      <c r="C270" s="3" t="n"/>
      <c r="D270" s="3" t="n"/>
      <c r="E270" s="3" t="n"/>
      <c r="F270" s="17" t="n"/>
      <c r="G270" s="3" t="n"/>
      <c r="H270" s="3" t="n"/>
      <c r="I270" s="3" t="n"/>
    </row>
    <row r="271">
      <c r="A271" s="15" t="n"/>
      <c r="B271" s="3" t="n"/>
      <c r="C271" s="3" t="n"/>
      <c r="D271" s="3" t="n"/>
      <c r="E271" s="3" t="n"/>
      <c r="F271" s="17" t="n"/>
      <c r="G271" s="3" t="n"/>
      <c r="H271" s="3" t="n"/>
      <c r="I271" s="3" t="n"/>
    </row>
    <row r="272">
      <c r="A272" s="15" t="n"/>
      <c r="B272" s="3" t="n"/>
      <c r="C272" s="3" t="n"/>
      <c r="D272" s="3" t="n"/>
      <c r="E272" s="3" t="n"/>
      <c r="F272" s="17" t="n"/>
      <c r="G272" s="3" t="n"/>
      <c r="H272" s="3" t="n"/>
      <c r="I272" s="3" t="n"/>
    </row>
    <row r="273">
      <c r="A273" s="15" t="n"/>
      <c r="B273" s="3" t="n"/>
      <c r="C273" s="3" t="n"/>
      <c r="D273" s="3" t="n"/>
      <c r="E273" s="3" t="n"/>
      <c r="F273" s="17" t="n"/>
      <c r="G273" s="3" t="n"/>
      <c r="H273" s="3" t="n"/>
      <c r="I273" s="3" t="n"/>
    </row>
    <row r="274">
      <c r="A274" s="15" t="n"/>
      <c r="B274" s="3" t="n"/>
      <c r="C274" s="3" t="n"/>
      <c r="D274" s="3" t="n"/>
      <c r="E274" s="3" t="n"/>
      <c r="F274" s="17" t="n"/>
      <c r="G274" s="3" t="n"/>
      <c r="H274" s="3" t="n"/>
      <c r="I274" s="3" t="n"/>
    </row>
    <row r="275">
      <c r="A275" s="15" t="n"/>
      <c r="B275" s="3" t="n"/>
      <c r="C275" s="3" t="n"/>
      <c r="D275" s="3" t="n"/>
      <c r="E275" s="3" t="n"/>
      <c r="F275" s="17" t="n"/>
      <c r="G275" s="3" t="n"/>
      <c r="H275" s="3" t="n"/>
      <c r="I275" s="3" t="n"/>
    </row>
    <row r="276">
      <c r="A276" s="15" t="n"/>
      <c r="B276" s="3" t="n"/>
      <c r="C276" s="3" t="n"/>
      <c r="D276" s="3" t="n"/>
      <c r="E276" s="3" t="n"/>
      <c r="F276" s="17" t="n"/>
      <c r="G276" s="3" t="n"/>
      <c r="H276" s="3" t="n"/>
      <c r="I276" s="3" t="n"/>
    </row>
    <row r="277">
      <c r="A277" s="15" t="n"/>
      <c r="B277" s="3" t="n"/>
      <c r="C277" s="3" t="n"/>
      <c r="D277" s="3" t="n"/>
      <c r="E277" s="3" t="n"/>
      <c r="F277" s="17" t="n"/>
      <c r="G277" s="3" t="n"/>
      <c r="H277" s="3" t="n"/>
      <c r="I277" s="3" t="n"/>
    </row>
    <row r="278">
      <c r="A278" s="15" t="n"/>
      <c r="B278" s="3" t="n"/>
      <c r="C278" s="3" t="n"/>
      <c r="D278" s="3" t="n"/>
      <c r="E278" s="3" t="n"/>
      <c r="F278" s="17" t="n"/>
      <c r="G278" s="3" t="n"/>
      <c r="H278" s="3" t="n"/>
      <c r="I278" s="3" t="n"/>
    </row>
    <row r="279">
      <c r="A279" s="15" t="n"/>
      <c r="B279" s="3" t="n"/>
      <c r="C279" s="3" t="n"/>
      <c r="D279" s="3" t="n"/>
      <c r="E279" s="3" t="n"/>
      <c r="F279" s="17" t="n"/>
      <c r="G279" s="3" t="n"/>
      <c r="H279" s="3" t="n"/>
      <c r="I279" s="3" t="n"/>
    </row>
    <row r="280">
      <c r="A280" s="15" t="n"/>
      <c r="B280" s="3" t="n"/>
      <c r="C280" s="3" t="n"/>
      <c r="D280" s="3" t="n"/>
      <c r="E280" s="3" t="n"/>
      <c r="F280" s="17" t="n"/>
      <c r="G280" s="3" t="n"/>
      <c r="H280" s="3" t="n"/>
      <c r="I280" s="3" t="n"/>
    </row>
    <row r="281">
      <c r="A281" s="15" t="n"/>
      <c r="B281" s="3" t="n"/>
      <c r="C281" s="3" t="n"/>
      <c r="D281" s="3" t="n"/>
      <c r="E281" s="3" t="n"/>
      <c r="F281" s="17" t="n"/>
      <c r="G281" s="3" t="n"/>
      <c r="H281" s="3" t="n"/>
      <c r="I281" s="3" t="n"/>
    </row>
    <row r="282">
      <c r="A282" s="15" t="n"/>
      <c r="B282" s="3" t="n"/>
      <c r="C282" s="3" t="n"/>
      <c r="D282" s="3" t="n"/>
      <c r="E282" s="3" t="n"/>
      <c r="F282" s="17" t="n"/>
      <c r="G282" s="3" t="n"/>
      <c r="H282" s="3" t="n"/>
      <c r="I282" s="3" t="n"/>
    </row>
    <row r="283">
      <c r="A283" s="15" t="n"/>
      <c r="B283" s="3" t="n"/>
      <c r="C283" s="3" t="n"/>
      <c r="D283" s="3" t="n"/>
      <c r="E283" s="3" t="n"/>
      <c r="F283" s="17" t="n"/>
      <c r="G283" s="3" t="n"/>
      <c r="H283" s="3" t="n"/>
      <c r="I283" s="3" t="n"/>
    </row>
    <row r="284">
      <c r="A284" s="15" t="n"/>
      <c r="B284" s="3" t="n"/>
      <c r="C284" s="3" t="n"/>
      <c r="D284" s="3" t="n"/>
      <c r="E284" s="3" t="n"/>
      <c r="F284" s="17" t="n"/>
      <c r="G284" s="3" t="n"/>
      <c r="H284" s="3" t="n"/>
      <c r="I284" s="3" t="n"/>
    </row>
    <row r="285">
      <c r="A285" s="15" t="n"/>
      <c r="B285" s="3" t="n"/>
      <c r="C285" s="3" t="n"/>
      <c r="D285" s="3" t="n"/>
      <c r="E285" s="3" t="n"/>
      <c r="F285" s="17" t="n"/>
      <c r="G285" s="3" t="n"/>
      <c r="H285" s="3" t="n"/>
      <c r="I285" s="3" t="n"/>
    </row>
    <row r="286">
      <c r="A286" s="15" t="n"/>
      <c r="B286" s="3" t="n"/>
      <c r="C286" s="3" t="n"/>
      <c r="D286" s="3" t="n"/>
      <c r="E286" s="3" t="n"/>
      <c r="F286" s="17" t="n"/>
      <c r="G286" s="3" t="n"/>
      <c r="H286" s="3" t="n"/>
      <c r="I286" s="3" t="n"/>
    </row>
    <row r="287">
      <c r="A287" s="15" t="n"/>
      <c r="B287" s="3" t="n"/>
      <c r="C287" s="3" t="n"/>
      <c r="D287" s="3" t="n"/>
      <c r="E287" s="3" t="n"/>
      <c r="F287" s="17" t="n"/>
      <c r="G287" s="3" t="n"/>
      <c r="H287" s="3" t="n"/>
      <c r="I287" s="3" t="n"/>
    </row>
    <row r="288">
      <c r="A288" s="15" t="n"/>
      <c r="B288" s="3" t="n"/>
      <c r="C288" s="3" t="n"/>
      <c r="D288" s="3" t="n"/>
      <c r="E288" s="3" t="n"/>
      <c r="F288" s="17" t="n"/>
      <c r="G288" s="3" t="n"/>
      <c r="H288" s="3" t="n"/>
      <c r="I288" s="3" t="n"/>
    </row>
    <row r="289">
      <c r="A289" s="15" t="n"/>
      <c r="B289" s="3" t="n"/>
      <c r="C289" s="3" t="n"/>
      <c r="D289" s="3" t="n"/>
      <c r="E289" s="3" t="n"/>
      <c r="F289" s="17" t="n"/>
      <c r="G289" s="3" t="n"/>
      <c r="H289" s="3" t="n"/>
      <c r="I289" s="3" t="n"/>
    </row>
    <row r="290">
      <c r="A290" s="15" t="n"/>
      <c r="B290" s="3" t="n"/>
      <c r="C290" s="3" t="n"/>
      <c r="D290" s="3" t="n"/>
      <c r="E290" s="3" t="n"/>
      <c r="F290" s="17" t="n"/>
      <c r="G290" s="3" t="n"/>
      <c r="H290" s="3" t="n"/>
      <c r="I290" s="3" t="n"/>
    </row>
    <row r="291">
      <c r="A291" s="15" t="n"/>
      <c r="B291" s="3" t="n"/>
      <c r="C291" s="3" t="n"/>
      <c r="D291" s="3" t="n"/>
      <c r="E291" s="3" t="n"/>
      <c r="F291" s="17" t="n"/>
      <c r="G291" s="3" t="n"/>
      <c r="H291" s="3" t="n"/>
      <c r="I291" s="3" t="n"/>
    </row>
    <row r="292">
      <c r="A292" s="15" t="n"/>
      <c r="B292" s="3" t="n"/>
      <c r="C292" s="3" t="n"/>
      <c r="D292" s="3" t="n"/>
      <c r="E292" s="3" t="n"/>
      <c r="F292" s="17" t="n"/>
      <c r="G292" s="3" t="n"/>
      <c r="H292" s="3" t="n"/>
      <c r="I292" s="3" t="n"/>
    </row>
    <row r="293">
      <c r="A293" s="15" t="n"/>
      <c r="B293" s="3" t="n"/>
      <c r="C293" s="3" t="n"/>
      <c r="D293" s="3" t="n"/>
      <c r="E293" s="3" t="n"/>
      <c r="F293" s="17" t="n"/>
      <c r="G293" s="3" t="n"/>
      <c r="H293" s="3" t="n"/>
      <c r="I293" s="3" t="n"/>
    </row>
    <row r="294">
      <c r="A294" s="15" t="n"/>
      <c r="B294" s="3" t="n"/>
      <c r="C294" s="3" t="n"/>
      <c r="D294" s="3" t="n"/>
      <c r="E294" s="3" t="n"/>
      <c r="F294" s="17" t="n"/>
      <c r="G294" s="3" t="n"/>
      <c r="H294" s="3" t="n"/>
      <c r="I294" s="3" t="n"/>
    </row>
    <row r="295">
      <c r="A295" s="15" t="n"/>
      <c r="B295" s="3" t="n"/>
      <c r="C295" s="3" t="n"/>
      <c r="D295" s="3" t="n"/>
      <c r="E295" s="3" t="n"/>
      <c r="F295" s="17" t="n"/>
      <c r="G295" s="3" t="n"/>
      <c r="H295" s="3" t="n"/>
      <c r="I295" s="3" t="n"/>
    </row>
    <row r="296">
      <c r="A296" s="15" t="n"/>
      <c r="B296" s="3" t="n"/>
      <c r="C296" s="3" t="n"/>
      <c r="D296" s="3" t="n"/>
      <c r="E296" s="3" t="n"/>
      <c r="F296" s="17" t="n"/>
      <c r="G296" s="3" t="n"/>
      <c r="H296" s="3" t="n"/>
      <c r="I296" s="3" t="n"/>
    </row>
    <row r="297">
      <c r="A297" s="15" t="n"/>
      <c r="B297" s="3" t="n"/>
      <c r="C297" s="3" t="n"/>
      <c r="D297" s="3" t="n"/>
      <c r="E297" s="3" t="n"/>
      <c r="F297" s="17" t="n"/>
      <c r="G297" s="3" t="n"/>
      <c r="H297" s="3" t="n"/>
      <c r="I297" s="3" t="n"/>
    </row>
    <row r="298">
      <c r="A298" s="15" t="n"/>
      <c r="B298" s="3" t="n"/>
      <c r="C298" s="3" t="n"/>
      <c r="D298" s="3" t="n"/>
      <c r="E298" s="3" t="n"/>
      <c r="F298" s="17" t="n"/>
      <c r="G298" s="3" t="n"/>
      <c r="H298" s="3" t="n"/>
      <c r="I298" s="3" t="n"/>
    </row>
    <row r="299">
      <c r="A299" s="15" t="n"/>
      <c r="B299" s="3" t="n"/>
      <c r="C299" s="3" t="n"/>
      <c r="D299" s="3" t="n"/>
      <c r="E299" s="3" t="n"/>
      <c r="F299" s="17" t="n"/>
      <c r="G299" s="3" t="n"/>
      <c r="H299" s="3" t="n"/>
      <c r="I299" s="3" t="n"/>
    </row>
    <row r="300">
      <c r="A300" s="15" t="n"/>
      <c r="B300" s="3" t="n"/>
      <c r="C300" s="3" t="n"/>
      <c r="D300" s="3" t="n"/>
      <c r="E300" s="3" t="n"/>
      <c r="F300" s="17" t="n"/>
      <c r="G300" s="3" t="n"/>
      <c r="H300" s="3" t="n"/>
      <c r="I300" s="3" t="n"/>
    </row>
    <row r="301">
      <c r="A301" s="15" t="n"/>
      <c r="B301" s="3" t="n"/>
      <c r="C301" s="3" t="n"/>
      <c r="D301" s="3" t="n"/>
      <c r="E301" s="3" t="n"/>
      <c r="F301" s="17" t="n"/>
      <c r="G301" s="3" t="n"/>
      <c r="H301" s="3" t="n"/>
      <c r="I301" s="3" t="n"/>
    </row>
    <row r="302">
      <c r="A302" s="15" t="n"/>
      <c r="B302" s="3" t="n"/>
      <c r="C302" s="3" t="n"/>
      <c r="D302" s="3" t="n"/>
      <c r="E302" s="3" t="n"/>
      <c r="F302" s="17" t="n"/>
      <c r="G302" s="3" t="n"/>
      <c r="H302" s="3" t="n"/>
      <c r="I302" s="3" t="n"/>
    </row>
    <row r="303">
      <c r="A303" s="15" t="n"/>
      <c r="B303" s="3" t="n"/>
      <c r="C303" s="3" t="n"/>
      <c r="D303" s="3" t="n"/>
      <c r="E303" s="3" t="n"/>
      <c r="F303" s="17" t="n"/>
      <c r="G303" s="3" t="n"/>
      <c r="H303" s="3" t="n"/>
      <c r="I303" s="3" t="n"/>
    </row>
    <row r="304">
      <c r="A304" s="15" t="n"/>
      <c r="B304" s="3" t="n"/>
      <c r="C304" s="3" t="n"/>
      <c r="D304" s="3" t="n"/>
      <c r="E304" s="3" t="n"/>
      <c r="F304" s="17" t="n"/>
      <c r="G304" s="3" t="n"/>
      <c r="H304" s="3" t="n"/>
      <c r="I304" s="3" t="n"/>
    </row>
    <row r="305">
      <c r="A305" s="15" t="n"/>
      <c r="B305" s="3" t="n"/>
      <c r="C305" s="3" t="n"/>
      <c r="D305" s="3" t="n"/>
      <c r="E305" s="3" t="n"/>
      <c r="F305" s="17" t="n"/>
      <c r="G305" s="3" t="n"/>
      <c r="H305" s="3" t="n"/>
      <c r="I305" s="3" t="n"/>
    </row>
    <row r="306">
      <c r="A306" s="15" t="n"/>
      <c r="B306" s="3" t="n"/>
      <c r="C306" s="3" t="n"/>
      <c r="D306" s="3" t="n"/>
      <c r="E306" s="3" t="n"/>
      <c r="F306" s="17" t="n"/>
      <c r="G306" s="3" t="n"/>
      <c r="H306" s="3" t="n"/>
      <c r="I306" s="3" t="n"/>
    </row>
    <row r="307">
      <c r="A307" s="15" t="n"/>
      <c r="B307" s="3" t="n"/>
      <c r="C307" s="3" t="n"/>
      <c r="D307" s="3" t="n"/>
      <c r="E307" s="3" t="n"/>
      <c r="F307" s="17" t="n"/>
      <c r="G307" s="3" t="n"/>
      <c r="H307" s="3" t="n"/>
      <c r="I307" s="3" t="n"/>
    </row>
    <row r="308">
      <c r="A308" s="15" t="n"/>
      <c r="B308" s="3" t="n"/>
      <c r="C308" s="3" t="n"/>
      <c r="D308" s="3" t="n"/>
      <c r="E308" s="3" t="n"/>
      <c r="F308" s="17" t="n"/>
      <c r="G308" s="3" t="n"/>
      <c r="H308" s="3" t="n"/>
      <c r="I308" s="3" t="n"/>
    </row>
    <row r="309">
      <c r="A309" s="15" t="n"/>
      <c r="B309" s="3" t="n"/>
      <c r="C309" s="3" t="n"/>
      <c r="D309" s="3" t="n"/>
      <c r="E309" s="3" t="n"/>
      <c r="F309" s="17" t="n"/>
      <c r="G309" s="3" t="n"/>
      <c r="H309" s="3" t="n"/>
      <c r="I309" s="3" t="n"/>
    </row>
    <row r="310">
      <c r="A310" s="15" t="n"/>
      <c r="B310" s="3" t="n"/>
      <c r="C310" s="3" t="n"/>
      <c r="D310" s="3" t="n"/>
      <c r="E310" s="3" t="n"/>
      <c r="F310" s="17" t="n"/>
      <c r="G310" s="3" t="n"/>
      <c r="H310" s="3" t="n"/>
      <c r="I310" s="3" t="n"/>
    </row>
    <row r="311">
      <c r="A311" s="15" t="n"/>
      <c r="B311" s="3" t="n"/>
      <c r="C311" s="3" t="n"/>
      <c r="D311" s="3" t="n"/>
      <c r="E311" s="3" t="n"/>
      <c r="F311" s="17" t="n"/>
      <c r="G311" s="3" t="n"/>
      <c r="H311" s="3" t="n"/>
      <c r="I311" s="3" t="n"/>
    </row>
    <row r="312">
      <c r="A312" s="15" t="n"/>
      <c r="B312" s="3" t="n"/>
      <c r="C312" s="3" t="n"/>
      <c r="D312" s="3" t="n"/>
      <c r="E312" s="3" t="n"/>
      <c r="F312" s="17" t="n"/>
      <c r="G312" s="3" t="n"/>
      <c r="H312" s="3" t="n"/>
      <c r="I312" s="3" t="n"/>
    </row>
    <row r="313">
      <c r="A313" s="15" t="n"/>
      <c r="B313" s="3" t="n"/>
      <c r="C313" s="3" t="n"/>
      <c r="D313" s="3" t="n"/>
      <c r="E313" s="3" t="n"/>
      <c r="F313" s="17" t="n"/>
      <c r="G313" s="3" t="n"/>
      <c r="H313" s="3" t="n"/>
      <c r="I313" s="3" t="n"/>
    </row>
    <row r="314">
      <c r="A314" s="15" t="n"/>
      <c r="B314" s="3" t="n"/>
      <c r="C314" s="3" t="n"/>
      <c r="D314" s="3" t="n"/>
      <c r="E314" s="3" t="n"/>
      <c r="F314" s="17" t="n"/>
      <c r="G314" s="3" t="n"/>
      <c r="H314" s="3" t="n"/>
      <c r="I314" s="3" t="n"/>
    </row>
    <row r="315">
      <c r="A315" s="15" t="n"/>
      <c r="B315" s="3" t="n"/>
      <c r="C315" s="3" t="n"/>
      <c r="D315" s="3" t="n"/>
      <c r="E315" s="3" t="n"/>
      <c r="F315" s="17" t="n"/>
      <c r="G315" s="3" t="n"/>
      <c r="H315" s="3" t="n"/>
      <c r="I315" s="3" t="n"/>
    </row>
    <row r="316">
      <c r="A316" s="15" t="n"/>
      <c r="B316" s="3" t="n"/>
      <c r="C316" s="3" t="n"/>
      <c r="D316" s="3" t="n"/>
      <c r="E316" s="3" t="n"/>
      <c r="F316" s="17" t="n"/>
      <c r="G316" s="3" t="n"/>
      <c r="H316" s="3" t="n"/>
      <c r="I316" s="3" t="n"/>
    </row>
    <row r="317">
      <c r="A317" s="15" t="n"/>
      <c r="B317" s="3" t="n"/>
      <c r="C317" s="3" t="n"/>
      <c r="D317" s="3" t="n"/>
      <c r="E317" s="3" t="n"/>
      <c r="F317" s="17" t="n"/>
      <c r="G317" s="3" t="n"/>
      <c r="H317" s="3" t="n"/>
      <c r="I317" s="3" t="n"/>
    </row>
    <row r="318">
      <c r="A318" s="15" t="n"/>
      <c r="B318" s="3" t="n"/>
      <c r="C318" s="3" t="n"/>
      <c r="D318" s="3" t="n"/>
      <c r="E318" s="3" t="n"/>
      <c r="F318" s="17" t="n"/>
      <c r="G318" s="3" t="n"/>
      <c r="H318" s="3" t="n"/>
      <c r="I318" s="3" t="n"/>
    </row>
    <row r="319">
      <c r="A319" s="15" t="n"/>
      <c r="B319" s="3" t="n"/>
      <c r="C319" s="3" t="n"/>
      <c r="D319" s="3" t="n"/>
      <c r="E319" s="3" t="n"/>
      <c r="F319" s="17" t="n"/>
      <c r="G319" s="3" t="n"/>
      <c r="H319" s="3" t="n"/>
      <c r="I319" s="3" t="n"/>
    </row>
    <row r="320">
      <c r="A320" s="15" t="n"/>
      <c r="B320" s="3" t="n"/>
      <c r="C320" s="3" t="n"/>
      <c r="D320" s="3" t="n"/>
      <c r="E320" s="3" t="n"/>
      <c r="F320" s="17" t="n"/>
      <c r="G320" s="3" t="n"/>
      <c r="H320" s="3" t="n"/>
      <c r="I320" s="3" t="n"/>
    </row>
    <row r="321">
      <c r="A321" s="15" t="n"/>
      <c r="B321" s="3" t="n"/>
      <c r="C321" s="3" t="n"/>
      <c r="D321" s="3" t="n"/>
      <c r="E321" s="3" t="n"/>
      <c r="F321" s="17" t="n"/>
      <c r="G321" s="3" t="n"/>
      <c r="H321" s="3" t="n"/>
      <c r="I321" s="3" t="n"/>
    </row>
    <row r="322">
      <c r="A322" s="15" t="n"/>
      <c r="B322" s="3" t="n"/>
      <c r="C322" s="3" t="n"/>
      <c r="D322" s="3" t="n"/>
      <c r="E322" s="3" t="n"/>
      <c r="F322" s="17" t="n"/>
      <c r="G322" s="3" t="n"/>
      <c r="H322" s="3" t="n"/>
      <c r="I322" s="3" t="n"/>
    </row>
    <row r="323">
      <c r="A323" s="15" t="n"/>
      <c r="B323" s="3" t="n"/>
      <c r="C323" s="3" t="n"/>
      <c r="D323" s="3" t="n"/>
      <c r="E323" s="3" t="n"/>
      <c r="F323" s="17" t="n"/>
      <c r="G323" s="3" t="n"/>
      <c r="H323" s="3" t="n"/>
      <c r="I323" s="3" t="n"/>
    </row>
    <row r="324">
      <c r="A324" s="15" t="n"/>
      <c r="B324" s="3" t="n"/>
      <c r="C324" s="3" t="n"/>
      <c r="D324" s="3" t="n"/>
      <c r="E324" s="3" t="n"/>
      <c r="F324" s="17" t="n"/>
      <c r="G324" s="3" t="n"/>
      <c r="H324" s="3" t="n"/>
      <c r="I324" s="3" t="n"/>
    </row>
    <row r="325">
      <c r="A325" s="15" t="n"/>
      <c r="B325" s="3" t="n"/>
      <c r="C325" s="3" t="n"/>
      <c r="D325" s="3" t="n"/>
      <c r="E325" s="3" t="n"/>
      <c r="F325" s="17" t="n"/>
      <c r="G325" s="3" t="n"/>
      <c r="H325" s="3" t="n"/>
      <c r="I325" s="3" t="n"/>
    </row>
    <row r="326">
      <c r="A326" s="15" t="n"/>
      <c r="B326" s="3" t="n"/>
      <c r="C326" s="3" t="n"/>
      <c r="D326" s="3" t="n"/>
      <c r="E326" s="3" t="n"/>
      <c r="F326" s="17" t="n"/>
      <c r="G326" s="3" t="n"/>
      <c r="H326" s="3" t="n"/>
      <c r="I326" s="3" t="n"/>
    </row>
    <row r="327">
      <c r="A327" s="15" t="n"/>
      <c r="B327" s="3" t="n"/>
      <c r="C327" s="3" t="n"/>
      <c r="D327" s="3" t="n"/>
      <c r="E327" s="3" t="n"/>
      <c r="F327" s="17" t="n"/>
      <c r="G327" s="3" t="n"/>
      <c r="H327" s="3" t="n"/>
      <c r="I327" s="3" t="n"/>
    </row>
    <row r="328">
      <c r="A328" s="15" t="n"/>
      <c r="B328" s="3" t="n"/>
      <c r="C328" s="3" t="n"/>
      <c r="D328" s="3" t="n"/>
      <c r="E328" s="3" t="n"/>
      <c r="F328" s="17" t="n"/>
      <c r="G328" s="3" t="n"/>
      <c r="H328" s="3" t="n"/>
      <c r="I328" s="3" t="n"/>
    </row>
    <row r="329">
      <c r="A329" s="15" t="n"/>
      <c r="B329" s="3" t="n"/>
      <c r="C329" s="3" t="n"/>
      <c r="D329" s="3" t="n"/>
      <c r="E329" s="3" t="n"/>
      <c r="F329" s="17" t="n"/>
      <c r="G329" s="3" t="n"/>
      <c r="H329" s="3" t="n"/>
      <c r="I329" s="3" t="n"/>
    </row>
    <row r="330">
      <c r="A330" s="15" t="n"/>
      <c r="B330" s="3" t="n"/>
      <c r="C330" s="3" t="n"/>
      <c r="D330" s="3" t="n"/>
      <c r="E330" s="3" t="n"/>
      <c r="F330" s="17" t="n"/>
      <c r="G330" s="3" t="n"/>
      <c r="H330" s="3" t="n"/>
      <c r="I330" s="3" t="n"/>
    </row>
    <row r="331">
      <c r="A331" s="15" t="n"/>
      <c r="B331" s="3" t="n"/>
      <c r="C331" s="3" t="n"/>
      <c r="D331" s="3" t="n"/>
      <c r="E331" s="3" t="n"/>
      <c r="F331" s="17" t="n"/>
      <c r="G331" s="3" t="n"/>
      <c r="H331" s="3" t="n"/>
      <c r="I331" s="3" t="n"/>
    </row>
    <row r="332">
      <c r="A332" s="15" t="n"/>
      <c r="B332" s="3" t="n"/>
      <c r="C332" s="3" t="n"/>
      <c r="D332" s="3" t="n"/>
      <c r="E332" s="3" t="n"/>
      <c r="F332" s="17" t="n"/>
      <c r="G332" s="3" t="n"/>
      <c r="H332" s="3" t="n"/>
      <c r="I332" s="3" t="n"/>
    </row>
    <row r="333">
      <c r="A333" s="15" t="n"/>
      <c r="B333" s="3" t="n"/>
      <c r="C333" s="3" t="n"/>
      <c r="D333" s="3" t="n"/>
      <c r="E333" s="3" t="n"/>
      <c r="F333" s="17" t="n"/>
      <c r="G333" s="3" t="n"/>
      <c r="H333" s="3" t="n"/>
      <c r="I333" s="3" t="n"/>
    </row>
    <row r="334">
      <c r="A334" s="15" t="n"/>
      <c r="B334" s="3" t="n"/>
      <c r="C334" s="3" t="n"/>
      <c r="D334" s="3" t="n"/>
      <c r="E334" s="3" t="n"/>
      <c r="F334" s="17" t="n"/>
      <c r="G334" s="3" t="n"/>
      <c r="H334" s="3" t="n"/>
      <c r="I334" s="3" t="n"/>
    </row>
    <row r="335">
      <c r="A335" s="15" t="n"/>
      <c r="B335" s="3" t="n"/>
      <c r="C335" s="3" t="n"/>
      <c r="D335" s="3" t="n"/>
      <c r="E335" s="3" t="n"/>
      <c r="F335" s="17" t="n"/>
      <c r="G335" s="3" t="n"/>
      <c r="H335" s="3" t="n"/>
      <c r="I335" s="3" t="n"/>
    </row>
    <row r="336">
      <c r="A336" s="15" t="n"/>
      <c r="B336" s="3" t="n"/>
      <c r="C336" s="3" t="n"/>
      <c r="D336" s="3" t="n"/>
      <c r="E336" s="3" t="n"/>
      <c r="F336" s="17" t="n"/>
      <c r="G336" s="3" t="n"/>
      <c r="H336" s="3" t="n"/>
      <c r="I336" s="3" t="n"/>
    </row>
    <row r="337">
      <c r="A337" s="15" t="n"/>
      <c r="B337" s="3" t="n"/>
      <c r="C337" s="3" t="n"/>
      <c r="D337" s="3" t="n"/>
      <c r="E337" s="3" t="n"/>
      <c r="F337" s="17" t="n"/>
      <c r="G337" s="3" t="n"/>
      <c r="H337" s="3" t="n"/>
      <c r="I337" s="3" t="n"/>
    </row>
    <row r="338">
      <c r="A338" s="15" t="n"/>
      <c r="B338" s="3" t="n"/>
      <c r="C338" s="3" t="n"/>
      <c r="D338" s="3" t="n"/>
      <c r="E338" s="3" t="n"/>
      <c r="F338" s="17" t="n"/>
      <c r="G338" s="3" t="n"/>
      <c r="H338" s="3" t="n"/>
      <c r="I338" s="3" t="n"/>
    </row>
    <row r="339">
      <c r="A339" s="15" t="n"/>
      <c r="B339" s="3" t="n"/>
      <c r="C339" s="3" t="n"/>
      <c r="D339" s="3" t="n"/>
      <c r="E339" s="3" t="n"/>
      <c r="F339" s="17" t="n"/>
      <c r="G339" s="3" t="n"/>
      <c r="H339" s="3" t="n"/>
      <c r="I339" s="3" t="n"/>
    </row>
    <row r="340">
      <c r="A340" s="15" t="n"/>
      <c r="B340" s="3" t="n"/>
      <c r="C340" s="3" t="n"/>
      <c r="D340" s="3" t="n"/>
      <c r="E340" s="3" t="n"/>
      <c r="F340" s="17" t="n"/>
      <c r="G340" s="3" t="n"/>
      <c r="H340" s="3" t="n"/>
      <c r="I340" s="3" t="n"/>
    </row>
    <row r="341">
      <c r="A341" s="15" t="n"/>
      <c r="B341" s="3" t="n"/>
      <c r="C341" s="3" t="n"/>
      <c r="D341" s="3" t="n"/>
      <c r="E341" s="3" t="n"/>
      <c r="F341" s="17" t="n"/>
      <c r="G341" s="3" t="n"/>
      <c r="H341" s="3" t="n"/>
      <c r="I341" s="3" t="n"/>
    </row>
    <row r="342">
      <c r="A342" s="15" t="n"/>
      <c r="B342" s="3" t="n"/>
      <c r="C342" s="3" t="n"/>
      <c r="D342" s="3" t="n"/>
      <c r="E342" s="3" t="n"/>
      <c r="F342" s="17" t="n"/>
      <c r="G342" s="3" t="n"/>
      <c r="H342" s="3" t="n"/>
      <c r="I342" s="3" t="n"/>
    </row>
    <row r="343">
      <c r="A343" s="15" t="n"/>
      <c r="B343" s="3" t="n"/>
      <c r="C343" s="3" t="n"/>
      <c r="D343" s="3" t="n"/>
      <c r="E343" s="3" t="n"/>
      <c r="F343" s="17" t="n"/>
      <c r="G343" s="3" t="n"/>
      <c r="H343" s="3" t="n"/>
      <c r="I343" s="3" t="n"/>
    </row>
    <row r="344">
      <c r="A344" s="15" t="n"/>
      <c r="B344" s="3" t="n"/>
      <c r="C344" s="3" t="n"/>
      <c r="D344" s="3" t="n"/>
      <c r="E344" s="3" t="n"/>
      <c r="F344" s="17" t="n"/>
      <c r="G344" s="3" t="n"/>
      <c r="H344" s="3" t="n"/>
      <c r="I344" s="3" t="n"/>
    </row>
    <row r="345">
      <c r="A345" s="15" t="n"/>
      <c r="B345" s="3" t="n"/>
      <c r="C345" s="3" t="n"/>
      <c r="D345" s="3" t="n"/>
      <c r="E345" s="3" t="n"/>
      <c r="F345" s="17" t="n"/>
      <c r="G345" s="3" t="n"/>
      <c r="H345" s="3" t="n"/>
      <c r="I345" s="3" t="n"/>
    </row>
    <row r="346">
      <c r="A346" s="15" t="n"/>
      <c r="B346" s="3" t="n"/>
      <c r="C346" s="3" t="n"/>
      <c r="D346" s="3" t="n"/>
      <c r="E346" s="3" t="n"/>
      <c r="F346" s="17" t="n"/>
      <c r="G346" s="3" t="n"/>
      <c r="H346" s="3" t="n"/>
      <c r="I346" s="3" t="n"/>
    </row>
    <row r="347">
      <c r="A347" s="15" t="n"/>
      <c r="B347" s="3" t="n"/>
      <c r="C347" s="3" t="n"/>
      <c r="D347" s="3" t="n"/>
      <c r="E347" s="3" t="n"/>
      <c r="F347" s="17" t="n"/>
      <c r="G347" s="3" t="n"/>
      <c r="H347" s="3" t="n"/>
      <c r="I347" s="3" t="n"/>
    </row>
    <row r="348">
      <c r="A348" s="15" t="n"/>
      <c r="B348" s="3" t="n"/>
      <c r="C348" s="3" t="n"/>
      <c r="D348" s="3" t="n"/>
      <c r="E348" s="3" t="n"/>
      <c r="F348" s="17" t="n"/>
      <c r="G348" s="3" t="n"/>
      <c r="H348" s="3" t="n"/>
      <c r="I348" s="3" t="n"/>
    </row>
    <row r="349">
      <c r="A349" s="15" t="n"/>
      <c r="B349" s="3" t="n"/>
      <c r="C349" s="3" t="n"/>
      <c r="D349" s="3" t="n"/>
      <c r="E349" s="3" t="n"/>
      <c r="F349" s="17" t="n"/>
      <c r="G349" s="3" t="n"/>
      <c r="H349" s="3" t="n"/>
      <c r="I349" s="3" t="n"/>
    </row>
    <row r="350">
      <c r="A350" s="15" t="n"/>
      <c r="B350" s="3" t="n"/>
      <c r="C350" s="3" t="n"/>
      <c r="D350" s="3" t="n"/>
      <c r="E350" s="3" t="n"/>
      <c r="F350" s="17" t="n"/>
      <c r="G350" s="3" t="n"/>
      <c r="H350" s="3" t="n"/>
      <c r="I350" s="3" t="n"/>
    </row>
    <row r="351">
      <c r="A351" s="15" t="n"/>
      <c r="B351" s="3" t="n"/>
      <c r="C351" s="3" t="n"/>
      <c r="D351" s="3" t="n"/>
      <c r="E351" s="3" t="n"/>
      <c r="F351" s="17" t="n"/>
      <c r="G351" s="3" t="n"/>
      <c r="H351" s="3" t="n"/>
      <c r="I351" s="3" t="n"/>
    </row>
    <row r="352">
      <c r="A352" s="15" t="n"/>
      <c r="B352" s="3" t="n"/>
      <c r="C352" s="3" t="n"/>
      <c r="D352" s="3" t="n"/>
      <c r="E352" s="3" t="n"/>
      <c r="F352" s="17" t="n"/>
      <c r="G352" s="3" t="n"/>
      <c r="H352" s="3" t="n"/>
      <c r="I352" s="3" t="n"/>
    </row>
    <row r="353">
      <c r="A353" s="15" t="n"/>
      <c r="B353" s="3" t="n"/>
      <c r="C353" s="3" t="n"/>
      <c r="D353" s="3" t="n"/>
      <c r="E353" s="3" t="n"/>
      <c r="F353" s="17" t="n"/>
      <c r="G353" s="3" t="n"/>
      <c r="H353" s="3" t="n"/>
      <c r="I353" s="3" t="n"/>
    </row>
    <row r="354">
      <c r="A354" s="15" t="n"/>
      <c r="B354" s="3" t="n"/>
      <c r="C354" s="3" t="n"/>
      <c r="D354" s="3" t="n"/>
      <c r="E354" s="3" t="n"/>
      <c r="F354" s="17" t="n"/>
      <c r="G354" s="3" t="n"/>
      <c r="H354" s="3" t="n"/>
      <c r="I354" s="3" t="n"/>
    </row>
    <row r="355">
      <c r="A355" s="15" t="n"/>
      <c r="B355" s="3" t="n"/>
      <c r="C355" s="3" t="n"/>
      <c r="D355" s="3" t="n"/>
      <c r="E355" s="3" t="n"/>
      <c r="F355" s="17" t="n"/>
      <c r="G355" s="3" t="n"/>
      <c r="H355" s="3" t="n"/>
      <c r="I355" s="3" t="n"/>
    </row>
    <row r="356">
      <c r="A356" s="15" t="n"/>
      <c r="B356" s="3" t="n"/>
      <c r="C356" s="3" t="n"/>
      <c r="D356" s="3" t="n"/>
      <c r="E356" s="3" t="n"/>
      <c r="F356" s="17" t="n"/>
      <c r="G356" s="3" t="n"/>
      <c r="H356" s="3" t="n"/>
      <c r="I356" s="3" t="n"/>
    </row>
    <row r="357">
      <c r="A357" s="15" t="n"/>
      <c r="B357" s="3" t="n"/>
      <c r="C357" s="3" t="n"/>
      <c r="D357" s="3" t="n"/>
      <c r="E357" s="3" t="n"/>
      <c r="F357" s="17" t="n"/>
      <c r="G357" s="3" t="n"/>
      <c r="H357" s="3" t="n"/>
      <c r="I357" s="3" t="n"/>
    </row>
    <row r="358">
      <c r="A358" s="15" t="n"/>
      <c r="B358" s="3" t="n"/>
      <c r="C358" s="3" t="n"/>
      <c r="D358" s="3" t="n"/>
      <c r="E358" s="3" t="n"/>
      <c r="F358" s="17" t="n"/>
      <c r="G358" s="3" t="n"/>
      <c r="H358" s="3" t="n"/>
      <c r="I358" s="3" t="n"/>
    </row>
    <row r="359">
      <c r="A359" s="15" t="n"/>
      <c r="B359" s="3" t="n"/>
      <c r="C359" s="3" t="n"/>
      <c r="D359" s="3" t="n"/>
      <c r="E359" s="3" t="n"/>
      <c r="F359" s="17" t="n"/>
      <c r="G359" s="3" t="n"/>
      <c r="H359" s="3" t="n"/>
      <c r="I359" s="3" t="n"/>
    </row>
    <row r="360">
      <c r="A360" s="15" t="n"/>
      <c r="B360" s="3" t="n"/>
      <c r="C360" s="3" t="n"/>
      <c r="D360" s="3" t="n"/>
      <c r="E360" s="3" t="n"/>
      <c r="F360" s="17" t="n"/>
      <c r="G360" s="3" t="n"/>
      <c r="H360" s="3" t="n"/>
      <c r="I360" s="3" t="n"/>
    </row>
    <row r="361">
      <c r="A361" s="15" t="n"/>
      <c r="B361" s="3" t="n"/>
      <c r="C361" s="3" t="n"/>
      <c r="D361" s="3" t="n"/>
      <c r="E361" s="3" t="n"/>
      <c r="F361" s="17" t="n"/>
      <c r="G361" s="3" t="n"/>
      <c r="H361" s="3" t="n"/>
      <c r="I361" s="3" t="n"/>
    </row>
    <row r="362">
      <c r="A362" s="15" t="n"/>
      <c r="B362" s="3" t="n"/>
      <c r="C362" s="3" t="n"/>
      <c r="D362" s="3" t="n"/>
      <c r="E362" s="3" t="n"/>
      <c r="F362" s="17" t="n"/>
      <c r="G362" s="3" t="n"/>
      <c r="H362" s="3" t="n"/>
      <c r="I362" s="3" t="n"/>
    </row>
    <row r="363">
      <c r="A363" s="15" t="n"/>
      <c r="B363" s="3" t="n"/>
      <c r="C363" s="3" t="n"/>
      <c r="D363" s="3" t="n"/>
      <c r="E363" s="3" t="n"/>
      <c r="F363" s="17" t="n"/>
      <c r="G363" s="3" t="n"/>
      <c r="H363" s="3" t="n"/>
      <c r="I363" s="3" t="n"/>
    </row>
    <row r="364">
      <c r="A364" s="15" t="n"/>
      <c r="B364" s="3" t="n"/>
      <c r="C364" s="3" t="n"/>
      <c r="D364" s="3" t="n"/>
      <c r="E364" s="3" t="n"/>
      <c r="F364" s="17" t="n"/>
      <c r="G364" s="3" t="n"/>
      <c r="H364" s="3" t="n"/>
      <c r="I364" s="3" t="n"/>
    </row>
    <row r="365">
      <c r="A365" s="15" t="n"/>
      <c r="B365" s="3" t="n"/>
      <c r="C365" s="3" t="n"/>
      <c r="D365" s="3" t="n"/>
      <c r="E365" s="3" t="n"/>
      <c r="F365" s="17" t="n"/>
      <c r="G365" s="3" t="n"/>
      <c r="H365" s="3" t="n"/>
      <c r="I365" s="3" t="n"/>
    </row>
    <row r="366">
      <c r="A366" s="15" t="n"/>
      <c r="B366" s="3" t="n"/>
      <c r="C366" s="3" t="n"/>
      <c r="D366" s="3" t="n"/>
      <c r="E366" s="3" t="n"/>
      <c r="F366" s="17" t="n"/>
      <c r="G366" s="3" t="n"/>
      <c r="H366" s="3" t="n"/>
      <c r="I366" s="3" t="n"/>
    </row>
    <row r="367">
      <c r="A367" s="15" t="n"/>
      <c r="B367" s="3" t="n"/>
      <c r="C367" s="3" t="n"/>
      <c r="D367" s="3" t="n"/>
      <c r="E367" s="3" t="n"/>
      <c r="F367" s="17" t="n"/>
      <c r="G367" s="3" t="n"/>
      <c r="H367" s="3" t="n"/>
      <c r="I367" s="3" t="n"/>
    </row>
    <row r="368">
      <c r="A368" s="15" t="n"/>
      <c r="B368" s="3" t="n"/>
      <c r="C368" s="3" t="n"/>
      <c r="D368" s="3" t="n"/>
      <c r="E368" s="3" t="n"/>
      <c r="F368" s="17" t="n"/>
      <c r="G368" s="3" t="n"/>
      <c r="H368" s="3" t="n"/>
      <c r="I368" s="3" t="n"/>
    </row>
    <row r="369">
      <c r="A369" s="15" t="n"/>
      <c r="B369" s="3" t="n"/>
      <c r="C369" s="3" t="n"/>
      <c r="D369" s="3" t="n"/>
      <c r="E369" s="3" t="n"/>
      <c r="F369" s="17" t="n"/>
      <c r="G369" s="3" t="n"/>
      <c r="H369" s="3" t="n"/>
      <c r="I369" s="3" t="n"/>
    </row>
    <row r="370">
      <c r="A370" s="15" t="n"/>
      <c r="B370" s="3" t="n"/>
      <c r="C370" s="3" t="n"/>
      <c r="D370" s="3" t="n"/>
      <c r="E370" s="3" t="n"/>
      <c r="F370" s="17" t="n"/>
      <c r="G370" s="3" t="n"/>
      <c r="H370" s="3" t="n"/>
      <c r="I370" s="3" t="n"/>
    </row>
    <row r="371">
      <c r="A371" s="15" t="n"/>
      <c r="B371" s="3" t="n"/>
      <c r="C371" s="3" t="n"/>
      <c r="D371" s="3" t="n"/>
      <c r="E371" s="3" t="n"/>
      <c r="F371" s="17" t="n"/>
      <c r="G371" s="3" t="n"/>
      <c r="H371" s="3" t="n"/>
      <c r="I371" s="3" t="n"/>
    </row>
    <row r="372">
      <c r="A372" s="15" t="n"/>
      <c r="B372" s="3" t="n"/>
      <c r="C372" s="3" t="n"/>
      <c r="D372" s="3" t="n"/>
      <c r="E372" s="3" t="n"/>
      <c r="F372" s="17" t="n"/>
      <c r="G372" s="3" t="n"/>
      <c r="H372" s="3" t="n"/>
      <c r="I372" s="3" t="n"/>
    </row>
    <row r="373">
      <c r="A373" s="15" t="n"/>
      <c r="B373" s="3" t="n"/>
      <c r="C373" s="3" t="n"/>
      <c r="D373" s="3" t="n"/>
      <c r="E373" s="3" t="n"/>
      <c r="F373" s="17" t="n"/>
      <c r="G373" s="3" t="n"/>
      <c r="H373" s="3" t="n"/>
      <c r="I373" s="3" t="n"/>
    </row>
    <row r="374">
      <c r="A374" s="15" t="n"/>
      <c r="B374" s="3" t="n"/>
      <c r="C374" s="3" t="n"/>
      <c r="D374" s="3" t="n"/>
      <c r="E374" s="3" t="n"/>
      <c r="F374" s="17" t="n"/>
      <c r="G374" s="3" t="n"/>
      <c r="H374" s="3" t="n"/>
      <c r="I374" s="3" t="n"/>
    </row>
    <row r="375">
      <c r="A375" s="15" t="n"/>
      <c r="B375" s="3" t="n"/>
      <c r="C375" s="3" t="n"/>
      <c r="D375" s="3" t="n"/>
      <c r="E375" s="3" t="n"/>
      <c r="F375" s="17" t="n"/>
      <c r="G375" s="3" t="n"/>
      <c r="H375" s="3" t="n"/>
      <c r="I375" s="3" t="n"/>
    </row>
    <row r="376">
      <c r="A376" s="15" t="n"/>
      <c r="B376" s="3" t="n"/>
      <c r="C376" s="3" t="n"/>
      <c r="D376" s="3" t="n"/>
      <c r="E376" s="3" t="n"/>
      <c r="F376" s="17" t="n"/>
      <c r="G376" s="3" t="n"/>
      <c r="H376" s="3" t="n"/>
      <c r="I376" s="3" t="n"/>
    </row>
    <row r="377">
      <c r="A377" s="15" t="n"/>
      <c r="B377" s="3" t="n"/>
      <c r="C377" s="3" t="n"/>
      <c r="D377" s="3" t="n"/>
      <c r="E377" s="3" t="n"/>
      <c r="F377" s="17" t="n"/>
      <c r="G377" s="3" t="n"/>
      <c r="H377" s="3" t="n"/>
      <c r="I377" s="3" t="n"/>
    </row>
    <row r="378">
      <c r="A378" s="15" t="n"/>
      <c r="B378" s="3" t="n"/>
      <c r="C378" s="3" t="n"/>
      <c r="D378" s="3" t="n"/>
      <c r="E378" s="3" t="n"/>
      <c r="F378" s="17" t="n"/>
      <c r="G378" s="3" t="n"/>
      <c r="H378" s="3" t="n"/>
      <c r="I378" s="3" t="n"/>
    </row>
    <row r="379">
      <c r="A379" s="15" t="n"/>
      <c r="B379" s="3" t="n"/>
      <c r="C379" s="3" t="n"/>
      <c r="D379" s="3" t="n"/>
      <c r="E379" s="3" t="n"/>
      <c r="F379" s="17" t="n"/>
      <c r="G379" s="3" t="n"/>
      <c r="H379" s="3" t="n"/>
      <c r="I379" s="3" t="n"/>
    </row>
    <row r="380">
      <c r="A380" s="15" t="n"/>
      <c r="B380" s="3" t="n"/>
      <c r="C380" s="3" t="n"/>
      <c r="D380" s="3" t="n"/>
      <c r="E380" s="3" t="n"/>
      <c r="F380" s="17" t="n"/>
      <c r="G380" s="3" t="n"/>
      <c r="H380" s="3" t="n"/>
      <c r="I380" s="3" t="n"/>
    </row>
    <row r="381">
      <c r="A381" s="15" t="n"/>
      <c r="B381" s="3" t="n"/>
      <c r="C381" s="3" t="n"/>
      <c r="D381" s="3" t="n"/>
      <c r="E381" s="3" t="n"/>
      <c r="F381" s="17" t="n"/>
      <c r="G381" s="3" t="n"/>
      <c r="H381" s="3" t="n"/>
      <c r="I381" s="3" t="n"/>
    </row>
    <row r="382">
      <c r="A382" s="15" t="n"/>
      <c r="B382" s="3" t="n"/>
      <c r="C382" s="3" t="n"/>
      <c r="D382" s="3" t="n"/>
      <c r="E382" s="3" t="n"/>
      <c r="F382" s="17" t="n"/>
      <c r="G382" s="3" t="n"/>
      <c r="H382" s="3" t="n"/>
      <c r="I382" s="3" t="n"/>
    </row>
    <row r="383">
      <c r="A383" s="15" t="n"/>
      <c r="B383" s="3" t="n"/>
      <c r="C383" s="3" t="n"/>
      <c r="D383" s="3" t="n"/>
      <c r="E383" s="3" t="n"/>
      <c r="F383" s="17" t="n"/>
      <c r="G383" s="3" t="n"/>
      <c r="H383" s="3" t="n"/>
      <c r="I383" s="3" t="n"/>
    </row>
    <row r="384">
      <c r="A384" s="15" t="n"/>
      <c r="B384" s="3" t="n"/>
      <c r="C384" s="3" t="n"/>
      <c r="D384" s="3" t="n"/>
      <c r="E384" s="3" t="n"/>
      <c r="F384" s="17" t="n"/>
      <c r="G384" s="3" t="n"/>
      <c r="H384" s="3" t="n"/>
      <c r="I384" s="3" t="n"/>
    </row>
    <row r="385">
      <c r="A385" s="15" t="n"/>
      <c r="B385" s="3" t="n"/>
      <c r="C385" s="3" t="n"/>
      <c r="D385" s="3" t="n"/>
      <c r="E385" s="3" t="n"/>
      <c r="F385" s="17" t="n"/>
      <c r="G385" s="3" t="n"/>
      <c r="H385" s="3" t="n"/>
      <c r="I385" s="3" t="n"/>
    </row>
    <row r="386">
      <c r="A386" s="15" t="n"/>
      <c r="B386" s="3" t="n"/>
      <c r="C386" s="3" t="n"/>
      <c r="D386" s="3" t="n"/>
      <c r="E386" s="3" t="n"/>
      <c r="F386" s="17" t="n"/>
      <c r="G386" s="3" t="n"/>
      <c r="H386" s="3" t="n"/>
      <c r="I386" s="3" t="n"/>
    </row>
    <row r="387">
      <c r="A387" s="15" t="n"/>
      <c r="B387" s="3" t="n"/>
      <c r="C387" s="3" t="n"/>
      <c r="D387" s="3" t="n"/>
      <c r="E387" s="3" t="n"/>
      <c r="F387" s="17" t="n"/>
      <c r="G387" s="3" t="n"/>
      <c r="H387" s="3" t="n"/>
      <c r="I387" s="3" t="n"/>
    </row>
    <row r="388">
      <c r="A388" s="15" t="n"/>
      <c r="B388" s="3" t="n"/>
      <c r="C388" s="3" t="n"/>
      <c r="D388" s="3" t="n"/>
      <c r="E388" s="3" t="n"/>
      <c r="F388" s="17" t="n"/>
      <c r="G388" s="3" t="n"/>
      <c r="H388" s="3" t="n"/>
      <c r="I388" s="3" t="n"/>
    </row>
    <row r="389">
      <c r="A389" s="15" t="n"/>
      <c r="B389" s="3" t="n"/>
      <c r="C389" s="3" t="n"/>
      <c r="D389" s="3" t="n"/>
      <c r="E389" s="3" t="n"/>
      <c r="F389" s="17" t="n"/>
      <c r="G389" s="3" t="n"/>
      <c r="H389" s="3" t="n"/>
      <c r="I389" s="3" t="n"/>
    </row>
    <row r="390">
      <c r="A390" s="15" t="n"/>
      <c r="B390" s="3" t="n"/>
      <c r="C390" s="3" t="n"/>
      <c r="D390" s="3" t="n"/>
      <c r="E390" s="3" t="n"/>
      <c r="F390" s="17" t="n"/>
      <c r="G390" s="3" t="n"/>
      <c r="H390" s="3" t="n"/>
      <c r="I390" s="3" t="n"/>
    </row>
    <row r="391">
      <c r="A391" s="15" t="n"/>
      <c r="B391" s="3" t="n"/>
      <c r="C391" s="3" t="n"/>
      <c r="D391" s="3" t="n"/>
      <c r="E391" s="3" t="n"/>
      <c r="F391" s="17" t="n"/>
      <c r="G391" s="3" t="n"/>
      <c r="H391" s="3" t="n"/>
      <c r="I391" s="3" t="n"/>
    </row>
    <row r="392">
      <c r="A392" s="15" t="n"/>
      <c r="B392" s="3" t="n"/>
      <c r="C392" s="3" t="n"/>
      <c r="D392" s="3" t="n"/>
      <c r="E392" s="3" t="n"/>
      <c r="F392" s="17" t="n"/>
      <c r="G392" s="3" t="n"/>
      <c r="H392" s="3" t="n"/>
      <c r="I392" s="3" t="n"/>
    </row>
    <row r="393">
      <c r="A393" s="15" t="n"/>
      <c r="B393" s="3" t="n"/>
      <c r="C393" s="3" t="n"/>
      <c r="D393" s="3" t="n"/>
      <c r="E393" s="3" t="n"/>
      <c r="F393" s="17" t="n"/>
      <c r="G393" s="3" t="n"/>
      <c r="H393" s="3" t="n"/>
      <c r="I393" s="3" t="n"/>
    </row>
    <row r="394">
      <c r="A394" s="15" t="n"/>
      <c r="B394" s="3" t="n"/>
      <c r="C394" s="3" t="n"/>
      <c r="D394" s="3" t="n"/>
      <c r="E394" s="3" t="n"/>
      <c r="F394" s="17" t="n"/>
      <c r="G394" s="3" t="n"/>
      <c r="H394" s="3" t="n"/>
      <c r="I394" s="3" t="n"/>
    </row>
    <row r="395">
      <c r="A395" s="15" t="n"/>
      <c r="B395" s="3" t="n"/>
      <c r="C395" s="3" t="n"/>
      <c r="D395" s="3" t="n"/>
      <c r="E395" s="3" t="n"/>
      <c r="F395" s="17" t="n"/>
      <c r="G395" s="3" t="n"/>
      <c r="H395" s="3" t="n"/>
      <c r="I395" s="3" t="n"/>
    </row>
    <row r="396">
      <c r="A396" s="15" t="n"/>
      <c r="B396" s="3" t="n"/>
      <c r="C396" s="3" t="n"/>
      <c r="D396" s="3" t="n"/>
      <c r="E396" s="3" t="n"/>
      <c r="F396" s="17" t="n"/>
      <c r="G396" s="3" t="n"/>
      <c r="H396" s="3" t="n"/>
      <c r="I396" s="3" t="n"/>
    </row>
    <row r="397">
      <c r="A397" s="15" t="n"/>
      <c r="B397" s="3" t="n"/>
      <c r="C397" s="3" t="n"/>
      <c r="D397" s="3" t="n"/>
      <c r="E397" s="3" t="n"/>
      <c r="F397" s="17" t="n"/>
      <c r="G397" s="3" t="n"/>
      <c r="H397" s="3" t="n"/>
      <c r="I397" s="3" t="n"/>
    </row>
    <row r="398">
      <c r="A398" s="15" t="n"/>
      <c r="B398" s="3" t="n"/>
      <c r="C398" s="3" t="n"/>
      <c r="D398" s="3" t="n"/>
      <c r="E398" s="3" t="n"/>
      <c r="F398" s="17" t="n"/>
      <c r="G398" s="3" t="n"/>
      <c r="H398" s="3" t="n"/>
      <c r="I398" s="3" t="n"/>
    </row>
    <row r="399">
      <c r="A399" s="15" t="n"/>
      <c r="B399" s="3" t="n"/>
      <c r="C399" s="3" t="n"/>
      <c r="D399" s="3" t="n"/>
      <c r="E399" s="3" t="n"/>
      <c r="F399" s="17" t="n"/>
      <c r="G399" s="3" t="n"/>
      <c r="H399" s="3" t="n"/>
      <c r="I399" s="3" t="n"/>
    </row>
    <row r="400">
      <c r="A400" s="15" t="n"/>
      <c r="B400" s="3" t="n"/>
      <c r="C400" s="3" t="n"/>
      <c r="D400" s="3" t="n"/>
      <c r="E400" s="3" t="n"/>
      <c r="F400" s="17" t="n"/>
      <c r="G400" s="3" t="n"/>
      <c r="H400" s="3" t="n"/>
      <c r="I400" s="3" t="n"/>
    </row>
    <row r="401">
      <c r="A401" s="15" t="n"/>
      <c r="B401" s="3" t="n"/>
      <c r="C401" s="3" t="n"/>
      <c r="D401" s="3" t="n"/>
      <c r="E401" s="3" t="n"/>
      <c r="F401" s="17" t="n"/>
      <c r="G401" s="3" t="n"/>
      <c r="H401" s="3" t="n"/>
      <c r="I401" s="3" t="n"/>
    </row>
    <row r="402">
      <c r="A402" s="15" t="n"/>
      <c r="B402" s="3" t="n"/>
      <c r="C402" s="3" t="n"/>
      <c r="D402" s="3" t="n"/>
      <c r="E402" s="3" t="n"/>
      <c r="F402" s="17" t="n"/>
      <c r="G402" s="3" t="n"/>
      <c r="H402" s="3" t="n"/>
      <c r="I402" s="3" t="n"/>
    </row>
    <row r="403">
      <c r="A403" s="15" t="n"/>
      <c r="B403" s="3" t="n"/>
      <c r="C403" s="3" t="n"/>
      <c r="D403" s="3" t="n"/>
      <c r="E403" s="3" t="n"/>
      <c r="F403" s="17" t="n"/>
      <c r="G403" s="3" t="n"/>
      <c r="H403" s="3" t="n"/>
      <c r="I403" s="3" t="n"/>
    </row>
    <row r="404">
      <c r="A404" s="15" t="n"/>
      <c r="B404" s="3" t="n"/>
      <c r="C404" s="3" t="n"/>
      <c r="D404" s="3" t="n"/>
      <c r="E404" s="3" t="n"/>
      <c r="F404" s="17" t="n"/>
      <c r="G404" s="3" t="n"/>
      <c r="H404" s="3" t="n"/>
      <c r="I404" s="3" t="n"/>
    </row>
    <row r="405">
      <c r="A405" s="15" t="n"/>
      <c r="B405" s="3" t="n"/>
      <c r="C405" s="3" t="n"/>
      <c r="D405" s="3" t="n"/>
      <c r="E405" s="3" t="n"/>
      <c r="F405" s="17" t="n"/>
      <c r="G405" s="3" t="n"/>
      <c r="H405" s="3" t="n"/>
      <c r="I405" s="3" t="n"/>
    </row>
    <row r="406">
      <c r="A406" s="15" t="n"/>
      <c r="B406" s="3" t="n"/>
      <c r="C406" s="3" t="n"/>
      <c r="D406" s="3" t="n"/>
      <c r="E406" s="3" t="n"/>
      <c r="F406" s="17" t="n"/>
      <c r="G406" s="3" t="n"/>
      <c r="H406" s="3" t="n"/>
      <c r="I406" s="3" t="n"/>
    </row>
    <row r="407">
      <c r="A407" s="15" t="n"/>
      <c r="B407" s="3" t="n"/>
      <c r="C407" s="3" t="n"/>
      <c r="D407" s="3" t="n"/>
      <c r="E407" s="3" t="n"/>
      <c r="F407" s="17" t="n"/>
      <c r="G407" s="3" t="n"/>
      <c r="H407" s="3" t="n"/>
      <c r="I407" s="3" t="n"/>
    </row>
    <row r="408">
      <c r="A408" s="15" t="n"/>
      <c r="B408" s="3" t="n"/>
      <c r="C408" s="3" t="n"/>
      <c r="D408" s="3" t="n"/>
      <c r="E408" s="3" t="n"/>
      <c r="F408" s="17" t="n"/>
      <c r="G408" s="3" t="n"/>
      <c r="H408" s="3" t="n"/>
      <c r="I408" s="3" t="n"/>
    </row>
    <row r="409">
      <c r="A409" s="15" t="n"/>
      <c r="B409" s="3" t="n"/>
      <c r="C409" s="3" t="n"/>
      <c r="D409" s="3" t="n"/>
      <c r="E409" s="3" t="n"/>
      <c r="F409" s="17" t="n"/>
      <c r="G409" s="3" t="n"/>
      <c r="H409" s="3" t="n"/>
      <c r="I409" s="3" t="n"/>
    </row>
    <row r="410">
      <c r="A410" s="15" t="n"/>
      <c r="B410" s="3" t="n"/>
      <c r="C410" s="3" t="n"/>
      <c r="D410" s="3" t="n"/>
      <c r="E410" s="3" t="n"/>
      <c r="F410" s="17" t="n"/>
      <c r="G410" s="3" t="n"/>
      <c r="H410" s="3" t="n"/>
      <c r="I410" s="3" t="n"/>
    </row>
    <row r="411">
      <c r="A411" s="15" t="n"/>
      <c r="B411" s="3" t="n"/>
      <c r="C411" s="3" t="n"/>
      <c r="D411" s="3" t="n"/>
      <c r="E411" s="3" t="n"/>
      <c r="F411" s="17" t="n"/>
      <c r="G411" s="3" t="n"/>
      <c r="H411" s="3" t="n"/>
      <c r="I411" s="3" t="n"/>
    </row>
    <row r="412">
      <c r="A412" s="15" t="n"/>
      <c r="B412" s="3" t="n"/>
      <c r="C412" s="3" t="n"/>
      <c r="D412" s="3" t="n"/>
      <c r="E412" s="3" t="n"/>
      <c r="F412" s="17" t="n"/>
      <c r="G412" s="3" t="n"/>
      <c r="H412" s="3" t="n"/>
      <c r="I412" s="3" t="n"/>
    </row>
    <row r="413">
      <c r="A413" s="15" t="n"/>
      <c r="B413" s="3" t="n"/>
      <c r="C413" s="3" t="n"/>
      <c r="D413" s="3" t="n"/>
      <c r="E413" s="3" t="n"/>
      <c r="F413" s="17" t="n"/>
      <c r="G413" s="3" t="n"/>
      <c r="H413" s="3" t="n"/>
      <c r="I413" s="3" t="n"/>
    </row>
    <row r="414">
      <c r="A414" s="15" t="n"/>
      <c r="B414" s="3" t="n"/>
      <c r="C414" s="3" t="n"/>
      <c r="D414" s="3" t="n"/>
      <c r="E414" s="3" t="n"/>
      <c r="F414" s="17" t="n"/>
      <c r="G414" s="3" t="n"/>
      <c r="H414" s="3" t="n"/>
      <c r="I414" s="3" t="n"/>
    </row>
    <row r="415">
      <c r="A415" s="15" t="n"/>
      <c r="B415" s="3" t="n"/>
      <c r="C415" s="3" t="n"/>
      <c r="D415" s="3" t="n"/>
      <c r="E415" s="3" t="n"/>
      <c r="F415" s="17" t="n"/>
      <c r="G415" s="3" t="n"/>
      <c r="H415" s="3" t="n"/>
      <c r="I415" s="3" t="n"/>
    </row>
    <row r="416">
      <c r="A416" s="15" t="n"/>
      <c r="B416" s="3" t="n"/>
      <c r="C416" s="3" t="n"/>
      <c r="D416" s="3" t="n"/>
      <c r="E416" s="3" t="n"/>
      <c r="F416" s="17" t="n"/>
      <c r="G416" s="3" t="n"/>
      <c r="H416" s="3" t="n"/>
      <c r="I416" s="3" t="n"/>
    </row>
    <row r="417">
      <c r="A417" s="15" t="n"/>
      <c r="B417" s="3" t="n"/>
      <c r="C417" s="3" t="n"/>
      <c r="D417" s="3" t="n"/>
      <c r="E417" s="3" t="n"/>
      <c r="F417" s="17" t="n"/>
      <c r="G417" s="3" t="n"/>
      <c r="H417" s="3" t="n"/>
      <c r="I417" s="3" t="n"/>
    </row>
    <row r="418">
      <c r="A418" s="15" t="n"/>
      <c r="B418" s="3" t="n"/>
      <c r="C418" s="3" t="n"/>
      <c r="D418" s="3" t="n"/>
      <c r="E418" s="3" t="n"/>
      <c r="F418" s="17" t="n"/>
      <c r="G418" s="3" t="n"/>
      <c r="H418" s="3" t="n"/>
      <c r="I418" s="3" t="n"/>
    </row>
    <row r="419">
      <c r="A419" s="15" t="n"/>
      <c r="B419" s="3" t="n"/>
      <c r="C419" s="3" t="n"/>
      <c r="D419" s="3" t="n"/>
      <c r="E419" s="3" t="n"/>
      <c r="F419" s="17" t="n"/>
      <c r="G419" s="3" t="n"/>
      <c r="H419" s="3" t="n"/>
      <c r="I419" s="3" t="n"/>
    </row>
    <row r="420">
      <c r="A420" s="15" t="n"/>
      <c r="B420" s="3" t="n"/>
      <c r="C420" s="3" t="n"/>
      <c r="D420" s="3" t="n"/>
      <c r="E420" s="3" t="n"/>
      <c r="F420" s="17" t="n"/>
      <c r="G420" s="3" t="n"/>
      <c r="H420" s="3" t="n"/>
      <c r="I420" s="3" t="n"/>
    </row>
    <row r="421">
      <c r="A421" s="15" t="n"/>
      <c r="B421" s="3" t="n"/>
      <c r="C421" s="3" t="n"/>
      <c r="D421" s="3" t="n"/>
      <c r="E421" s="3" t="n"/>
      <c r="F421" s="17" t="n"/>
      <c r="G421" s="3" t="n"/>
      <c r="H421" s="3" t="n"/>
      <c r="I421" s="3" t="n"/>
    </row>
    <row r="422">
      <c r="A422" s="15" t="n"/>
      <c r="B422" s="3" t="n"/>
      <c r="C422" s="3" t="n"/>
      <c r="D422" s="3" t="n"/>
      <c r="E422" s="3" t="n"/>
      <c r="F422" s="17" t="n"/>
      <c r="G422" s="3" t="n"/>
      <c r="H422" s="3" t="n"/>
      <c r="I422" s="3" t="n"/>
    </row>
    <row r="423">
      <c r="A423" s="15" t="n"/>
      <c r="B423" s="3" t="n"/>
      <c r="C423" s="3" t="n"/>
      <c r="D423" s="3" t="n"/>
      <c r="E423" s="3" t="n"/>
      <c r="F423" s="17" t="n"/>
      <c r="G423" s="3" t="n"/>
      <c r="H423" s="3" t="n"/>
      <c r="I423" s="3" t="n"/>
    </row>
    <row r="424">
      <c r="A424" s="15" t="n"/>
      <c r="B424" s="3" t="n"/>
      <c r="C424" s="3" t="n"/>
      <c r="D424" s="3" t="n"/>
      <c r="E424" s="3" t="n"/>
      <c r="F424" s="17" t="n"/>
      <c r="G424" s="3" t="n"/>
      <c r="H424" s="3" t="n"/>
      <c r="I424" s="3" t="n"/>
    </row>
    <row r="425">
      <c r="A425" s="15" t="n"/>
      <c r="B425" s="3" t="n"/>
      <c r="C425" s="3" t="n"/>
      <c r="D425" s="3" t="n"/>
      <c r="E425" s="3" t="n"/>
      <c r="F425" s="17" t="n"/>
      <c r="G425" s="3" t="n"/>
      <c r="H425" s="3" t="n"/>
      <c r="I425" s="3" t="n"/>
    </row>
    <row r="426">
      <c r="A426" s="15" t="n"/>
      <c r="B426" s="3" t="n"/>
      <c r="C426" s="3" t="n"/>
      <c r="D426" s="3" t="n"/>
      <c r="E426" s="3" t="n"/>
      <c r="F426" s="17" t="n"/>
      <c r="G426" s="3" t="n"/>
      <c r="H426" s="3" t="n"/>
      <c r="I426" s="3" t="n"/>
    </row>
    <row r="427">
      <c r="A427" s="15" t="n"/>
      <c r="B427" s="3" t="n"/>
      <c r="C427" s="3" t="n"/>
      <c r="D427" s="3" t="n"/>
      <c r="E427" s="3" t="n"/>
      <c r="F427" s="17" t="n"/>
      <c r="G427" s="3" t="n"/>
      <c r="H427" s="3" t="n"/>
      <c r="I427" s="3" t="n"/>
    </row>
    <row r="428">
      <c r="A428" s="15" t="n"/>
      <c r="B428" s="3" t="n"/>
      <c r="C428" s="3" t="n"/>
      <c r="D428" s="3" t="n"/>
      <c r="E428" s="3" t="n"/>
      <c r="F428" s="17" t="n"/>
      <c r="G428" s="3" t="n"/>
      <c r="H428" s="3" t="n"/>
      <c r="I428" s="3" t="n"/>
    </row>
    <row r="429">
      <c r="A429" s="15" t="n"/>
      <c r="B429" s="3" t="n"/>
      <c r="C429" s="3" t="n"/>
      <c r="D429" s="3" t="n"/>
      <c r="E429" s="3" t="n"/>
      <c r="F429" s="17" t="n"/>
      <c r="G429" s="3" t="n"/>
      <c r="H429" s="3" t="n"/>
      <c r="I429" s="3" t="n"/>
    </row>
    <row r="430">
      <c r="A430" s="15" t="n"/>
      <c r="B430" s="3" t="n"/>
      <c r="C430" s="3" t="n"/>
      <c r="D430" s="3" t="n"/>
      <c r="E430" s="3" t="n"/>
      <c r="F430" s="17" t="n"/>
      <c r="G430" s="3" t="n"/>
      <c r="H430" s="3" t="n"/>
      <c r="I430" s="3" t="n"/>
    </row>
    <row r="431">
      <c r="A431" s="15" t="n"/>
      <c r="B431" s="3" t="n"/>
      <c r="C431" s="3" t="n"/>
      <c r="D431" s="3" t="n"/>
      <c r="E431" s="3" t="n"/>
      <c r="F431" s="17" t="n"/>
      <c r="G431" s="3" t="n"/>
      <c r="H431" s="3" t="n"/>
      <c r="I431" s="3" t="n"/>
    </row>
    <row r="432">
      <c r="A432" s="15" t="n"/>
      <c r="B432" s="3" t="n"/>
      <c r="C432" s="3" t="n"/>
      <c r="D432" s="3" t="n"/>
      <c r="E432" s="3" t="n"/>
      <c r="F432" s="17" t="n"/>
      <c r="G432" s="3" t="n"/>
      <c r="H432" s="3" t="n"/>
      <c r="I432" s="3" t="n"/>
    </row>
    <row r="433">
      <c r="A433" s="15" t="n"/>
      <c r="B433" s="3" t="n"/>
      <c r="C433" s="3" t="n"/>
      <c r="D433" s="3" t="n"/>
      <c r="E433" s="3" t="n"/>
      <c r="F433" s="17" t="n"/>
      <c r="G433" s="3" t="n"/>
      <c r="H433" s="3" t="n"/>
      <c r="I433" s="3" t="n"/>
    </row>
    <row r="434">
      <c r="A434" s="15" t="n"/>
      <c r="B434" s="3" t="n"/>
      <c r="C434" s="3" t="n"/>
      <c r="D434" s="3" t="n"/>
      <c r="E434" s="3" t="n"/>
      <c r="F434" s="17" t="n"/>
      <c r="G434" s="3" t="n"/>
      <c r="H434" s="3" t="n"/>
      <c r="I434" s="3" t="n"/>
    </row>
    <row r="435">
      <c r="A435" s="15" t="n"/>
      <c r="B435" s="3" t="n"/>
      <c r="C435" s="3" t="n"/>
      <c r="D435" s="3" t="n"/>
      <c r="E435" s="3" t="n"/>
      <c r="F435" s="17" t="n"/>
      <c r="G435" s="3" t="n"/>
      <c r="H435" s="3" t="n"/>
      <c r="I435" s="3" t="n"/>
    </row>
    <row r="436">
      <c r="A436" s="15" t="n"/>
      <c r="B436" s="3" t="n"/>
      <c r="C436" s="3" t="n"/>
      <c r="D436" s="3" t="n"/>
      <c r="E436" s="3" t="n"/>
      <c r="F436" s="17" t="n"/>
      <c r="G436" s="3" t="n"/>
      <c r="H436" s="3" t="n"/>
      <c r="I436" s="3" t="n"/>
    </row>
    <row r="437">
      <c r="A437" s="15" t="n"/>
      <c r="B437" s="3" t="n"/>
      <c r="C437" s="3" t="n"/>
      <c r="D437" s="3" t="n"/>
      <c r="E437" s="3" t="n"/>
      <c r="F437" s="17" t="n"/>
      <c r="G437" s="3" t="n"/>
      <c r="H437" s="3" t="n"/>
      <c r="I437" s="3" t="n"/>
    </row>
    <row r="438">
      <c r="A438" s="15" t="n"/>
      <c r="B438" s="3" t="n"/>
      <c r="C438" s="3" t="n"/>
      <c r="D438" s="3" t="n"/>
      <c r="E438" s="3" t="n"/>
      <c r="F438" s="17" t="n"/>
      <c r="G438" s="3" t="n"/>
      <c r="H438" s="3" t="n"/>
      <c r="I438" s="3" t="n"/>
    </row>
    <row r="439">
      <c r="A439" s="15" t="n"/>
      <c r="B439" s="3" t="n"/>
      <c r="C439" s="3" t="n"/>
      <c r="D439" s="3" t="n"/>
      <c r="E439" s="3" t="n"/>
      <c r="F439" s="17" t="n"/>
      <c r="G439" s="3" t="n"/>
      <c r="H439" s="3" t="n"/>
      <c r="I439" s="3" t="n"/>
    </row>
    <row r="440">
      <c r="A440" s="15" t="n"/>
      <c r="B440" s="3" t="n"/>
      <c r="C440" s="3" t="n"/>
      <c r="D440" s="3" t="n"/>
      <c r="E440" s="3" t="n"/>
      <c r="F440" s="17" t="n"/>
      <c r="G440" s="3" t="n"/>
      <c r="H440" s="3" t="n"/>
      <c r="I440" s="3" t="n"/>
    </row>
    <row r="441">
      <c r="A441" s="15" t="n"/>
      <c r="B441" s="3" t="n"/>
      <c r="C441" s="3" t="n"/>
      <c r="D441" s="3" t="n"/>
      <c r="E441" s="3" t="n"/>
      <c r="F441" s="17" t="n"/>
      <c r="G441" s="3" t="n"/>
      <c r="H441" s="3" t="n"/>
      <c r="I441" s="3" t="n"/>
    </row>
    <row r="442">
      <c r="A442" s="15" t="n"/>
      <c r="B442" s="3" t="n"/>
      <c r="C442" s="3" t="n"/>
      <c r="D442" s="3" t="n"/>
      <c r="E442" s="3" t="n"/>
      <c r="F442" s="17" t="n"/>
      <c r="G442" s="3" t="n"/>
      <c r="H442" s="3" t="n"/>
      <c r="I442" s="3" t="n"/>
    </row>
    <row r="443">
      <c r="A443" s="15" t="n"/>
      <c r="B443" s="3" t="n"/>
      <c r="C443" s="3" t="n"/>
      <c r="D443" s="3" t="n"/>
      <c r="E443" s="3" t="n"/>
      <c r="F443" s="17" t="n"/>
      <c r="G443" s="3" t="n"/>
      <c r="H443" s="3" t="n"/>
      <c r="I443" s="3" t="n"/>
    </row>
    <row r="444">
      <c r="A444" s="15" t="n"/>
      <c r="B444" s="3" t="n"/>
      <c r="C444" s="3" t="n"/>
      <c r="D444" s="3" t="n"/>
      <c r="E444" s="3" t="n"/>
      <c r="F444" s="17" t="n"/>
      <c r="G444" s="3" t="n"/>
      <c r="H444" s="3" t="n"/>
      <c r="I444" s="3" t="n"/>
    </row>
    <row r="445">
      <c r="A445" s="15" t="n"/>
      <c r="B445" s="3" t="n"/>
      <c r="C445" s="3" t="n"/>
      <c r="D445" s="3" t="n"/>
      <c r="E445" s="3" t="n"/>
      <c r="F445" s="17" t="n"/>
      <c r="G445" s="3" t="n"/>
      <c r="H445" s="3" t="n"/>
      <c r="I445" s="3" t="n"/>
    </row>
    <row r="446">
      <c r="A446" s="15" t="n"/>
      <c r="B446" s="3" t="n"/>
      <c r="C446" s="3" t="n"/>
      <c r="D446" s="3" t="n"/>
      <c r="E446" s="3" t="n"/>
      <c r="F446" s="17" t="n"/>
      <c r="G446" s="3" t="n"/>
      <c r="H446" s="3" t="n"/>
      <c r="I446" s="3" t="n"/>
    </row>
    <row r="447">
      <c r="A447" s="15" t="n"/>
      <c r="B447" s="3" t="n"/>
      <c r="C447" s="3" t="n"/>
      <c r="D447" s="3" t="n"/>
      <c r="E447" s="3" t="n"/>
      <c r="F447" s="17" t="n"/>
      <c r="G447" s="3" t="n"/>
      <c r="H447" s="3" t="n"/>
      <c r="I447" s="3" t="n"/>
    </row>
    <row r="448">
      <c r="A448" s="15" t="n"/>
      <c r="B448" s="3" t="n"/>
      <c r="C448" s="3" t="n"/>
      <c r="D448" s="3" t="n"/>
      <c r="E448" s="3" t="n"/>
      <c r="F448" s="17" t="n"/>
      <c r="G448" s="3" t="n"/>
      <c r="H448" s="3" t="n"/>
      <c r="I448" s="3" t="n"/>
    </row>
    <row r="449">
      <c r="A449" s="15" t="n"/>
      <c r="B449" s="3" t="n"/>
      <c r="C449" s="3" t="n"/>
      <c r="D449" s="3" t="n"/>
      <c r="E449" s="3" t="n"/>
      <c r="F449" s="17" t="n"/>
      <c r="G449" s="3" t="n"/>
      <c r="H449" s="3" t="n"/>
      <c r="I449" s="3" t="n"/>
    </row>
    <row r="450">
      <c r="A450" s="15" t="n"/>
      <c r="B450" s="3" t="n"/>
      <c r="C450" s="3" t="n"/>
      <c r="D450" s="3" t="n"/>
      <c r="E450" s="3" t="n"/>
      <c r="F450" s="17" t="n"/>
      <c r="G450" s="3" t="n"/>
      <c r="H450" s="3" t="n"/>
      <c r="I450" s="3" t="n"/>
    </row>
    <row r="451">
      <c r="A451" s="15" t="n"/>
      <c r="B451" s="3" t="n"/>
      <c r="C451" s="3" t="n"/>
      <c r="D451" s="3" t="n"/>
      <c r="E451" s="3" t="n"/>
      <c r="F451" s="17" t="n"/>
      <c r="G451" s="3" t="n"/>
      <c r="H451" s="3" t="n"/>
      <c r="I451" s="3" t="n"/>
    </row>
    <row r="452">
      <c r="A452" s="15" t="n"/>
      <c r="B452" s="3" t="n"/>
      <c r="C452" s="3" t="n"/>
      <c r="D452" s="3" t="n"/>
      <c r="E452" s="3" t="n"/>
      <c r="F452" s="17" t="n"/>
      <c r="G452" s="3" t="n"/>
      <c r="H452" s="3" t="n"/>
      <c r="I452" s="3" t="n"/>
    </row>
    <row r="453">
      <c r="A453" s="15" t="n"/>
      <c r="B453" s="3" t="n"/>
      <c r="C453" s="3" t="n"/>
      <c r="D453" s="3" t="n"/>
      <c r="E453" s="3" t="n"/>
      <c r="F453" s="17" t="n"/>
      <c r="G453" s="3" t="n"/>
      <c r="H453" s="3" t="n"/>
      <c r="I453" s="3" t="n"/>
    </row>
    <row r="454">
      <c r="A454" s="15" t="n"/>
      <c r="B454" s="3" t="n"/>
      <c r="C454" s="3" t="n"/>
      <c r="D454" s="3" t="n"/>
      <c r="E454" s="3" t="n"/>
      <c r="F454" s="17" t="n"/>
      <c r="G454" s="3" t="n"/>
      <c r="H454" s="3" t="n"/>
      <c r="I454" s="3" t="n"/>
    </row>
    <row r="455">
      <c r="A455" s="15" t="n"/>
      <c r="B455" s="3" t="n"/>
      <c r="C455" s="3" t="n"/>
      <c r="D455" s="3" t="n"/>
      <c r="E455" s="3" t="n"/>
      <c r="F455" s="17" t="n"/>
      <c r="G455" s="3" t="n"/>
      <c r="H455" s="3" t="n"/>
      <c r="I455" s="3" t="n"/>
    </row>
    <row r="456">
      <c r="A456" s="15" t="n"/>
      <c r="B456" s="3" t="n"/>
      <c r="C456" s="3" t="n"/>
      <c r="D456" s="3" t="n"/>
      <c r="E456" s="3" t="n"/>
      <c r="F456" s="17" t="n"/>
      <c r="G456" s="3" t="n"/>
      <c r="H456" s="3" t="n"/>
      <c r="I456" s="3" t="n"/>
    </row>
    <row r="457">
      <c r="A457" s="15" t="n"/>
      <c r="B457" s="3" t="n"/>
      <c r="C457" s="3" t="n"/>
      <c r="D457" s="3" t="n"/>
      <c r="E457" s="3" t="n"/>
      <c r="F457" s="17" t="n"/>
      <c r="G457" s="3" t="n"/>
      <c r="H457" s="3" t="n"/>
      <c r="I457" s="3" t="n"/>
    </row>
    <row r="458">
      <c r="A458" s="15" t="n"/>
      <c r="B458" s="3" t="n"/>
      <c r="C458" s="3" t="n"/>
      <c r="D458" s="3" t="n"/>
      <c r="E458" s="3" t="n"/>
      <c r="F458" s="17" t="n"/>
      <c r="G458" s="3" t="n"/>
      <c r="H458" s="3" t="n"/>
      <c r="I458" s="3" t="n"/>
    </row>
    <row r="459">
      <c r="A459" s="15" t="n"/>
      <c r="B459" s="3" t="n"/>
      <c r="C459" s="3" t="n"/>
      <c r="D459" s="3" t="n"/>
      <c r="E459" s="3" t="n"/>
      <c r="F459" s="17" t="n"/>
      <c r="G459" s="3" t="n"/>
      <c r="H459" s="3" t="n"/>
      <c r="I459" s="3" t="n"/>
    </row>
    <row r="460">
      <c r="A460" s="15" t="n"/>
      <c r="B460" s="3" t="n"/>
      <c r="C460" s="3" t="n"/>
      <c r="D460" s="3" t="n"/>
      <c r="E460" s="3" t="n"/>
      <c r="F460" s="17" t="n"/>
      <c r="G460" s="3" t="n"/>
      <c r="H460" s="3" t="n"/>
      <c r="I460" s="3" t="n"/>
    </row>
    <row r="461">
      <c r="A461" s="15" t="n"/>
      <c r="B461" s="3" t="n"/>
      <c r="C461" s="3" t="n"/>
      <c r="D461" s="3" t="n"/>
      <c r="E461" s="3" t="n"/>
      <c r="F461" s="17" t="n"/>
      <c r="G461" s="3" t="n"/>
      <c r="H461" s="3" t="n"/>
      <c r="I461" s="3" t="n"/>
    </row>
    <row r="462">
      <c r="A462" s="15" t="n"/>
      <c r="B462" s="3" t="n"/>
      <c r="C462" s="3" t="n"/>
      <c r="D462" s="3" t="n"/>
      <c r="E462" s="3" t="n"/>
      <c r="F462" s="17" t="n"/>
      <c r="G462" s="3" t="n"/>
      <c r="H462" s="3" t="n"/>
      <c r="I462" s="3" t="n"/>
    </row>
    <row r="463">
      <c r="A463" s="15" t="n"/>
      <c r="B463" s="3" t="n"/>
      <c r="C463" s="3" t="n"/>
      <c r="D463" s="3" t="n"/>
      <c r="E463" s="3" t="n"/>
      <c r="F463" s="17" t="n"/>
      <c r="G463" s="3" t="n"/>
      <c r="H463" s="3" t="n"/>
      <c r="I463" s="3" t="n"/>
    </row>
    <row r="464">
      <c r="A464" s="15" t="n"/>
      <c r="B464" s="3" t="n"/>
      <c r="C464" s="3" t="n"/>
      <c r="D464" s="3" t="n"/>
      <c r="E464" s="3" t="n"/>
      <c r="F464" s="17" t="n"/>
      <c r="G464" s="3" t="n"/>
      <c r="H464" s="3" t="n"/>
      <c r="I464" s="3" t="n"/>
    </row>
    <row r="465">
      <c r="A465" s="15" t="n"/>
      <c r="B465" s="3" t="n"/>
      <c r="C465" s="3" t="n"/>
      <c r="D465" s="3" t="n"/>
      <c r="E465" s="3" t="n"/>
      <c r="F465" s="17" t="n"/>
      <c r="G465" s="3" t="n"/>
      <c r="H465" s="3" t="n"/>
      <c r="I465" s="3" t="n"/>
    </row>
    <row r="466">
      <c r="A466" s="15" t="n"/>
      <c r="B466" s="3" t="n"/>
      <c r="C466" s="3" t="n"/>
      <c r="D466" s="3" t="n"/>
      <c r="E466" s="3" t="n"/>
      <c r="F466" s="17" t="n"/>
      <c r="G466" s="3" t="n"/>
      <c r="H466" s="3" t="n"/>
      <c r="I466" s="3" t="n"/>
    </row>
    <row r="467">
      <c r="A467" s="15" t="n"/>
      <c r="B467" s="3" t="n"/>
      <c r="C467" s="3" t="n"/>
      <c r="D467" s="3" t="n"/>
      <c r="E467" s="3" t="n"/>
      <c r="F467" s="17" t="n"/>
      <c r="G467" s="3" t="n"/>
      <c r="H467" s="3" t="n"/>
      <c r="I467" s="3" t="n"/>
    </row>
    <row r="468">
      <c r="A468" s="15" t="n"/>
      <c r="B468" s="3" t="n"/>
      <c r="C468" s="3" t="n"/>
      <c r="D468" s="3" t="n"/>
      <c r="E468" s="3" t="n"/>
      <c r="F468" s="17" t="n"/>
      <c r="G468" s="3" t="n"/>
      <c r="H468" s="3" t="n"/>
      <c r="I468" s="3" t="n"/>
    </row>
    <row r="469">
      <c r="A469" s="15" t="n"/>
      <c r="B469" s="3" t="n"/>
      <c r="C469" s="3" t="n"/>
      <c r="D469" s="3" t="n"/>
      <c r="E469" s="3" t="n"/>
      <c r="F469" s="17" t="n"/>
      <c r="G469" s="3" t="n"/>
      <c r="H469" s="3" t="n"/>
      <c r="I469" s="3" t="n"/>
    </row>
    <row r="470">
      <c r="A470" s="15" t="n"/>
      <c r="B470" s="3" t="n"/>
      <c r="C470" s="3" t="n"/>
      <c r="D470" s="3" t="n"/>
      <c r="E470" s="3" t="n"/>
      <c r="F470" s="17" t="n"/>
      <c r="G470" s="3" t="n"/>
      <c r="H470" s="3" t="n"/>
      <c r="I470" s="3" t="n"/>
    </row>
    <row r="471">
      <c r="A471" s="15" t="n"/>
      <c r="B471" s="3" t="n"/>
      <c r="C471" s="3" t="n"/>
      <c r="D471" s="3" t="n"/>
      <c r="E471" s="3" t="n"/>
      <c r="F471" s="17" t="n"/>
      <c r="G471" s="3" t="n"/>
      <c r="H471" s="3" t="n"/>
      <c r="I471" s="3" t="n"/>
    </row>
    <row r="472">
      <c r="A472" s="15" t="n"/>
      <c r="B472" s="3" t="n"/>
      <c r="C472" s="3" t="n"/>
      <c r="D472" s="3" t="n"/>
      <c r="E472" s="3" t="n"/>
      <c r="F472" s="17" t="n"/>
      <c r="G472" s="3" t="n"/>
      <c r="H472" s="3" t="n"/>
      <c r="I472" s="3" t="n"/>
    </row>
    <row r="473">
      <c r="A473" s="15" t="n"/>
      <c r="B473" s="3" t="n"/>
      <c r="C473" s="3" t="n"/>
      <c r="D473" s="3" t="n"/>
      <c r="E473" s="3" t="n"/>
      <c r="F473" s="17" t="n"/>
      <c r="G473" s="3" t="n"/>
      <c r="H473" s="3" t="n"/>
      <c r="I473" s="3" t="n"/>
    </row>
    <row r="474">
      <c r="A474" s="15" t="n"/>
      <c r="B474" s="3" t="n"/>
      <c r="C474" s="3" t="n"/>
      <c r="D474" s="3" t="n"/>
      <c r="E474" s="3" t="n"/>
      <c r="F474" s="17" t="n"/>
      <c r="G474" s="3" t="n"/>
      <c r="H474" s="3" t="n"/>
      <c r="I474" s="3" t="n"/>
    </row>
    <row r="475">
      <c r="A475" s="15" t="n"/>
      <c r="B475" s="3" t="n"/>
      <c r="C475" s="3" t="n"/>
      <c r="D475" s="3" t="n"/>
      <c r="E475" s="3" t="n"/>
      <c r="F475" s="17" t="n"/>
      <c r="G475" s="3" t="n"/>
      <c r="H475" s="3" t="n"/>
      <c r="I475" s="3" t="n"/>
    </row>
    <row r="476">
      <c r="A476" s="15" t="n"/>
      <c r="B476" s="3" t="n"/>
      <c r="C476" s="3" t="n"/>
      <c r="D476" s="3" t="n"/>
      <c r="E476" s="3" t="n"/>
      <c r="F476" s="17" t="n"/>
      <c r="G476" s="3" t="n"/>
      <c r="H476" s="3" t="n"/>
      <c r="I476" s="3" t="n"/>
    </row>
    <row r="477">
      <c r="A477" s="15" t="n"/>
      <c r="B477" s="3" t="n"/>
      <c r="C477" s="3" t="n"/>
      <c r="D477" s="3" t="n"/>
      <c r="E477" s="3" t="n"/>
      <c r="F477" s="17" t="n"/>
      <c r="G477" s="3" t="n"/>
      <c r="H477" s="3" t="n"/>
      <c r="I477" s="3" t="n"/>
    </row>
    <row r="478">
      <c r="A478" s="15" t="n"/>
      <c r="B478" s="3" t="n"/>
      <c r="C478" s="3" t="n"/>
      <c r="D478" s="3" t="n"/>
      <c r="E478" s="3" t="n"/>
      <c r="F478" s="17" t="n"/>
      <c r="G478" s="3" t="n"/>
      <c r="H478" s="3" t="n"/>
      <c r="I478" s="3" t="n"/>
    </row>
    <row r="479">
      <c r="A479" s="15" t="n"/>
      <c r="B479" s="3" t="n"/>
      <c r="C479" s="3" t="n"/>
      <c r="D479" s="3" t="n"/>
      <c r="E479" s="3" t="n"/>
      <c r="F479" s="17" t="n"/>
      <c r="G479" s="3" t="n"/>
      <c r="H479" s="3" t="n"/>
      <c r="I479" s="3" t="n"/>
    </row>
    <row r="480">
      <c r="A480" s="15" t="n"/>
      <c r="B480" s="3" t="n"/>
      <c r="C480" s="3" t="n"/>
      <c r="D480" s="3" t="n"/>
      <c r="E480" s="3" t="n"/>
      <c r="F480" s="17" t="n"/>
      <c r="G480" s="3" t="n"/>
      <c r="H480" s="3" t="n"/>
      <c r="I480" s="3" t="n"/>
    </row>
    <row r="481">
      <c r="A481" s="15" t="n"/>
      <c r="B481" s="3" t="n"/>
      <c r="C481" s="3" t="n"/>
      <c r="D481" s="3" t="n"/>
      <c r="E481" s="3" t="n"/>
      <c r="F481" s="17" t="n"/>
      <c r="G481" s="3" t="n"/>
      <c r="H481" s="3" t="n"/>
      <c r="I481" s="3" t="n"/>
    </row>
    <row r="482">
      <c r="A482" s="15" t="n"/>
      <c r="B482" s="3" t="n"/>
      <c r="C482" s="3" t="n"/>
      <c r="D482" s="3" t="n"/>
      <c r="E482" s="3" t="n"/>
      <c r="F482" s="17" t="n"/>
      <c r="G482" s="3" t="n"/>
      <c r="H482" s="3" t="n"/>
      <c r="I482" s="3" t="n"/>
    </row>
    <row r="483">
      <c r="A483" s="15" t="n"/>
      <c r="B483" s="3" t="n"/>
      <c r="C483" s="3" t="n"/>
      <c r="D483" s="3" t="n"/>
      <c r="E483" s="3" t="n"/>
      <c r="F483" s="17" t="n"/>
      <c r="G483" s="3" t="n"/>
      <c r="H483" s="3" t="n"/>
      <c r="I483" s="3" t="n"/>
    </row>
    <row r="484">
      <c r="A484" s="15" t="n"/>
      <c r="B484" s="3" t="n"/>
      <c r="C484" s="3" t="n"/>
      <c r="D484" s="3" t="n"/>
      <c r="E484" s="3" t="n"/>
      <c r="F484" s="17" t="n"/>
      <c r="G484" s="3" t="n"/>
      <c r="H484" s="3" t="n"/>
      <c r="I484" s="3" t="n"/>
    </row>
    <row r="485">
      <c r="A485" s="15" t="n"/>
      <c r="B485" s="3" t="n"/>
      <c r="C485" s="3" t="n"/>
      <c r="D485" s="3" t="n"/>
      <c r="E485" s="3" t="n"/>
      <c r="F485" s="17" t="n"/>
      <c r="G485" s="3" t="n"/>
      <c r="H485" s="3" t="n"/>
      <c r="I485" s="3" t="n"/>
    </row>
    <row r="486">
      <c r="A486" s="15" t="n"/>
      <c r="B486" s="3" t="n"/>
      <c r="C486" s="3" t="n"/>
      <c r="D486" s="3" t="n"/>
      <c r="E486" s="3" t="n"/>
      <c r="F486" s="17" t="n"/>
      <c r="G486" s="3" t="n"/>
      <c r="H486" s="3" t="n"/>
      <c r="I486" s="3" t="n"/>
    </row>
    <row r="487">
      <c r="A487" s="15" t="n"/>
      <c r="B487" s="3" t="n"/>
      <c r="C487" s="3" t="n"/>
      <c r="D487" s="3" t="n"/>
      <c r="E487" s="3" t="n"/>
      <c r="F487" s="17" t="n"/>
      <c r="G487" s="3" t="n"/>
      <c r="H487" s="3" t="n"/>
      <c r="I487" s="3" t="n"/>
    </row>
    <row r="488">
      <c r="A488" s="15" t="n"/>
      <c r="B488" s="3" t="n"/>
      <c r="C488" s="3" t="n"/>
      <c r="D488" s="3" t="n"/>
      <c r="E488" s="3" t="n"/>
      <c r="F488" s="17" t="n"/>
      <c r="G488" s="3" t="n"/>
      <c r="H488" s="3" t="n"/>
      <c r="I488" s="3" t="n"/>
    </row>
    <row r="489">
      <c r="A489" s="15" t="n"/>
      <c r="B489" s="3" t="n"/>
      <c r="C489" s="3" t="n"/>
      <c r="D489" s="3" t="n"/>
      <c r="E489" s="3" t="n"/>
      <c r="F489" s="17" t="n"/>
      <c r="G489" s="3" t="n"/>
      <c r="H489" s="3" t="n"/>
      <c r="I489" s="3" t="n"/>
    </row>
    <row r="490">
      <c r="A490" s="15" t="n"/>
      <c r="B490" s="3" t="n"/>
      <c r="C490" s="3" t="n"/>
      <c r="D490" s="3" t="n"/>
      <c r="E490" s="3" t="n"/>
      <c r="F490" s="17" t="n"/>
      <c r="G490" s="3" t="n"/>
      <c r="H490" s="3" t="n"/>
      <c r="I490" s="3" t="n"/>
    </row>
    <row r="491">
      <c r="A491" s="15" t="n"/>
      <c r="B491" s="3" t="n"/>
      <c r="C491" s="3" t="n"/>
      <c r="D491" s="3" t="n"/>
      <c r="E491" s="3" t="n"/>
      <c r="F491" s="17" t="n"/>
      <c r="G491" s="3" t="n"/>
      <c r="H491" s="3" t="n"/>
      <c r="I491" s="3" t="n"/>
    </row>
    <row r="492">
      <c r="A492" s="15" t="n"/>
      <c r="B492" s="3" t="n"/>
      <c r="C492" s="3" t="n"/>
      <c r="D492" s="3" t="n"/>
      <c r="E492" s="3" t="n"/>
      <c r="F492" s="17" t="n"/>
      <c r="G492" s="3" t="n"/>
      <c r="H492" s="3" t="n"/>
      <c r="I492" s="3" t="n"/>
    </row>
    <row r="493">
      <c r="A493" s="15" t="n"/>
      <c r="B493" s="3" t="n"/>
      <c r="C493" s="3" t="n"/>
      <c r="D493" s="3" t="n"/>
      <c r="E493" s="3" t="n"/>
      <c r="F493" s="17" t="n"/>
      <c r="G493" s="3" t="n"/>
      <c r="H493" s="3" t="n"/>
      <c r="I493" s="3" t="n"/>
    </row>
    <row r="494">
      <c r="A494" s="15" t="n"/>
      <c r="B494" s="3" t="n"/>
      <c r="C494" s="3" t="n"/>
      <c r="D494" s="3" t="n"/>
      <c r="E494" s="3" t="n"/>
      <c r="F494" s="17" t="n"/>
      <c r="G494" s="3" t="n"/>
      <c r="H494" s="3" t="n"/>
      <c r="I494" s="3" t="n"/>
    </row>
    <row r="495">
      <c r="A495" s="15" t="n"/>
      <c r="B495" s="3" t="n"/>
      <c r="C495" s="3" t="n"/>
      <c r="D495" s="3" t="n"/>
      <c r="E495" s="3" t="n"/>
      <c r="F495" s="17" t="n"/>
      <c r="G495" s="3" t="n"/>
      <c r="H495" s="3" t="n"/>
      <c r="I495" s="3" t="n"/>
    </row>
    <row r="496">
      <c r="A496" s="15" t="n"/>
      <c r="B496" s="3" t="n"/>
      <c r="C496" s="3" t="n"/>
      <c r="D496" s="3" t="n"/>
      <c r="E496" s="3" t="n"/>
      <c r="F496" s="17" t="n"/>
      <c r="G496" s="3" t="n"/>
      <c r="H496" s="3" t="n"/>
      <c r="I496" s="3" t="n"/>
    </row>
    <row r="497">
      <c r="A497" s="15" t="n"/>
      <c r="B497" s="3" t="n"/>
      <c r="C497" s="3" t="n"/>
      <c r="D497" s="3" t="n"/>
      <c r="E497" s="3" t="n"/>
      <c r="F497" s="17" t="n"/>
      <c r="G497" s="3" t="n"/>
      <c r="H497" s="3" t="n"/>
      <c r="I497" s="3" t="n"/>
    </row>
    <row r="498">
      <c r="A498" s="15" t="n"/>
      <c r="B498" s="3" t="n"/>
      <c r="C498" s="3" t="n"/>
      <c r="D498" s="3" t="n"/>
      <c r="E498" s="3" t="n"/>
      <c r="F498" s="17" t="n"/>
      <c r="G498" s="3" t="n"/>
      <c r="H498" s="3" t="n"/>
      <c r="I498" s="3" t="n"/>
    </row>
    <row r="499">
      <c r="A499" s="15" t="n"/>
      <c r="B499" s="3" t="n"/>
      <c r="C499" s="3" t="n"/>
      <c r="D499" s="3" t="n"/>
      <c r="E499" s="3" t="n"/>
      <c r="F499" s="17" t="n"/>
      <c r="G499" s="3" t="n"/>
      <c r="H499" s="3" t="n"/>
      <c r="I499" s="3" t="n"/>
    </row>
    <row r="500">
      <c r="A500" s="15" t="n"/>
      <c r="B500" s="3" t="n"/>
      <c r="C500" s="3" t="n"/>
      <c r="D500" s="3" t="n"/>
      <c r="E500" s="3" t="n"/>
      <c r="F500" s="17" t="n"/>
      <c r="G500" s="3" t="n"/>
      <c r="H500" s="3" t="n"/>
      <c r="I500" s="3" t="n"/>
    </row>
    <row r="501">
      <c r="A501" s="15" t="n"/>
      <c r="B501" s="3" t="n"/>
      <c r="C501" s="3" t="n"/>
      <c r="D501" s="3" t="n"/>
      <c r="E501" s="3" t="n"/>
      <c r="F501" s="17" t="n"/>
      <c r="G501" s="3" t="n"/>
      <c r="H501" s="3" t="n"/>
      <c r="I501" s="3" t="n"/>
    </row>
    <row r="502">
      <c r="A502" s="15" t="n"/>
      <c r="B502" s="3" t="n"/>
      <c r="C502" s="3" t="n"/>
      <c r="D502" s="3" t="n"/>
      <c r="E502" s="3" t="n"/>
      <c r="F502" s="17" t="n"/>
      <c r="G502" s="3" t="n"/>
      <c r="H502" s="3" t="n"/>
      <c r="I50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I2"/>
  <mergeCells count="1">
    <mergeCell ref="A1:I1"/>
  </mergeCells>
  <conditionalFormatting sqref="A3:I502">
    <cfRule type="expression" priority="1" dxfId="1">
      <formula>AND(B3&lt;&gt;"",F3&gt;0,SOMASES($F$3:$F$502,$B$3:$B$502,B3,$A$3:$A$502,"&gt;="&amp;DATA(Configurações!$B$3,MÊS($A3),1),$A$3:$A$502,"&lt;="&amp;FIM.MÊS($A3))&gt;SEERRO(ÍNDICE(Configurações!$I$51:$I$65,CORRESP(B3,Configurações!$H$51:$H$65,0)),999999999))</formula>
    </cfRule>
  </conditionalFormatting>
  <dataValidations count="5">
    <dataValidation sqref="A3:A502" showDropDown="0" showInputMessage="0" showErrorMessage="0" allowBlank="1" error="Informe uma data válida (dd/mm/aaaa)." type="date" operator="between">
      <formula1>DATE(2020,1,1)</formula1>
      <formula2>DATE(2035,12,31)</formula2>
    </dataValidation>
    <dataValidation sqref="B3:B502" showDropDown="0" showInputMessage="0" showErrorMessage="0" allowBlank="1" errorTitle="Valor inválido" error="Selecione um valor da lista." type="list">
      <formula1>=Configurações!$H$51:$H$65</formula1>
    </dataValidation>
    <dataValidation sqref="E3:E502" showDropDown="0" showInputMessage="0" showErrorMessage="0" allowBlank="1" errorTitle="Valor inválido" error="Selecione um valor da lista." type="list">
      <formula1>=Configurações!$E$36:$E$42</formula1>
    </dataValidation>
    <dataValidation sqref="G3:G502" showDropDown="0" showInputMessage="0" showErrorMessage="0" allowBlank="1" errorTitle="Valor inválido" error="Selecione um valor da lista." type="list">
      <formula1>=Configurações!$J$36:$J$37</formula1>
    </dataValidation>
    <dataValidation sqref="H3:H502" showDropDown="0" showInputMessage="0" showErrorMessage="0" allowBlank="1" errorTitle="Valor inválido" error="Selecione um valor da lista." type="list">
      <formula1>=Configurações!$H$36:$H$40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inlineStr">
        <is>
          <t>💳  Controle de Contas — Caixa e Banco</t>
        </is>
      </c>
    </row>
    <row r="2" ht="28" customHeight="1">
      <c r="A2" s="14" t="inlineStr">
        <is>
          <t>Conta</t>
        </is>
      </c>
      <c r="B2" s="14" t="inlineStr">
        <is>
          <t>Saldo Inicial</t>
        </is>
      </c>
      <c r="C2" s="14" t="inlineStr">
        <is>
          <t>Entradas</t>
        </is>
      </c>
      <c r="D2" s="14" t="inlineStr">
        <is>
          <t>Saídas</t>
        </is>
      </c>
      <c r="E2" s="14" t="inlineStr">
        <is>
          <t>Saldo Atual</t>
        </is>
      </c>
    </row>
    <row r="3">
      <c r="A3" s="2" t="inlineStr">
        <is>
          <t>Caixa</t>
        </is>
      </c>
      <c r="B3" s="13">
        <f>Configurações!$B$8</f>
        <v/>
      </c>
      <c r="C3" s="13">
        <f>SOMASE('Dízimos Mensais'!$G$3:$G$502;A3;'Dízimos Mensais'!$E$3:$E$502)+SOMASE(Doações!$E$3:$E$502;A3;Doações!$D$3:$D$502)+SOMASE('Arrecadação das Missas'!$E$3:$E$502;A3;'Arrecadação das Missas'!$D$3:$D$502)</f>
        <v/>
      </c>
      <c r="D3" s="13">
        <f>SOMASE(Gastos!$G$3:$G$502;A3;Gastos!$F$3:$F$502)</f>
        <v/>
      </c>
      <c r="E3" s="13">
        <f>B3+C3-D3</f>
        <v/>
      </c>
    </row>
    <row r="4">
      <c r="A4" s="2" t="inlineStr">
        <is>
          <t>Banco</t>
        </is>
      </c>
      <c r="B4" s="13">
        <f>Configurações!$B$9</f>
        <v/>
      </c>
      <c r="C4" s="13">
        <f>SOMASE('Dízimos Mensais'!$G$3:$G$502;A4;'Dízimos Mensais'!$E$3:$E$502)+SOMASE(Doações!$E$3:$E$502;A4;Doações!$D$3:$D$502)+SOMASE('Arrecadação das Missas'!$E$3:$E$502;A4;'Arrecadação das Missas'!$D$3:$D$502)</f>
        <v/>
      </c>
      <c r="D4" s="13">
        <f>SOMASE(Gastos!$G$3:$G$502;A4;Gastos!$F$3:$F$502)</f>
        <v/>
      </c>
      <c r="E4" s="13">
        <f>B4+C4-D4</f>
        <v/>
      </c>
    </row>
    <row r="5">
      <c r="A5" s="18" t="inlineStr">
        <is>
          <t>TOTAL</t>
        </is>
      </c>
      <c r="B5" s="19">
        <f>SOMA(B3:B4)</f>
        <v/>
      </c>
      <c r="C5" s="19">
        <f>SOMA(C3:C4)</f>
        <v/>
      </c>
      <c r="D5" s="19">
        <f>SOMA(D3:D4)</f>
        <v/>
      </c>
      <c r="E5" s="19">
        <f>SOMA(E3:E4)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2A4A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 ht="40" customHeight="1">
      <c r="A1" s="1" t="inlineStr">
        <is>
          <t>📊  Resumo Financeiro Anual</t>
        </is>
      </c>
    </row>
    <row r="2" ht="28" customHeight="1">
      <c r="A2" s="14" t="inlineStr">
        <is>
          <t>Mês</t>
        </is>
      </c>
      <c r="B2" s="14" t="inlineStr">
        <is>
          <t>Dízimos</t>
        </is>
      </c>
      <c r="C2" s="14" t="inlineStr">
        <is>
          <t>Doações</t>
        </is>
      </c>
      <c r="D2" s="14" t="inlineStr">
        <is>
          <t>Missas</t>
        </is>
      </c>
      <c r="E2" s="14" t="inlineStr">
        <is>
          <t>Total Entradas</t>
        </is>
      </c>
      <c r="F2" s="14" t="inlineStr">
        <is>
          <t>Gastos</t>
        </is>
      </c>
      <c r="G2" s="14" t="inlineStr">
        <is>
          <t>Saldo do Mês</t>
        </is>
      </c>
      <c r="H2" s="14" t="inlineStr">
        <is>
          <t>Meta</t>
        </is>
      </c>
      <c r="I2" s="14" t="inlineStr">
        <is>
          <t>% Meta</t>
        </is>
      </c>
    </row>
    <row r="3">
      <c r="A3" s="20" t="inlineStr">
        <is>
          <t>Janeiro</t>
        </is>
      </c>
      <c r="B3" s="21">
        <f>SOMASE('Dízimos Mensais'!$D$3:$D$502;A3;'Dízimos Mensais'!$E$3:$E$502)</f>
        <v/>
      </c>
      <c r="C3" s="21">
        <f>SOMASES(Doações!$D$3:$D$502;Doações!$A$3:$A$502;"&gt;="&amp;DATA(Configurações!$B$3;1;1);Doações!$A$3:$A$502;"&lt;="&amp;FIM.MÊS(DATA(Configurações!$B$3;1;1)))</f>
        <v/>
      </c>
      <c r="D3" s="21">
        <f>SOMASE('Arrecadação das Missas'!$C$3:$C$502;A3;'Arrecadação das Missas'!$D$3:$D$502)</f>
        <v/>
      </c>
      <c r="E3" s="21">
        <f>SOMA(B3:D3)</f>
        <v/>
      </c>
      <c r="F3" s="21">
        <f>SOMASES(Gastos!$F$3:$F$502;Gastos!$A$3:$A$502;"&gt;="&amp;DATA(Configurações!$B$3;1;1);Gastos!$A$3:$A$502;"&lt;="&amp;FIM.MÊS(DATA(Configurações!$B$3;1;1)))</f>
        <v/>
      </c>
      <c r="G3" s="21">
        <f>E3-F3</f>
        <v/>
      </c>
      <c r="H3" s="21">
        <f>ÍNDICE(Configurações!$B$14:$M$14;1)</f>
        <v/>
      </c>
      <c r="I3" s="22">
        <f>SE(H3=0;"";E3/H3)</f>
        <v/>
      </c>
    </row>
    <row r="4">
      <c r="A4" s="20" t="inlineStr">
        <is>
          <t>Fevereiro</t>
        </is>
      </c>
      <c r="B4" s="21">
        <f>SOMASE('Dízimos Mensais'!$D$3:$D$502;A4;'Dízimos Mensais'!$E$3:$E$502)</f>
        <v/>
      </c>
      <c r="C4" s="21">
        <f>SOMASES(Doações!$D$3:$D$502;Doações!$A$3:$A$502;"&gt;="&amp;DATA(Configurações!$B$3;2;1);Doações!$A$3:$A$502;"&lt;="&amp;FIM.MÊS(DATA(Configurações!$B$3;2;1)))</f>
        <v/>
      </c>
      <c r="D4" s="21">
        <f>SOMASE('Arrecadação das Missas'!$C$3:$C$502;A4;'Arrecadação das Missas'!$D$3:$D$502)</f>
        <v/>
      </c>
      <c r="E4" s="21">
        <f>SOMA(B4:D4)</f>
        <v/>
      </c>
      <c r="F4" s="21">
        <f>SOMASES(Gastos!$F$3:$F$502;Gastos!$A$3:$A$502;"&gt;="&amp;DATA(Configurações!$B$3;2;1);Gastos!$A$3:$A$502;"&lt;="&amp;FIM.MÊS(DATA(Configurações!$B$3;2;1)))</f>
        <v/>
      </c>
      <c r="G4" s="21">
        <f>E4-F4</f>
        <v/>
      </c>
      <c r="H4" s="21">
        <f>ÍNDICE(Configurações!$B$14:$M$14;2)</f>
        <v/>
      </c>
      <c r="I4" s="22">
        <f>SE(H4=0;"";E4/H4)</f>
        <v/>
      </c>
    </row>
    <row r="5">
      <c r="A5" s="20" t="inlineStr">
        <is>
          <t>Março</t>
        </is>
      </c>
      <c r="B5" s="21">
        <f>SOMASE('Dízimos Mensais'!$D$3:$D$502;A5;'Dízimos Mensais'!$E$3:$E$502)</f>
        <v/>
      </c>
      <c r="C5" s="21">
        <f>SOMASES(Doações!$D$3:$D$502;Doações!$A$3:$A$502;"&gt;="&amp;DATA(Configurações!$B$3;3;1);Doações!$A$3:$A$502;"&lt;="&amp;FIM.MÊS(DATA(Configurações!$B$3;3;1)))</f>
        <v/>
      </c>
      <c r="D5" s="21">
        <f>SOMASE('Arrecadação das Missas'!$C$3:$C$502;A5;'Arrecadação das Missas'!$D$3:$D$502)</f>
        <v/>
      </c>
      <c r="E5" s="21">
        <f>SOMA(B5:D5)</f>
        <v/>
      </c>
      <c r="F5" s="21">
        <f>SOMASES(Gastos!$F$3:$F$502;Gastos!$A$3:$A$502;"&gt;="&amp;DATA(Configurações!$B$3;3;1);Gastos!$A$3:$A$502;"&lt;="&amp;FIM.MÊS(DATA(Configurações!$B$3;3;1)))</f>
        <v/>
      </c>
      <c r="G5" s="21">
        <f>E5-F5</f>
        <v/>
      </c>
      <c r="H5" s="21">
        <f>ÍNDICE(Configurações!$B$14:$M$14;3)</f>
        <v/>
      </c>
      <c r="I5" s="22">
        <f>SE(H5=0;"";E5/H5)</f>
        <v/>
      </c>
    </row>
    <row r="6">
      <c r="A6" s="20" t="inlineStr">
        <is>
          <t>Abril</t>
        </is>
      </c>
      <c r="B6" s="21">
        <f>SOMASE('Dízimos Mensais'!$D$3:$D$502;A6;'Dízimos Mensais'!$E$3:$E$502)</f>
        <v/>
      </c>
      <c r="C6" s="21">
        <f>SOMASES(Doações!$D$3:$D$502;Doações!$A$3:$A$502;"&gt;="&amp;DATA(Configurações!$B$3;4;1);Doações!$A$3:$A$502;"&lt;="&amp;FIM.MÊS(DATA(Configurações!$B$3;4;1)))</f>
        <v/>
      </c>
      <c r="D6" s="21">
        <f>SOMASE('Arrecadação das Missas'!$C$3:$C$502;A6;'Arrecadação das Missas'!$D$3:$D$502)</f>
        <v/>
      </c>
      <c r="E6" s="21">
        <f>SOMA(B6:D6)</f>
        <v/>
      </c>
      <c r="F6" s="21">
        <f>SOMASES(Gastos!$F$3:$F$502;Gastos!$A$3:$A$502;"&gt;="&amp;DATA(Configurações!$B$3;4;1);Gastos!$A$3:$A$502;"&lt;="&amp;FIM.MÊS(DATA(Configurações!$B$3;4;1)))</f>
        <v/>
      </c>
      <c r="G6" s="21">
        <f>E6-F6</f>
        <v/>
      </c>
      <c r="H6" s="21">
        <f>ÍNDICE(Configurações!$B$14:$M$14;4)</f>
        <v/>
      </c>
      <c r="I6" s="22">
        <f>SE(H6=0;"";E6/H6)</f>
        <v/>
      </c>
    </row>
    <row r="7">
      <c r="A7" s="20" t="inlineStr">
        <is>
          <t>Maio</t>
        </is>
      </c>
      <c r="B7" s="21">
        <f>SOMASE('Dízimos Mensais'!$D$3:$D$502;A7;'Dízimos Mensais'!$E$3:$E$502)</f>
        <v/>
      </c>
      <c r="C7" s="21">
        <f>SOMASES(Doações!$D$3:$D$502;Doações!$A$3:$A$502;"&gt;="&amp;DATA(Configurações!$B$3;5;1);Doações!$A$3:$A$502;"&lt;="&amp;FIM.MÊS(DATA(Configurações!$B$3;5;1)))</f>
        <v/>
      </c>
      <c r="D7" s="21">
        <f>SOMASE('Arrecadação das Missas'!$C$3:$C$502;A7;'Arrecadação das Missas'!$D$3:$D$502)</f>
        <v/>
      </c>
      <c r="E7" s="21">
        <f>SOMA(B7:D7)</f>
        <v/>
      </c>
      <c r="F7" s="21">
        <f>SOMASES(Gastos!$F$3:$F$502;Gastos!$A$3:$A$502;"&gt;="&amp;DATA(Configurações!$B$3;5;1);Gastos!$A$3:$A$502;"&lt;="&amp;FIM.MÊS(DATA(Configurações!$B$3;5;1)))</f>
        <v/>
      </c>
      <c r="G7" s="21">
        <f>E7-F7</f>
        <v/>
      </c>
      <c r="H7" s="21">
        <f>ÍNDICE(Configurações!$B$14:$M$14;5)</f>
        <v/>
      </c>
      <c r="I7" s="22">
        <f>SE(H7=0;"";E7/H7)</f>
        <v/>
      </c>
    </row>
    <row r="8">
      <c r="A8" s="20" t="inlineStr">
        <is>
          <t>Junho</t>
        </is>
      </c>
      <c r="B8" s="21">
        <f>SOMASE('Dízimos Mensais'!$D$3:$D$502;A8;'Dízimos Mensais'!$E$3:$E$502)</f>
        <v/>
      </c>
      <c r="C8" s="21">
        <f>SOMASES(Doações!$D$3:$D$502;Doações!$A$3:$A$502;"&gt;="&amp;DATA(Configurações!$B$3;6;1);Doações!$A$3:$A$502;"&lt;="&amp;FIM.MÊS(DATA(Configurações!$B$3;6;1)))</f>
        <v/>
      </c>
      <c r="D8" s="21">
        <f>SOMASE('Arrecadação das Missas'!$C$3:$C$502;A8;'Arrecadação das Missas'!$D$3:$D$502)</f>
        <v/>
      </c>
      <c r="E8" s="21">
        <f>SOMA(B8:D8)</f>
        <v/>
      </c>
      <c r="F8" s="21">
        <f>SOMASES(Gastos!$F$3:$F$502;Gastos!$A$3:$A$502;"&gt;="&amp;DATA(Configurações!$B$3;6;1);Gastos!$A$3:$A$502;"&lt;="&amp;FIM.MÊS(DATA(Configurações!$B$3;6;1)))</f>
        <v/>
      </c>
      <c r="G8" s="21">
        <f>E8-F8</f>
        <v/>
      </c>
      <c r="H8" s="21">
        <f>ÍNDICE(Configurações!$B$14:$M$14;6)</f>
        <v/>
      </c>
      <c r="I8" s="22">
        <f>SE(H8=0;"";E8/H8)</f>
        <v/>
      </c>
    </row>
    <row r="9">
      <c r="A9" s="20" t="inlineStr">
        <is>
          <t>Julho</t>
        </is>
      </c>
      <c r="B9" s="21">
        <f>SOMASE('Dízimos Mensais'!$D$3:$D$502;A9;'Dízimos Mensais'!$E$3:$E$502)</f>
        <v/>
      </c>
      <c r="C9" s="21">
        <f>SOMASES(Doações!$D$3:$D$502;Doações!$A$3:$A$502;"&gt;="&amp;DATA(Configurações!$B$3;7;1);Doações!$A$3:$A$502;"&lt;="&amp;FIM.MÊS(DATA(Configurações!$B$3;7;1)))</f>
        <v/>
      </c>
      <c r="D9" s="21">
        <f>SOMASE('Arrecadação das Missas'!$C$3:$C$502;A9;'Arrecadação das Missas'!$D$3:$D$502)</f>
        <v/>
      </c>
      <c r="E9" s="21">
        <f>SOMA(B9:D9)</f>
        <v/>
      </c>
      <c r="F9" s="21">
        <f>SOMASES(Gastos!$F$3:$F$502;Gastos!$A$3:$A$502;"&gt;="&amp;DATA(Configurações!$B$3;7;1);Gastos!$A$3:$A$502;"&lt;="&amp;FIM.MÊS(DATA(Configurações!$B$3;7;1)))</f>
        <v/>
      </c>
      <c r="G9" s="21">
        <f>E9-F9</f>
        <v/>
      </c>
      <c r="H9" s="21">
        <f>ÍNDICE(Configurações!$B$14:$M$14;7)</f>
        <v/>
      </c>
      <c r="I9" s="22">
        <f>SE(H9=0;"";E9/H9)</f>
        <v/>
      </c>
    </row>
    <row r="10">
      <c r="A10" s="20" t="inlineStr">
        <is>
          <t>Agosto</t>
        </is>
      </c>
      <c r="B10" s="21">
        <f>SOMASE('Dízimos Mensais'!$D$3:$D$502;A10;'Dízimos Mensais'!$E$3:$E$502)</f>
        <v/>
      </c>
      <c r="C10" s="21">
        <f>SOMASES(Doações!$D$3:$D$502;Doações!$A$3:$A$502;"&gt;="&amp;DATA(Configurações!$B$3;8;1);Doações!$A$3:$A$502;"&lt;="&amp;FIM.MÊS(DATA(Configurações!$B$3;8;1)))</f>
        <v/>
      </c>
      <c r="D10" s="21">
        <f>SOMASE('Arrecadação das Missas'!$C$3:$C$502;A10;'Arrecadação das Missas'!$D$3:$D$502)</f>
        <v/>
      </c>
      <c r="E10" s="21">
        <f>SOMA(B10:D10)</f>
        <v/>
      </c>
      <c r="F10" s="21">
        <f>SOMASES(Gastos!$F$3:$F$502;Gastos!$A$3:$A$502;"&gt;="&amp;DATA(Configurações!$B$3;8;1);Gastos!$A$3:$A$502;"&lt;="&amp;FIM.MÊS(DATA(Configurações!$B$3;8;1)))</f>
        <v/>
      </c>
      <c r="G10" s="21">
        <f>E10-F10</f>
        <v/>
      </c>
      <c r="H10" s="21">
        <f>ÍNDICE(Configurações!$B$14:$M$14;8)</f>
        <v/>
      </c>
      <c r="I10" s="22">
        <f>SE(H10=0;"";E10/H10)</f>
        <v/>
      </c>
    </row>
    <row r="11">
      <c r="A11" s="20" t="inlineStr">
        <is>
          <t>Setembro</t>
        </is>
      </c>
      <c r="B11" s="21">
        <f>SOMASE('Dízimos Mensais'!$D$3:$D$502;A11;'Dízimos Mensais'!$E$3:$E$502)</f>
        <v/>
      </c>
      <c r="C11" s="21">
        <f>SOMASES(Doações!$D$3:$D$502;Doações!$A$3:$A$502;"&gt;="&amp;DATA(Configurações!$B$3;9;1);Doações!$A$3:$A$502;"&lt;="&amp;FIM.MÊS(DATA(Configurações!$B$3;9;1)))</f>
        <v/>
      </c>
      <c r="D11" s="21">
        <f>SOMASE('Arrecadação das Missas'!$C$3:$C$502;A11;'Arrecadação das Missas'!$D$3:$D$502)</f>
        <v/>
      </c>
      <c r="E11" s="21">
        <f>SOMA(B11:D11)</f>
        <v/>
      </c>
      <c r="F11" s="21">
        <f>SOMASES(Gastos!$F$3:$F$502;Gastos!$A$3:$A$502;"&gt;="&amp;DATA(Configurações!$B$3;9;1);Gastos!$A$3:$A$502;"&lt;="&amp;FIM.MÊS(DATA(Configurações!$B$3;9;1)))</f>
        <v/>
      </c>
      <c r="G11" s="21">
        <f>E11-F11</f>
        <v/>
      </c>
      <c r="H11" s="21">
        <f>ÍNDICE(Configurações!$B$14:$M$14;9)</f>
        <v/>
      </c>
      <c r="I11" s="22">
        <f>SE(H11=0;"";E11/H11)</f>
        <v/>
      </c>
    </row>
    <row r="12">
      <c r="A12" s="20" t="inlineStr">
        <is>
          <t>Outubro</t>
        </is>
      </c>
      <c r="B12" s="21">
        <f>SOMASE('Dízimos Mensais'!$D$3:$D$502;A12;'Dízimos Mensais'!$E$3:$E$502)</f>
        <v/>
      </c>
      <c r="C12" s="21">
        <f>SOMASES(Doações!$D$3:$D$502;Doações!$A$3:$A$502;"&gt;="&amp;DATA(Configurações!$B$3;10;1);Doações!$A$3:$A$502;"&lt;="&amp;FIM.MÊS(DATA(Configurações!$B$3;10;1)))</f>
        <v/>
      </c>
      <c r="D12" s="21">
        <f>SOMASE('Arrecadação das Missas'!$C$3:$C$502;A12;'Arrecadação das Missas'!$D$3:$D$502)</f>
        <v/>
      </c>
      <c r="E12" s="21">
        <f>SOMA(B12:D12)</f>
        <v/>
      </c>
      <c r="F12" s="21">
        <f>SOMASES(Gastos!$F$3:$F$502;Gastos!$A$3:$A$502;"&gt;="&amp;DATA(Configurações!$B$3;10;1);Gastos!$A$3:$A$502;"&lt;="&amp;FIM.MÊS(DATA(Configurações!$B$3;10;1)))</f>
        <v/>
      </c>
      <c r="G12" s="21">
        <f>E12-F12</f>
        <v/>
      </c>
      <c r="H12" s="21">
        <f>ÍNDICE(Configurações!$B$14:$M$14;10)</f>
        <v/>
      </c>
      <c r="I12" s="22">
        <f>SE(H12=0;"";E12/H12)</f>
        <v/>
      </c>
    </row>
    <row r="13">
      <c r="A13" s="20" t="inlineStr">
        <is>
          <t>Novembro</t>
        </is>
      </c>
      <c r="B13" s="21">
        <f>SOMASE('Dízimos Mensais'!$D$3:$D$502;A13;'Dízimos Mensais'!$E$3:$E$502)</f>
        <v/>
      </c>
      <c r="C13" s="21">
        <f>SOMASES(Doações!$D$3:$D$502;Doações!$A$3:$A$502;"&gt;="&amp;DATA(Configurações!$B$3;11;1);Doações!$A$3:$A$502;"&lt;="&amp;FIM.MÊS(DATA(Configurações!$B$3;11;1)))</f>
        <v/>
      </c>
      <c r="D13" s="21">
        <f>SOMASE('Arrecadação das Missas'!$C$3:$C$502;A13;'Arrecadação das Missas'!$D$3:$D$502)</f>
        <v/>
      </c>
      <c r="E13" s="21">
        <f>SOMA(B13:D13)</f>
        <v/>
      </c>
      <c r="F13" s="21">
        <f>SOMASES(Gastos!$F$3:$F$502;Gastos!$A$3:$A$502;"&gt;="&amp;DATA(Configurações!$B$3;11;1);Gastos!$A$3:$A$502;"&lt;="&amp;FIM.MÊS(DATA(Configurações!$B$3;11;1)))</f>
        <v/>
      </c>
      <c r="G13" s="21">
        <f>E13-F13</f>
        <v/>
      </c>
      <c r="H13" s="21">
        <f>ÍNDICE(Configurações!$B$14:$M$14;11)</f>
        <v/>
      </c>
      <c r="I13" s="22">
        <f>SE(H13=0;"";E13/H13)</f>
        <v/>
      </c>
    </row>
    <row r="14">
      <c r="A14" s="20" t="inlineStr">
        <is>
          <t>Dezembro</t>
        </is>
      </c>
      <c r="B14" s="21">
        <f>SOMASE('Dízimos Mensais'!$D$3:$D$502;A14;'Dízimos Mensais'!$E$3:$E$502)</f>
        <v/>
      </c>
      <c r="C14" s="21">
        <f>SOMASES(Doações!$D$3:$D$502;Doações!$A$3:$A$502;"&gt;="&amp;DATA(Configurações!$B$3;12;1);Doações!$A$3:$A$502;"&lt;="&amp;FIM.MÊS(DATA(Configurações!$B$3;12;1)))</f>
        <v/>
      </c>
      <c r="D14" s="21">
        <f>SOMASE('Arrecadação das Missas'!$C$3:$C$502;A14;'Arrecadação das Missas'!$D$3:$D$502)</f>
        <v/>
      </c>
      <c r="E14" s="21">
        <f>SOMA(B14:D14)</f>
        <v/>
      </c>
      <c r="F14" s="21">
        <f>SOMASES(Gastos!$F$3:$F$502;Gastos!$A$3:$A$502;"&gt;="&amp;DATA(Configurações!$B$3;12;1);Gastos!$A$3:$A$502;"&lt;="&amp;FIM.MÊS(DATA(Configurações!$B$3;12;1)))</f>
        <v/>
      </c>
      <c r="G14" s="21">
        <f>E14-F14</f>
        <v/>
      </c>
      <c r="H14" s="21">
        <f>ÍNDICE(Configurações!$B$14:$M$14;12)</f>
        <v/>
      </c>
      <c r="I14" s="22">
        <f>SE(H14=0;"";E14/H14)</f>
        <v/>
      </c>
    </row>
    <row r="15">
      <c r="A15" s="18" t="inlineStr">
        <is>
          <t>TOTAL ANUAL</t>
        </is>
      </c>
      <c r="B15" s="19">
        <f>SOMA(B3:B14)</f>
        <v/>
      </c>
      <c r="C15" s="19">
        <f>SOMA(C3:C14)</f>
        <v/>
      </c>
      <c r="D15" s="19">
        <f>SOMA(D3:D14)</f>
        <v/>
      </c>
      <c r="E15" s="19">
        <f>SOMA(E3:E14)</f>
        <v/>
      </c>
      <c r="F15" s="19">
        <f>SOMA(F3:F14)</f>
        <v/>
      </c>
      <c r="G15" s="19">
        <f>SOMA(G3:G14)</f>
        <v/>
      </c>
      <c r="H15" s="19">
        <f>SOMA(H3:H14)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I2"/>
  <mergeCells count="1">
    <mergeCell ref="A1:I1"/>
  </mergeCells>
  <conditionalFormatting sqref="F3:F14">
    <cfRule type="expression" priority="1" dxfId="0">
      <formula>F3&gt;E3</formula>
    </cfRule>
  </conditionalFormatting>
  <conditionalFormatting sqref="G3:G14">
    <cfRule type="expression" priority="2" dxfId="0">
      <formula>G3&lt;0</formula>
    </cfRule>
  </conditionalFormatting>
  <conditionalFormatting sqref="I3:I14">
    <cfRule type="expression" priority="3" dxfId="2">
      <formula>I3&gt;=1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2A4A"/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 ht="40" customHeight="1">
      <c r="A1" s="1" t="inlineStr">
        <is>
          <t>🏦  Conciliação Bancária</t>
        </is>
      </c>
    </row>
    <row r="2" ht="28" customHeight="1">
      <c r="A2" s="14" t="inlineStr">
        <is>
          <t>Data</t>
        </is>
      </c>
      <c r="B2" s="14" t="inlineStr">
        <is>
          <t>Descrição</t>
        </is>
      </c>
      <c r="C2" s="14" t="inlineStr">
        <is>
          <t>Valor Planilha</t>
        </is>
      </c>
      <c r="D2" s="14" t="inlineStr">
        <is>
          <t>Valor Extrato</t>
        </is>
      </c>
      <c r="E2" s="14" t="inlineStr">
        <is>
          <t>Diferença</t>
        </is>
      </c>
      <c r="F2" s="14" t="inlineStr">
        <is>
          <t>Conferido</t>
        </is>
      </c>
    </row>
    <row r="3">
      <c r="A3" s="15" t="n"/>
      <c r="B3" s="3" t="n"/>
      <c r="C3" s="17" t="n"/>
      <c r="D3" s="17" t="n"/>
      <c r="E3" s="13">
        <f>SE(OU(A3="";C3="";D3="");"";C3-D3)</f>
        <v/>
      </c>
      <c r="F3" s="4">
        <f>SE(OU(A3="";C3="";D3="");"";SE(C3=D3;"✅";"❌"))</f>
        <v/>
      </c>
    </row>
    <row r="4">
      <c r="A4" s="15" t="n"/>
      <c r="B4" s="3" t="n"/>
      <c r="C4" s="17" t="n"/>
      <c r="D4" s="17" t="n"/>
      <c r="E4" s="13">
        <f>SE(OU(A4="";C4="";D4="");"";C4-D4)</f>
        <v/>
      </c>
      <c r="F4" s="4">
        <f>SE(OU(A4="";C4="";D4="");"";SE(C4=D4;"✅";"❌"))</f>
        <v/>
      </c>
    </row>
    <row r="5">
      <c r="A5" s="15" t="n"/>
      <c r="B5" s="3" t="n"/>
      <c r="C5" s="17" t="n"/>
      <c r="D5" s="17" t="n"/>
      <c r="E5" s="13">
        <f>SE(OU(A5="";C5="";D5="");"";C5-D5)</f>
        <v/>
      </c>
      <c r="F5" s="4">
        <f>SE(OU(A5="";C5="";D5="");"";SE(C5=D5;"✅";"❌"))</f>
        <v/>
      </c>
    </row>
    <row r="6">
      <c r="A6" s="15" t="n"/>
      <c r="B6" s="3" t="n"/>
      <c r="C6" s="17" t="n"/>
      <c r="D6" s="17" t="n"/>
      <c r="E6" s="13">
        <f>SE(OU(A6="";C6="";D6="");"";C6-D6)</f>
        <v/>
      </c>
      <c r="F6" s="4">
        <f>SE(OU(A6="";C6="";D6="");"";SE(C6=D6;"✅";"❌"))</f>
        <v/>
      </c>
    </row>
    <row r="7">
      <c r="A7" s="15" t="n"/>
      <c r="B7" s="3" t="n"/>
      <c r="C7" s="17" t="n"/>
      <c r="D7" s="17" t="n"/>
      <c r="E7" s="13">
        <f>SE(OU(A7="";C7="";D7="");"";C7-D7)</f>
        <v/>
      </c>
      <c r="F7" s="4">
        <f>SE(OU(A7="";C7="";D7="");"";SE(C7=D7;"✅";"❌"))</f>
        <v/>
      </c>
    </row>
    <row r="8">
      <c r="A8" s="15" t="n"/>
      <c r="B8" s="3" t="n"/>
      <c r="C8" s="17" t="n"/>
      <c r="D8" s="17" t="n"/>
      <c r="E8" s="13">
        <f>SE(OU(A8="";C8="";D8="");"";C8-D8)</f>
        <v/>
      </c>
      <c r="F8" s="4">
        <f>SE(OU(A8="";C8="";D8="");"";SE(C8=D8;"✅";"❌"))</f>
        <v/>
      </c>
    </row>
    <row r="9">
      <c r="A9" s="15" t="n"/>
      <c r="B9" s="3" t="n"/>
      <c r="C9" s="17" t="n"/>
      <c r="D9" s="17" t="n"/>
      <c r="E9" s="13">
        <f>SE(OU(A9="";C9="";D9="");"";C9-D9)</f>
        <v/>
      </c>
      <c r="F9" s="4">
        <f>SE(OU(A9="";C9="";D9="");"";SE(C9=D9;"✅";"❌"))</f>
        <v/>
      </c>
    </row>
    <row r="10">
      <c r="A10" s="15" t="n"/>
      <c r="B10" s="3" t="n"/>
      <c r="C10" s="17" t="n"/>
      <c r="D10" s="17" t="n"/>
      <c r="E10" s="13">
        <f>SE(OU(A10="";C10="";D10="");"";C10-D10)</f>
        <v/>
      </c>
      <c r="F10" s="4">
        <f>SE(OU(A10="";C10="";D10="");"";SE(C10=D10;"✅";"❌"))</f>
        <v/>
      </c>
    </row>
    <row r="11">
      <c r="A11" s="15" t="n"/>
      <c r="B11" s="3" t="n"/>
      <c r="C11" s="17" t="n"/>
      <c r="D11" s="17" t="n"/>
      <c r="E11" s="13">
        <f>SE(OU(A11="";C11="";D11="");"";C11-D11)</f>
        <v/>
      </c>
      <c r="F11" s="4">
        <f>SE(OU(A11="";C11="";D11="");"";SE(C11=D11;"✅";"❌"))</f>
        <v/>
      </c>
    </row>
    <row r="12">
      <c r="A12" s="15" t="n"/>
      <c r="B12" s="3" t="n"/>
      <c r="C12" s="17" t="n"/>
      <c r="D12" s="17" t="n"/>
      <c r="E12" s="13">
        <f>SE(OU(A12="";C12="";D12="");"";C12-D12)</f>
        <v/>
      </c>
      <c r="F12" s="4">
        <f>SE(OU(A12="";C12="";D12="");"";SE(C12=D12;"✅";"❌"))</f>
        <v/>
      </c>
    </row>
    <row r="13">
      <c r="A13" s="15" t="n"/>
      <c r="B13" s="3" t="n"/>
      <c r="C13" s="17" t="n"/>
      <c r="D13" s="17" t="n"/>
      <c r="E13" s="13">
        <f>SE(OU(A13="";C13="";D13="");"";C13-D13)</f>
        <v/>
      </c>
      <c r="F13" s="4">
        <f>SE(OU(A13="";C13="";D13="");"";SE(C13=D13;"✅";"❌"))</f>
        <v/>
      </c>
    </row>
    <row r="14">
      <c r="A14" s="15" t="n"/>
      <c r="B14" s="3" t="n"/>
      <c r="C14" s="17" t="n"/>
      <c r="D14" s="17" t="n"/>
      <c r="E14" s="13">
        <f>SE(OU(A14="";C14="";D14="");"";C14-D14)</f>
        <v/>
      </c>
      <c r="F14" s="4">
        <f>SE(OU(A14="";C14="";D14="");"";SE(C14=D14;"✅";"❌"))</f>
        <v/>
      </c>
    </row>
    <row r="15">
      <c r="A15" s="15" t="n"/>
      <c r="B15" s="3" t="n"/>
      <c r="C15" s="17" t="n"/>
      <c r="D15" s="17" t="n"/>
      <c r="E15" s="13">
        <f>SE(OU(A15="";C15="";D15="");"";C15-D15)</f>
        <v/>
      </c>
      <c r="F15" s="4">
        <f>SE(OU(A15="";C15="";D15="");"";SE(C15=D15;"✅";"❌"))</f>
        <v/>
      </c>
    </row>
    <row r="16">
      <c r="A16" s="15" t="n"/>
      <c r="B16" s="3" t="n"/>
      <c r="C16" s="17" t="n"/>
      <c r="D16" s="17" t="n"/>
      <c r="E16" s="13">
        <f>SE(OU(A16="";C16="";D16="");"";C16-D16)</f>
        <v/>
      </c>
      <c r="F16" s="4">
        <f>SE(OU(A16="";C16="";D16="");"";SE(C16=D16;"✅";"❌"))</f>
        <v/>
      </c>
    </row>
    <row r="17">
      <c r="A17" s="15" t="n"/>
      <c r="B17" s="3" t="n"/>
      <c r="C17" s="17" t="n"/>
      <c r="D17" s="17" t="n"/>
      <c r="E17" s="13">
        <f>SE(OU(A17="";C17="";D17="");"";C17-D17)</f>
        <v/>
      </c>
      <c r="F17" s="4">
        <f>SE(OU(A17="";C17="";D17="");"";SE(C17=D17;"✅";"❌"))</f>
        <v/>
      </c>
    </row>
    <row r="18">
      <c r="A18" s="15" t="n"/>
      <c r="B18" s="3" t="n"/>
      <c r="C18" s="17" t="n"/>
      <c r="D18" s="17" t="n"/>
      <c r="E18" s="13">
        <f>SE(OU(A18="";C18="";D18="");"";C18-D18)</f>
        <v/>
      </c>
      <c r="F18" s="4">
        <f>SE(OU(A18="";C18="";D18="");"";SE(C18=D18;"✅";"❌"))</f>
        <v/>
      </c>
    </row>
    <row r="19">
      <c r="A19" s="15" t="n"/>
      <c r="B19" s="3" t="n"/>
      <c r="C19" s="17" t="n"/>
      <c r="D19" s="17" t="n"/>
      <c r="E19" s="13">
        <f>SE(OU(A19="";C19="";D19="");"";C19-D19)</f>
        <v/>
      </c>
      <c r="F19" s="4">
        <f>SE(OU(A19="";C19="";D19="");"";SE(C19=D19;"✅";"❌"))</f>
        <v/>
      </c>
    </row>
    <row r="20">
      <c r="A20" s="15" t="n"/>
      <c r="B20" s="3" t="n"/>
      <c r="C20" s="17" t="n"/>
      <c r="D20" s="17" t="n"/>
      <c r="E20" s="13">
        <f>SE(OU(A20="";C20="";D20="");"";C20-D20)</f>
        <v/>
      </c>
      <c r="F20" s="4">
        <f>SE(OU(A20="";C20="";D20="");"";SE(C20=D20;"✅";"❌"))</f>
        <v/>
      </c>
    </row>
    <row r="21">
      <c r="A21" s="15" t="n"/>
      <c r="B21" s="3" t="n"/>
      <c r="C21" s="17" t="n"/>
      <c r="D21" s="17" t="n"/>
      <c r="E21" s="13">
        <f>SE(OU(A21="";C21="";D21="");"";C21-D21)</f>
        <v/>
      </c>
      <c r="F21" s="4">
        <f>SE(OU(A21="";C21="";D21="");"";SE(C21=D21;"✅";"❌"))</f>
        <v/>
      </c>
    </row>
    <row r="22">
      <c r="A22" s="15" t="n"/>
      <c r="B22" s="3" t="n"/>
      <c r="C22" s="17" t="n"/>
      <c r="D22" s="17" t="n"/>
      <c r="E22" s="13">
        <f>SE(OU(A22="";C22="";D22="");"";C22-D22)</f>
        <v/>
      </c>
      <c r="F22" s="4">
        <f>SE(OU(A22="";C22="";D22="");"";SE(C22=D22;"✅";"❌"))</f>
        <v/>
      </c>
    </row>
    <row r="23">
      <c r="A23" s="15" t="n"/>
      <c r="B23" s="3" t="n"/>
      <c r="C23" s="17" t="n"/>
      <c r="D23" s="17" t="n"/>
      <c r="E23" s="13">
        <f>SE(OU(A23="";C23="";D23="");"";C23-D23)</f>
        <v/>
      </c>
      <c r="F23" s="4">
        <f>SE(OU(A23="";C23="";D23="");"";SE(C23=D23;"✅";"❌"))</f>
        <v/>
      </c>
    </row>
    <row r="24">
      <c r="A24" s="15" t="n"/>
      <c r="B24" s="3" t="n"/>
      <c r="C24" s="17" t="n"/>
      <c r="D24" s="17" t="n"/>
      <c r="E24" s="13">
        <f>SE(OU(A24="";C24="";D24="");"";C24-D24)</f>
        <v/>
      </c>
      <c r="F24" s="4">
        <f>SE(OU(A24="";C24="";D24="");"";SE(C24=D24;"✅";"❌"))</f>
        <v/>
      </c>
    </row>
    <row r="25">
      <c r="A25" s="15" t="n"/>
      <c r="B25" s="3" t="n"/>
      <c r="C25" s="17" t="n"/>
      <c r="D25" s="17" t="n"/>
      <c r="E25" s="13">
        <f>SE(OU(A25="";C25="";D25="");"";C25-D25)</f>
        <v/>
      </c>
      <c r="F25" s="4">
        <f>SE(OU(A25="";C25="";D25="");"";SE(C25=D25;"✅";"❌"))</f>
        <v/>
      </c>
    </row>
    <row r="26">
      <c r="A26" s="15" t="n"/>
      <c r="B26" s="3" t="n"/>
      <c r="C26" s="17" t="n"/>
      <c r="D26" s="17" t="n"/>
      <c r="E26" s="13">
        <f>SE(OU(A26="";C26="";D26="");"";C26-D26)</f>
        <v/>
      </c>
      <c r="F26" s="4">
        <f>SE(OU(A26="";C26="";D26="");"";SE(C26=D26;"✅";"❌"))</f>
        <v/>
      </c>
    </row>
    <row r="27">
      <c r="A27" s="15" t="n"/>
      <c r="B27" s="3" t="n"/>
      <c r="C27" s="17" t="n"/>
      <c r="D27" s="17" t="n"/>
      <c r="E27" s="13">
        <f>SE(OU(A27="";C27="";D27="");"";C27-D27)</f>
        <v/>
      </c>
      <c r="F27" s="4">
        <f>SE(OU(A27="";C27="";D27="");"";SE(C27=D27;"✅";"❌"))</f>
        <v/>
      </c>
    </row>
    <row r="28">
      <c r="A28" s="15" t="n"/>
      <c r="B28" s="3" t="n"/>
      <c r="C28" s="17" t="n"/>
      <c r="D28" s="17" t="n"/>
      <c r="E28" s="13">
        <f>SE(OU(A28="";C28="";D28="");"";C28-D28)</f>
        <v/>
      </c>
      <c r="F28" s="4">
        <f>SE(OU(A28="";C28="";D28="");"";SE(C28=D28;"✅";"❌"))</f>
        <v/>
      </c>
    </row>
    <row r="29">
      <c r="A29" s="15" t="n"/>
      <c r="B29" s="3" t="n"/>
      <c r="C29" s="17" t="n"/>
      <c r="D29" s="17" t="n"/>
      <c r="E29" s="13">
        <f>SE(OU(A29="";C29="";D29="");"";C29-D29)</f>
        <v/>
      </c>
      <c r="F29" s="4">
        <f>SE(OU(A29="";C29="";D29="");"";SE(C29=D29;"✅";"❌"))</f>
        <v/>
      </c>
    </row>
    <row r="30">
      <c r="A30" s="15" t="n"/>
      <c r="B30" s="3" t="n"/>
      <c r="C30" s="17" t="n"/>
      <c r="D30" s="17" t="n"/>
      <c r="E30" s="13">
        <f>SE(OU(A30="";C30="";D30="");"";C30-D30)</f>
        <v/>
      </c>
      <c r="F30" s="4">
        <f>SE(OU(A30="";C30="";D30="");"";SE(C30=D30;"✅";"❌"))</f>
        <v/>
      </c>
    </row>
    <row r="31">
      <c r="A31" s="15" t="n"/>
      <c r="B31" s="3" t="n"/>
      <c r="C31" s="17" t="n"/>
      <c r="D31" s="17" t="n"/>
      <c r="E31" s="13">
        <f>SE(OU(A31="";C31="";D31="");"";C31-D31)</f>
        <v/>
      </c>
      <c r="F31" s="4">
        <f>SE(OU(A31="";C31="";D31="");"";SE(C31=D31;"✅";"❌"))</f>
        <v/>
      </c>
    </row>
    <row r="32">
      <c r="A32" s="15" t="n"/>
      <c r="B32" s="3" t="n"/>
      <c r="C32" s="17" t="n"/>
      <c r="D32" s="17" t="n"/>
      <c r="E32" s="13">
        <f>SE(OU(A32="";C32="";D32="");"";C32-D32)</f>
        <v/>
      </c>
      <c r="F32" s="4">
        <f>SE(OU(A32="";C32="";D32="");"";SE(C32=D32;"✅";"❌"))</f>
        <v/>
      </c>
    </row>
    <row r="33">
      <c r="A33" s="15" t="n"/>
      <c r="B33" s="3" t="n"/>
      <c r="C33" s="17" t="n"/>
      <c r="D33" s="17" t="n"/>
      <c r="E33" s="13">
        <f>SE(OU(A33="";C33="";D33="");"";C33-D33)</f>
        <v/>
      </c>
      <c r="F33" s="4">
        <f>SE(OU(A33="";C33="";D33="");"";SE(C33=D33;"✅";"❌"))</f>
        <v/>
      </c>
    </row>
    <row r="34">
      <c r="A34" s="15" t="n"/>
      <c r="B34" s="3" t="n"/>
      <c r="C34" s="17" t="n"/>
      <c r="D34" s="17" t="n"/>
      <c r="E34" s="13">
        <f>SE(OU(A34="";C34="";D34="");"";C34-D34)</f>
        <v/>
      </c>
      <c r="F34" s="4">
        <f>SE(OU(A34="";C34="";D34="");"";SE(C34=D34;"✅";"❌"))</f>
        <v/>
      </c>
    </row>
    <row r="35">
      <c r="A35" s="15" t="n"/>
      <c r="B35" s="3" t="n"/>
      <c r="C35" s="17" t="n"/>
      <c r="D35" s="17" t="n"/>
      <c r="E35" s="13">
        <f>SE(OU(A35="";C35="";D35="");"";C35-D35)</f>
        <v/>
      </c>
      <c r="F35" s="4">
        <f>SE(OU(A35="";C35="";D35="");"";SE(C35=D35;"✅";"❌"))</f>
        <v/>
      </c>
    </row>
    <row r="36">
      <c r="A36" s="15" t="n"/>
      <c r="B36" s="3" t="n"/>
      <c r="C36" s="17" t="n"/>
      <c r="D36" s="17" t="n"/>
      <c r="E36" s="13">
        <f>SE(OU(A36="";C36="";D36="");"";C36-D36)</f>
        <v/>
      </c>
      <c r="F36" s="4">
        <f>SE(OU(A36="";C36="";D36="");"";SE(C36=D36;"✅";"❌"))</f>
        <v/>
      </c>
    </row>
    <row r="37">
      <c r="A37" s="15" t="n"/>
      <c r="B37" s="3" t="n"/>
      <c r="C37" s="17" t="n"/>
      <c r="D37" s="17" t="n"/>
      <c r="E37" s="13">
        <f>SE(OU(A37="";C37="";D37="");"";C37-D37)</f>
        <v/>
      </c>
      <c r="F37" s="4">
        <f>SE(OU(A37="";C37="";D37="");"";SE(C37=D37;"✅";"❌"))</f>
        <v/>
      </c>
    </row>
    <row r="38">
      <c r="A38" s="15" t="n"/>
      <c r="B38" s="3" t="n"/>
      <c r="C38" s="17" t="n"/>
      <c r="D38" s="17" t="n"/>
      <c r="E38" s="13">
        <f>SE(OU(A38="";C38="";D38="");"";C38-D38)</f>
        <v/>
      </c>
      <c r="F38" s="4">
        <f>SE(OU(A38="";C38="";D38="");"";SE(C38=D38;"✅";"❌"))</f>
        <v/>
      </c>
    </row>
    <row r="39">
      <c r="A39" s="15" t="n"/>
      <c r="B39" s="3" t="n"/>
      <c r="C39" s="17" t="n"/>
      <c r="D39" s="17" t="n"/>
      <c r="E39" s="13">
        <f>SE(OU(A39="";C39="";D39="");"";C39-D39)</f>
        <v/>
      </c>
      <c r="F39" s="4">
        <f>SE(OU(A39="";C39="";D39="");"";SE(C39=D39;"✅";"❌"))</f>
        <v/>
      </c>
    </row>
    <row r="40">
      <c r="A40" s="15" t="n"/>
      <c r="B40" s="3" t="n"/>
      <c r="C40" s="17" t="n"/>
      <c r="D40" s="17" t="n"/>
      <c r="E40" s="13">
        <f>SE(OU(A40="";C40="";D40="");"";C40-D40)</f>
        <v/>
      </c>
      <c r="F40" s="4">
        <f>SE(OU(A40="";C40="";D40="");"";SE(C40=D40;"✅";"❌"))</f>
        <v/>
      </c>
    </row>
    <row r="41">
      <c r="A41" s="15" t="n"/>
      <c r="B41" s="3" t="n"/>
      <c r="C41" s="17" t="n"/>
      <c r="D41" s="17" t="n"/>
      <c r="E41" s="13">
        <f>SE(OU(A41="";C41="";D41="");"";C41-D41)</f>
        <v/>
      </c>
      <c r="F41" s="4">
        <f>SE(OU(A41="";C41="";D41="");"";SE(C41=D41;"✅";"❌"))</f>
        <v/>
      </c>
    </row>
    <row r="42">
      <c r="A42" s="15" t="n"/>
      <c r="B42" s="3" t="n"/>
      <c r="C42" s="17" t="n"/>
      <c r="D42" s="17" t="n"/>
      <c r="E42" s="13">
        <f>SE(OU(A42="";C42="";D42="");"";C42-D42)</f>
        <v/>
      </c>
      <c r="F42" s="4">
        <f>SE(OU(A42="";C42="";D42="");"";SE(C42=D42;"✅";"❌"))</f>
        <v/>
      </c>
    </row>
    <row r="43">
      <c r="A43" s="15" t="n"/>
      <c r="B43" s="3" t="n"/>
      <c r="C43" s="17" t="n"/>
      <c r="D43" s="17" t="n"/>
      <c r="E43" s="13">
        <f>SE(OU(A43="";C43="";D43="");"";C43-D43)</f>
        <v/>
      </c>
      <c r="F43" s="4">
        <f>SE(OU(A43="";C43="";D43="");"";SE(C43=D43;"✅";"❌"))</f>
        <v/>
      </c>
    </row>
    <row r="44">
      <c r="A44" s="15" t="n"/>
      <c r="B44" s="3" t="n"/>
      <c r="C44" s="17" t="n"/>
      <c r="D44" s="17" t="n"/>
      <c r="E44" s="13">
        <f>SE(OU(A44="";C44="";D44="");"";C44-D44)</f>
        <v/>
      </c>
      <c r="F44" s="4">
        <f>SE(OU(A44="";C44="";D44="");"";SE(C44=D44;"✅";"❌"))</f>
        <v/>
      </c>
    </row>
    <row r="45">
      <c r="A45" s="15" t="n"/>
      <c r="B45" s="3" t="n"/>
      <c r="C45" s="17" t="n"/>
      <c r="D45" s="17" t="n"/>
      <c r="E45" s="13">
        <f>SE(OU(A45="";C45="";D45="");"";C45-D45)</f>
        <v/>
      </c>
      <c r="F45" s="4">
        <f>SE(OU(A45="";C45="";D45="");"";SE(C45=D45;"✅";"❌"))</f>
        <v/>
      </c>
    </row>
    <row r="46">
      <c r="A46" s="15" t="n"/>
      <c r="B46" s="3" t="n"/>
      <c r="C46" s="17" t="n"/>
      <c r="D46" s="17" t="n"/>
      <c r="E46" s="13">
        <f>SE(OU(A46="";C46="";D46="");"";C46-D46)</f>
        <v/>
      </c>
      <c r="F46" s="4">
        <f>SE(OU(A46="";C46="";D46="");"";SE(C46=D46;"✅";"❌"))</f>
        <v/>
      </c>
    </row>
    <row r="47">
      <c r="A47" s="15" t="n"/>
      <c r="B47" s="3" t="n"/>
      <c r="C47" s="17" t="n"/>
      <c r="D47" s="17" t="n"/>
      <c r="E47" s="13">
        <f>SE(OU(A47="";C47="";D47="");"";C47-D47)</f>
        <v/>
      </c>
      <c r="F47" s="4">
        <f>SE(OU(A47="";C47="";D47="");"";SE(C47=D47;"✅";"❌"))</f>
        <v/>
      </c>
    </row>
    <row r="48">
      <c r="A48" s="15" t="n"/>
      <c r="B48" s="3" t="n"/>
      <c r="C48" s="17" t="n"/>
      <c r="D48" s="17" t="n"/>
      <c r="E48" s="13">
        <f>SE(OU(A48="";C48="";D48="");"";C48-D48)</f>
        <v/>
      </c>
      <c r="F48" s="4">
        <f>SE(OU(A48="";C48="";D48="");"";SE(C48=D48;"✅";"❌"))</f>
        <v/>
      </c>
    </row>
    <row r="49">
      <c r="A49" s="15" t="n"/>
      <c r="B49" s="3" t="n"/>
      <c r="C49" s="17" t="n"/>
      <c r="D49" s="17" t="n"/>
      <c r="E49" s="13">
        <f>SE(OU(A49="";C49="";D49="");"";C49-D49)</f>
        <v/>
      </c>
      <c r="F49" s="4">
        <f>SE(OU(A49="";C49="";D49="");"";SE(C49=D49;"✅";"❌"))</f>
        <v/>
      </c>
    </row>
    <row r="50">
      <c r="A50" s="15" t="n"/>
      <c r="B50" s="3" t="n"/>
      <c r="C50" s="17" t="n"/>
      <c r="D50" s="17" t="n"/>
      <c r="E50" s="13">
        <f>SE(OU(A50="";C50="";D50="");"";C50-D50)</f>
        <v/>
      </c>
      <c r="F50" s="4">
        <f>SE(OU(A50="";C50="";D50="");"";SE(C50=D50;"✅";"❌"))</f>
        <v/>
      </c>
    </row>
    <row r="51">
      <c r="A51" s="15" t="n"/>
      <c r="B51" s="3" t="n"/>
      <c r="C51" s="17" t="n"/>
      <c r="D51" s="17" t="n"/>
      <c r="E51" s="13">
        <f>SE(OU(A51="";C51="";D51="");"";C51-D51)</f>
        <v/>
      </c>
      <c r="F51" s="4">
        <f>SE(OU(A51="";C51="";D51="");"";SE(C51=D51;"✅";"❌"))</f>
        <v/>
      </c>
    </row>
    <row r="52">
      <c r="A52" s="15" t="n"/>
      <c r="B52" s="3" t="n"/>
      <c r="C52" s="17" t="n"/>
      <c r="D52" s="17" t="n"/>
      <c r="E52" s="13">
        <f>SE(OU(A52="";C52="";D52="");"";C52-D52)</f>
        <v/>
      </c>
      <c r="F52" s="4">
        <f>SE(OU(A52="";C52="";D52="");"";SE(C52=D52;"✅";"❌"))</f>
        <v/>
      </c>
    </row>
    <row r="53">
      <c r="A53" s="15" t="n"/>
      <c r="B53" s="3" t="n"/>
      <c r="C53" s="17" t="n"/>
      <c r="D53" s="17" t="n"/>
      <c r="E53" s="13">
        <f>SE(OU(A53="";C53="";D53="");"";C53-D53)</f>
        <v/>
      </c>
      <c r="F53" s="4">
        <f>SE(OU(A53="";C53="";D53="");"";SE(C53=D53;"✅";"❌"))</f>
        <v/>
      </c>
    </row>
    <row r="54">
      <c r="A54" s="15" t="n"/>
      <c r="B54" s="3" t="n"/>
      <c r="C54" s="17" t="n"/>
      <c r="D54" s="17" t="n"/>
      <c r="E54" s="13">
        <f>SE(OU(A54="";C54="";D54="");"";C54-D54)</f>
        <v/>
      </c>
      <c r="F54" s="4">
        <f>SE(OU(A54="";C54="";D54="");"";SE(C54=D54;"✅";"❌"))</f>
        <v/>
      </c>
    </row>
    <row r="55">
      <c r="A55" s="15" t="n"/>
      <c r="B55" s="3" t="n"/>
      <c r="C55" s="17" t="n"/>
      <c r="D55" s="17" t="n"/>
      <c r="E55" s="13">
        <f>SE(OU(A55="";C55="";D55="");"";C55-D55)</f>
        <v/>
      </c>
      <c r="F55" s="4">
        <f>SE(OU(A55="";C55="";D55="");"";SE(C55=D55;"✅";"❌"))</f>
        <v/>
      </c>
    </row>
    <row r="56">
      <c r="A56" s="15" t="n"/>
      <c r="B56" s="3" t="n"/>
      <c r="C56" s="17" t="n"/>
      <c r="D56" s="17" t="n"/>
      <c r="E56" s="13">
        <f>SE(OU(A56="";C56="";D56="");"";C56-D56)</f>
        <v/>
      </c>
      <c r="F56" s="4">
        <f>SE(OU(A56="";C56="";D56="");"";SE(C56=D56;"✅";"❌"))</f>
        <v/>
      </c>
    </row>
    <row r="57">
      <c r="A57" s="15" t="n"/>
      <c r="B57" s="3" t="n"/>
      <c r="C57" s="17" t="n"/>
      <c r="D57" s="17" t="n"/>
      <c r="E57" s="13">
        <f>SE(OU(A57="";C57="";D57="");"";C57-D57)</f>
        <v/>
      </c>
      <c r="F57" s="4">
        <f>SE(OU(A57="";C57="";D57="");"";SE(C57=D57;"✅";"❌"))</f>
        <v/>
      </c>
    </row>
    <row r="58">
      <c r="A58" s="15" t="n"/>
      <c r="B58" s="3" t="n"/>
      <c r="C58" s="17" t="n"/>
      <c r="D58" s="17" t="n"/>
      <c r="E58" s="13">
        <f>SE(OU(A58="";C58="";D58="");"";C58-D58)</f>
        <v/>
      </c>
      <c r="F58" s="4">
        <f>SE(OU(A58="";C58="";D58="");"";SE(C58=D58;"✅";"❌"))</f>
        <v/>
      </c>
    </row>
    <row r="59">
      <c r="A59" s="15" t="n"/>
      <c r="B59" s="3" t="n"/>
      <c r="C59" s="17" t="n"/>
      <c r="D59" s="17" t="n"/>
      <c r="E59" s="13">
        <f>SE(OU(A59="";C59="";D59="");"";C59-D59)</f>
        <v/>
      </c>
      <c r="F59" s="4">
        <f>SE(OU(A59="";C59="";D59="");"";SE(C59=D59;"✅";"❌"))</f>
        <v/>
      </c>
    </row>
    <row r="60">
      <c r="A60" s="15" t="n"/>
      <c r="B60" s="3" t="n"/>
      <c r="C60" s="17" t="n"/>
      <c r="D60" s="17" t="n"/>
      <c r="E60" s="13">
        <f>SE(OU(A60="";C60="";D60="");"";C60-D60)</f>
        <v/>
      </c>
      <c r="F60" s="4">
        <f>SE(OU(A60="";C60="";D60="");"";SE(C60=D60;"✅";"❌"))</f>
        <v/>
      </c>
    </row>
    <row r="61">
      <c r="A61" s="15" t="n"/>
      <c r="B61" s="3" t="n"/>
      <c r="C61" s="17" t="n"/>
      <c r="D61" s="17" t="n"/>
      <c r="E61" s="13">
        <f>SE(OU(A61="";C61="";D61="");"";C61-D61)</f>
        <v/>
      </c>
      <c r="F61" s="4">
        <f>SE(OU(A61="";C61="";D61="");"";SE(C61=D61;"✅";"❌"))</f>
        <v/>
      </c>
    </row>
    <row r="62">
      <c r="A62" s="15" t="n"/>
      <c r="B62" s="3" t="n"/>
      <c r="C62" s="17" t="n"/>
      <c r="D62" s="17" t="n"/>
      <c r="E62" s="13">
        <f>SE(OU(A62="";C62="";D62="");"";C62-D62)</f>
        <v/>
      </c>
      <c r="F62" s="4">
        <f>SE(OU(A62="";C62="";D62="");"";SE(C62=D62;"✅";"❌"))</f>
        <v/>
      </c>
    </row>
    <row r="63">
      <c r="A63" s="15" t="n"/>
      <c r="B63" s="3" t="n"/>
      <c r="C63" s="17" t="n"/>
      <c r="D63" s="17" t="n"/>
      <c r="E63" s="13">
        <f>SE(OU(A63="";C63="";D63="");"";C63-D63)</f>
        <v/>
      </c>
      <c r="F63" s="4">
        <f>SE(OU(A63="";C63="";D63="");"";SE(C63=D63;"✅";"❌"))</f>
        <v/>
      </c>
    </row>
    <row r="64">
      <c r="A64" s="15" t="n"/>
      <c r="B64" s="3" t="n"/>
      <c r="C64" s="17" t="n"/>
      <c r="D64" s="17" t="n"/>
      <c r="E64" s="13">
        <f>SE(OU(A64="";C64="";D64="");"";C64-D64)</f>
        <v/>
      </c>
      <c r="F64" s="4">
        <f>SE(OU(A64="";C64="";D64="");"";SE(C64=D64;"✅";"❌"))</f>
        <v/>
      </c>
    </row>
    <row r="65">
      <c r="A65" s="15" t="n"/>
      <c r="B65" s="3" t="n"/>
      <c r="C65" s="17" t="n"/>
      <c r="D65" s="17" t="n"/>
      <c r="E65" s="13">
        <f>SE(OU(A65="";C65="";D65="");"";C65-D65)</f>
        <v/>
      </c>
      <c r="F65" s="4">
        <f>SE(OU(A65="";C65="";D65="");"";SE(C65=D65;"✅";"❌"))</f>
        <v/>
      </c>
    </row>
    <row r="66">
      <c r="A66" s="15" t="n"/>
      <c r="B66" s="3" t="n"/>
      <c r="C66" s="17" t="n"/>
      <c r="D66" s="17" t="n"/>
      <c r="E66" s="13">
        <f>SE(OU(A66="";C66="";D66="");"";C66-D66)</f>
        <v/>
      </c>
      <c r="F66" s="4">
        <f>SE(OU(A66="";C66="";D66="");"";SE(C66=D66;"✅";"❌"))</f>
        <v/>
      </c>
    </row>
    <row r="67">
      <c r="A67" s="15" t="n"/>
      <c r="B67" s="3" t="n"/>
      <c r="C67" s="17" t="n"/>
      <c r="D67" s="17" t="n"/>
      <c r="E67" s="13">
        <f>SE(OU(A67="";C67="";D67="");"";C67-D67)</f>
        <v/>
      </c>
      <c r="F67" s="4">
        <f>SE(OU(A67="";C67="";D67="");"";SE(C67=D67;"✅";"❌"))</f>
        <v/>
      </c>
    </row>
    <row r="68">
      <c r="A68" s="15" t="n"/>
      <c r="B68" s="3" t="n"/>
      <c r="C68" s="17" t="n"/>
      <c r="D68" s="17" t="n"/>
      <c r="E68" s="13">
        <f>SE(OU(A68="";C68="";D68="");"";C68-D68)</f>
        <v/>
      </c>
      <c r="F68" s="4">
        <f>SE(OU(A68="";C68="";D68="");"";SE(C68=D68;"✅";"❌"))</f>
        <v/>
      </c>
    </row>
    <row r="69">
      <c r="A69" s="15" t="n"/>
      <c r="B69" s="3" t="n"/>
      <c r="C69" s="17" t="n"/>
      <c r="D69" s="17" t="n"/>
      <c r="E69" s="13">
        <f>SE(OU(A69="";C69="";D69="");"";C69-D69)</f>
        <v/>
      </c>
      <c r="F69" s="4">
        <f>SE(OU(A69="";C69="";D69="");"";SE(C69=D69;"✅";"❌"))</f>
        <v/>
      </c>
    </row>
    <row r="70">
      <c r="A70" s="15" t="n"/>
      <c r="B70" s="3" t="n"/>
      <c r="C70" s="17" t="n"/>
      <c r="D70" s="17" t="n"/>
      <c r="E70" s="13">
        <f>SE(OU(A70="";C70="";D70="");"";C70-D70)</f>
        <v/>
      </c>
      <c r="F70" s="4">
        <f>SE(OU(A70="";C70="";D70="");"";SE(C70=D70;"✅";"❌"))</f>
        <v/>
      </c>
    </row>
    <row r="71">
      <c r="A71" s="15" t="n"/>
      <c r="B71" s="3" t="n"/>
      <c r="C71" s="17" t="n"/>
      <c r="D71" s="17" t="n"/>
      <c r="E71" s="13">
        <f>SE(OU(A71="";C71="";D71="");"";C71-D71)</f>
        <v/>
      </c>
      <c r="F71" s="4">
        <f>SE(OU(A71="";C71="";D71="");"";SE(C71=D71;"✅";"❌"))</f>
        <v/>
      </c>
    </row>
    <row r="72">
      <c r="A72" s="15" t="n"/>
      <c r="B72" s="3" t="n"/>
      <c r="C72" s="17" t="n"/>
      <c r="D72" s="17" t="n"/>
      <c r="E72" s="13">
        <f>SE(OU(A72="";C72="";D72="");"";C72-D72)</f>
        <v/>
      </c>
      <c r="F72" s="4">
        <f>SE(OU(A72="";C72="";D72="");"";SE(C72=D72;"✅";"❌"))</f>
        <v/>
      </c>
    </row>
    <row r="73">
      <c r="A73" s="15" t="n"/>
      <c r="B73" s="3" t="n"/>
      <c r="C73" s="17" t="n"/>
      <c r="D73" s="17" t="n"/>
      <c r="E73" s="13">
        <f>SE(OU(A73="";C73="";D73="");"";C73-D73)</f>
        <v/>
      </c>
      <c r="F73" s="4">
        <f>SE(OU(A73="";C73="";D73="");"";SE(C73=D73;"✅";"❌"))</f>
        <v/>
      </c>
    </row>
    <row r="74">
      <c r="A74" s="15" t="n"/>
      <c r="B74" s="3" t="n"/>
      <c r="C74" s="17" t="n"/>
      <c r="D74" s="17" t="n"/>
      <c r="E74" s="13">
        <f>SE(OU(A74="";C74="";D74="");"";C74-D74)</f>
        <v/>
      </c>
      <c r="F74" s="4">
        <f>SE(OU(A74="";C74="";D74="");"";SE(C74=D74;"✅";"❌"))</f>
        <v/>
      </c>
    </row>
    <row r="75">
      <c r="A75" s="15" t="n"/>
      <c r="B75" s="3" t="n"/>
      <c r="C75" s="17" t="n"/>
      <c r="D75" s="17" t="n"/>
      <c r="E75" s="13">
        <f>SE(OU(A75="";C75="";D75="");"";C75-D75)</f>
        <v/>
      </c>
      <c r="F75" s="4">
        <f>SE(OU(A75="";C75="";D75="");"";SE(C75=D75;"✅";"❌"))</f>
        <v/>
      </c>
    </row>
    <row r="76">
      <c r="A76" s="15" t="n"/>
      <c r="B76" s="3" t="n"/>
      <c r="C76" s="17" t="n"/>
      <c r="D76" s="17" t="n"/>
      <c r="E76" s="13">
        <f>SE(OU(A76="";C76="";D76="");"";C76-D76)</f>
        <v/>
      </c>
      <c r="F76" s="4">
        <f>SE(OU(A76="";C76="";D76="");"";SE(C76=D76;"✅";"❌"))</f>
        <v/>
      </c>
    </row>
    <row r="77">
      <c r="A77" s="15" t="n"/>
      <c r="B77" s="3" t="n"/>
      <c r="C77" s="17" t="n"/>
      <c r="D77" s="17" t="n"/>
      <c r="E77" s="13">
        <f>SE(OU(A77="";C77="";D77="");"";C77-D77)</f>
        <v/>
      </c>
      <c r="F77" s="4">
        <f>SE(OU(A77="";C77="";D77="");"";SE(C77=D77;"✅";"❌"))</f>
        <v/>
      </c>
    </row>
    <row r="78">
      <c r="A78" s="15" t="n"/>
      <c r="B78" s="3" t="n"/>
      <c r="C78" s="17" t="n"/>
      <c r="D78" s="17" t="n"/>
      <c r="E78" s="13">
        <f>SE(OU(A78="";C78="";D78="");"";C78-D78)</f>
        <v/>
      </c>
      <c r="F78" s="4">
        <f>SE(OU(A78="";C78="";D78="");"";SE(C78=D78;"✅";"❌"))</f>
        <v/>
      </c>
    </row>
    <row r="79">
      <c r="A79" s="15" t="n"/>
      <c r="B79" s="3" t="n"/>
      <c r="C79" s="17" t="n"/>
      <c r="D79" s="17" t="n"/>
      <c r="E79" s="13">
        <f>SE(OU(A79="";C79="";D79="");"";C79-D79)</f>
        <v/>
      </c>
      <c r="F79" s="4">
        <f>SE(OU(A79="";C79="";D79="");"";SE(C79=D79;"✅";"❌"))</f>
        <v/>
      </c>
    </row>
    <row r="80">
      <c r="A80" s="15" t="n"/>
      <c r="B80" s="3" t="n"/>
      <c r="C80" s="17" t="n"/>
      <c r="D80" s="17" t="n"/>
      <c r="E80" s="13">
        <f>SE(OU(A80="";C80="";D80="");"";C80-D80)</f>
        <v/>
      </c>
      <c r="F80" s="4">
        <f>SE(OU(A80="";C80="";D80="");"";SE(C80=D80;"✅";"❌"))</f>
        <v/>
      </c>
    </row>
    <row r="81">
      <c r="A81" s="15" t="n"/>
      <c r="B81" s="3" t="n"/>
      <c r="C81" s="17" t="n"/>
      <c r="D81" s="17" t="n"/>
      <c r="E81" s="13">
        <f>SE(OU(A81="";C81="";D81="");"";C81-D81)</f>
        <v/>
      </c>
      <c r="F81" s="4">
        <f>SE(OU(A81="";C81="";D81="");"";SE(C81=D81;"✅";"❌"))</f>
        <v/>
      </c>
    </row>
    <row r="82">
      <c r="A82" s="15" t="n"/>
      <c r="B82" s="3" t="n"/>
      <c r="C82" s="17" t="n"/>
      <c r="D82" s="17" t="n"/>
      <c r="E82" s="13">
        <f>SE(OU(A82="";C82="";D82="");"";C82-D82)</f>
        <v/>
      </c>
      <c r="F82" s="4">
        <f>SE(OU(A82="";C82="";D82="");"";SE(C82=D82;"✅";"❌"))</f>
        <v/>
      </c>
    </row>
    <row r="83">
      <c r="A83" s="15" t="n"/>
      <c r="B83" s="3" t="n"/>
      <c r="C83" s="17" t="n"/>
      <c r="D83" s="17" t="n"/>
      <c r="E83" s="13">
        <f>SE(OU(A83="";C83="";D83="");"";C83-D83)</f>
        <v/>
      </c>
      <c r="F83" s="4">
        <f>SE(OU(A83="";C83="";D83="");"";SE(C83=D83;"✅";"❌"))</f>
        <v/>
      </c>
    </row>
    <row r="84">
      <c r="A84" s="15" t="n"/>
      <c r="B84" s="3" t="n"/>
      <c r="C84" s="17" t="n"/>
      <c r="D84" s="17" t="n"/>
      <c r="E84" s="13">
        <f>SE(OU(A84="";C84="";D84="");"";C84-D84)</f>
        <v/>
      </c>
      <c r="F84" s="4">
        <f>SE(OU(A84="";C84="";D84="");"";SE(C84=D84;"✅";"❌"))</f>
        <v/>
      </c>
    </row>
    <row r="85">
      <c r="A85" s="15" t="n"/>
      <c r="B85" s="3" t="n"/>
      <c r="C85" s="17" t="n"/>
      <c r="D85" s="17" t="n"/>
      <c r="E85" s="13">
        <f>SE(OU(A85="";C85="";D85="");"";C85-D85)</f>
        <v/>
      </c>
      <c r="F85" s="4">
        <f>SE(OU(A85="";C85="";D85="");"";SE(C85=D85;"✅";"❌"))</f>
        <v/>
      </c>
    </row>
    <row r="86">
      <c r="A86" s="15" t="n"/>
      <c r="B86" s="3" t="n"/>
      <c r="C86" s="17" t="n"/>
      <c r="D86" s="17" t="n"/>
      <c r="E86" s="13">
        <f>SE(OU(A86="";C86="";D86="");"";C86-D86)</f>
        <v/>
      </c>
      <c r="F86" s="4">
        <f>SE(OU(A86="";C86="";D86="");"";SE(C86=D86;"✅";"❌"))</f>
        <v/>
      </c>
    </row>
    <row r="87">
      <c r="A87" s="15" t="n"/>
      <c r="B87" s="3" t="n"/>
      <c r="C87" s="17" t="n"/>
      <c r="D87" s="17" t="n"/>
      <c r="E87" s="13">
        <f>SE(OU(A87="";C87="";D87="");"";C87-D87)</f>
        <v/>
      </c>
      <c r="F87" s="4">
        <f>SE(OU(A87="";C87="";D87="");"";SE(C87=D87;"✅";"❌"))</f>
        <v/>
      </c>
    </row>
    <row r="88">
      <c r="A88" s="15" t="n"/>
      <c r="B88" s="3" t="n"/>
      <c r="C88" s="17" t="n"/>
      <c r="D88" s="17" t="n"/>
      <c r="E88" s="13">
        <f>SE(OU(A88="";C88="";D88="");"";C88-D88)</f>
        <v/>
      </c>
      <c r="F88" s="4">
        <f>SE(OU(A88="";C88="";D88="");"";SE(C88=D88;"✅";"❌"))</f>
        <v/>
      </c>
    </row>
    <row r="89">
      <c r="A89" s="15" t="n"/>
      <c r="B89" s="3" t="n"/>
      <c r="C89" s="17" t="n"/>
      <c r="D89" s="17" t="n"/>
      <c r="E89" s="13">
        <f>SE(OU(A89="";C89="";D89="");"";C89-D89)</f>
        <v/>
      </c>
      <c r="F89" s="4">
        <f>SE(OU(A89="";C89="";D89="");"";SE(C89=D89;"✅";"❌"))</f>
        <v/>
      </c>
    </row>
    <row r="90">
      <c r="A90" s="15" t="n"/>
      <c r="B90" s="3" t="n"/>
      <c r="C90" s="17" t="n"/>
      <c r="D90" s="17" t="n"/>
      <c r="E90" s="13">
        <f>SE(OU(A90="";C90="";D90="");"";C90-D90)</f>
        <v/>
      </c>
      <c r="F90" s="4">
        <f>SE(OU(A90="";C90="";D90="");"";SE(C90=D90;"✅";"❌"))</f>
        <v/>
      </c>
    </row>
    <row r="91">
      <c r="A91" s="15" t="n"/>
      <c r="B91" s="3" t="n"/>
      <c r="C91" s="17" t="n"/>
      <c r="D91" s="17" t="n"/>
      <c r="E91" s="13">
        <f>SE(OU(A91="";C91="";D91="");"";C91-D91)</f>
        <v/>
      </c>
      <c r="F91" s="4">
        <f>SE(OU(A91="";C91="";D91="");"";SE(C91=D91;"✅";"❌"))</f>
        <v/>
      </c>
    </row>
    <row r="92">
      <c r="A92" s="15" t="n"/>
      <c r="B92" s="3" t="n"/>
      <c r="C92" s="17" t="n"/>
      <c r="D92" s="17" t="n"/>
      <c r="E92" s="13">
        <f>SE(OU(A92="";C92="";D92="");"";C92-D92)</f>
        <v/>
      </c>
      <c r="F92" s="4">
        <f>SE(OU(A92="";C92="";D92="");"";SE(C92=D92;"✅";"❌"))</f>
        <v/>
      </c>
    </row>
    <row r="93">
      <c r="A93" s="15" t="n"/>
      <c r="B93" s="3" t="n"/>
      <c r="C93" s="17" t="n"/>
      <c r="D93" s="17" t="n"/>
      <c r="E93" s="13">
        <f>SE(OU(A93="";C93="";D93="");"";C93-D93)</f>
        <v/>
      </c>
      <c r="F93" s="4">
        <f>SE(OU(A93="";C93="";D93="");"";SE(C93=D93;"✅";"❌"))</f>
        <v/>
      </c>
    </row>
    <row r="94">
      <c r="A94" s="15" t="n"/>
      <c r="B94" s="3" t="n"/>
      <c r="C94" s="17" t="n"/>
      <c r="D94" s="17" t="n"/>
      <c r="E94" s="13">
        <f>SE(OU(A94="";C94="";D94="");"";C94-D94)</f>
        <v/>
      </c>
      <c r="F94" s="4">
        <f>SE(OU(A94="";C94="";D94="");"";SE(C94=D94;"✅";"❌"))</f>
        <v/>
      </c>
    </row>
    <row r="95">
      <c r="A95" s="15" t="n"/>
      <c r="B95" s="3" t="n"/>
      <c r="C95" s="17" t="n"/>
      <c r="D95" s="17" t="n"/>
      <c r="E95" s="13">
        <f>SE(OU(A95="";C95="";D95="");"";C95-D95)</f>
        <v/>
      </c>
      <c r="F95" s="4">
        <f>SE(OU(A95="";C95="";D95="");"";SE(C95=D95;"✅";"❌"))</f>
        <v/>
      </c>
    </row>
    <row r="96">
      <c r="A96" s="15" t="n"/>
      <c r="B96" s="3" t="n"/>
      <c r="C96" s="17" t="n"/>
      <c r="D96" s="17" t="n"/>
      <c r="E96" s="13">
        <f>SE(OU(A96="";C96="";D96="");"";C96-D96)</f>
        <v/>
      </c>
      <c r="F96" s="4">
        <f>SE(OU(A96="";C96="";D96="");"";SE(C96=D96;"✅";"❌"))</f>
        <v/>
      </c>
    </row>
    <row r="97">
      <c r="A97" s="15" t="n"/>
      <c r="B97" s="3" t="n"/>
      <c r="C97" s="17" t="n"/>
      <c r="D97" s="17" t="n"/>
      <c r="E97" s="13">
        <f>SE(OU(A97="";C97="";D97="");"";C97-D97)</f>
        <v/>
      </c>
      <c r="F97" s="4">
        <f>SE(OU(A97="";C97="";D97="");"";SE(C97=D97;"✅";"❌"))</f>
        <v/>
      </c>
    </row>
    <row r="98">
      <c r="A98" s="15" t="n"/>
      <c r="B98" s="3" t="n"/>
      <c r="C98" s="17" t="n"/>
      <c r="D98" s="17" t="n"/>
      <c r="E98" s="13">
        <f>SE(OU(A98="";C98="";D98="");"";C98-D98)</f>
        <v/>
      </c>
      <c r="F98" s="4">
        <f>SE(OU(A98="";C98="";D98="");"";SE(C98=D98;"✅";"❌"))</f>
        <v/>
      </c>
    </row>
    <row r="99">
      <c r="A99" s="15" t="n"/>
      <c r="B99" s="3" t="n"/>
      <c r="C99" s="17" t="n"/>
      <c r="D99" s="17" t="n"/>
      <c r="E99" s="13">
        <f>SE(OU(A99="";C99="";D99="");"";C99-D99)</f>
        <v/>
      </c>
      <c r="F99" s="4">
        <f>SE(OU(A99="";C99="";D99="");"";SE(C99=D99;"✅";"❌"))</f>
        <v/>
      </c>
    </row>
    <row r="100">
      <c r="A100" s="15" t="n"/>
      <c r="B100" s="3" t="n"/>
      <c r="C100" s="17" t="n"/>
      <c r="D100" s="17" t="n"/>
      <c r="E100" s="13">
        <f>SE(OU(A100="";C100="";D100="");"";C100-D100)</f>
        <v/>
      </c>
      <c r="F100" s="4">
        <f>SE(OU(A100="";C100="";D100="");"";SE(C100=D100;"✅";"❌"))</f>
        <v/>
      </c>
    </row>
    <row r="101">
      <c r="A101" s="15" t="n"/>
      <c r="B101" s="3" t="n"/>
      <c r="C101" s="17" t="n"/>
      <c r="D101" s="17" t="n"/>
      <c r="E101" s="13">
        <f>SE(OU(A101="";C101="";D101="");"";C101-D101)</f>
        <v/>
      </c>
      <c r="F101" s="4">
        <f>SE(OU(A101="";C101="";D101="");"";SE(C101=D101;"✅";"❌"))</f>
        <v/>
      </c>
    </row>
    <row r="102">
      <c r="A102" s="15" t="n"/>
      <c r="B102" s="3" t="n"/>
      <c r="C102" s="17" t="n"/>
      <c r="D102" s="17" t="n"/>
      <c r="E102" s="13">
        <f>SE(OU(A102="";C102="";D102="");"";C102-D102)</f>
        <v/>
      </c>
      <c r="F102" s="4">
        <f>SE(OU(A102="";C102="";D102="");"";SE(C102=D102;"✅";"❌"))</f>
        <v/>
      </c>
    </row>
    <row r="103">
      <c r="A103" s="15" t="n"/>
      <c r="B103" s="3" t="n"/>
      <c r="C103" s="17" t="n"/>
      <c r="D103" s="17" t="n"/>
      <c r="E103" s="13">
        <f>SE(OU(A103="";C103="";D103="");"";C103-D103)</f>
        <v/>
      </c>
      <c r="F103" s="4">
        <f>SE(OU(A103="";C103="";D103="");"";SE(C103=D103;"✅";"❌"))</f>
        <v/>
      </c>
    </row>
    <row r="104">
      <c r="A104" s="15" t="n"/>
      <c r="B104" s="3" t="n"/>
      <c r="C104" s="17" t="n"/>
      <c r="D104" s="17" t="n"/>
      <c r="E104" s="13">
        <f>SE(OU(A104="";C104="";D104="");"";C104-D104)</f>
        <v/>
      </c>
      <c r="F104" s="4">
        <f>SE(OU(A104="";C104="";D104="");"";SE(C104=D104;"✅";"❌"))</f>
        <v/>
      </c>
    </row>
    <row r="105">
      <c r="A105" s="15" t="n"/>
      <c r="B105" s="3" t="n"/>
      <c r="C105" s="17" t="n"/>
      <c r="D105" s="17" t="n"/>
      <c r="E105" s="13">
        <f>SE(OU(A105="";C105="";D105="");"";C105-D105)</f>
        <v/>
      </c>
      <c r="F105" s="4">
        <f>SE(OU(A105="";C105="";D105="");"";SE(C105=D105;"✅";"❌"))</f>
        <v/>
      </c>
    </row>
    <row r="106">
      <c r="A106" s="15" t="n"/>
      <c r="B106" s="3" t="n"/>
      <c r="C106" s="17" t="n"/>
      <c r="D106" s="17" t="n"/>
      <c r="E106" s="13">
        <f>SE(OU(A106="";C106="";D106="");"";C106-D106)</f>
        <v/>
      </c>
      <c r="F106" s="4">
        <f>SE(OU(A106="";C106="";D106="");"";SE(C106=D106;"✅";"❌"))</f>
        <v/>
      </c>
    </row>
    <row r="107">
      <c r="A107" s="15" t="n"/>
      <c r="B107" s="3" t="n"/>
      <c r="C107" s="17" t="n"/>
      <c r="D107" s="17" t="n"/>
      <c r="E107" s="13">
        <f>SE(OU(A107="";C107="";D107="");"";C107-D107)</f>
        <v/>
      </c>
      <c r="F107" s="4">
        <f>SE(OU(A107="";C107="";D107="");"";SE(C107=D107;"✅";"❌"))</f>
        <v/>
      </c>
    </row>
    <row r="108">
      <c r="A108" s="15" t="n"/>
      <c r="B108" s="3" t="n"/>
      <c r="C108" s="17" t="n"/>
      <c r="D108" s="17" t="n"/>
      <c r="E108" s="13">
        <f>SE(OU(A108="";C108="";D108="");"";C108-D108)</f>
        <v/>
      </c>
      <c r="F108" s="4">
        <f>SE(OU(A108="";C108="";D108="");"";SE(C108=D108;"✅";"❌"))</f>
        <v/>
      </c>
    </row>
    <row r="109">
      <c r="A109" s="15" t="n"/>
      <c r="B109" s="3" t="n"/>
      <c r="C109" s="17" t="n"/>
      <c r="D109" s="17" t="n"/>
      <c r="E109" s="13">
        <f>SE(OU(A109="";C109="";D109="");"";C109-D109)</f>
        <v/>
      </c>
      <c r="F109" s="4">
        <f>SE(OU(A109="";C109="";D109="");"";SE(C109=D109;"✅";"❌"))</f>
        <v/>
      </c>
    </row>
    <row r="110">
      <c r="A110" s="15" t="n"/>
      <c r="B110" s="3" t="n"/>
      <c r="C110" s="17" t="n"/>
      <c r="D110" s="17" t="n"/>
      <c r="E110" s="13">
        <f>SE(OU(A110="";C110="";D110="");"";C110-D110)</f>
        <v/>
      </c>
      <c r="F110" s="4">
        <f>SE(OU(A110="";C110="";D110="");"";SE(C110=D110;"✅";"❌"))</f>
        <v/>
      </c>
    </row>
    <row r="111">
      <c r="A111" s="15" t="n"/>
      <c r="B111" s="3" t="n"/>
      <c r="C111" s="17" t="n"/>
      <c r="D111" s="17" t="n"/>
      <c r="E111" s="13">
        <f>SE(OU(A111="";C111="";D111="");"";C111-D111)</f>
        <v/>
      </c>
      <c r="F111" s="4">
        <f>SE(OU(A111="";C111="";D111="");"";SE(C111=D111;"✅";"❌"))</f>
        <v/>
      </c>
    </row>
    <row r="112">
      <c r="A112" s="15" t="n"/>
      <c r="B112" s="3" t="n"/>
      <c r="C112" s="17" t="n"/>
      <c r="D112" s="17" t="n"/>
      <c r="E112" s="13">
        <f>SE(OU(A112="";C112="";D112="");"";C112-D112)</f>
        <v/>
      </c>
      <c r="F112" s="4">
        <f>SE(OU(A112="";C112="";D112="");"";SE(C112=D112;"✅";"❌"))</f>
        <v/>
      </c>
    </row>
    <row r="113">
      <c r="A113" s="15" t="n"/>
      <c r="B113" s="3" t="n"/>
      <c r="C113" s="17" t="n"/>
      <c r="D113" s="17" t="n"/>
      <c r="E113" s="13">
        <f>SE(OU(A113="";C113="";D113="");"";C113-D113)</f>
        <v/>
      </c>
      <c r="F113" s="4">
        <f>SE(OU(A113="";C113="";D113="");"";SE(C113=D113;"✅";"❌"))</f>
        <v/>
      </c>
    </row>
    <row r="114">
      <c r="A114" s="15" t="n"/>
      <c r="B114" s="3" t="n"/>
      <c r="C114" s="17" t="n"/>
      <c r="D114" s="17" t="n"/>
      <c r="E114" s="13">
        <f>SE(OU(A114="";C114="";D114="");"";C114-D114)</f>
        <v/>
      </c>
      <c r="F114" s="4">
        <f>SE(OU(A114="";C114="";D114="");"";SE(C114=D114;"✅";"❌"))</f>
        <v/>
      </c>
    </row>
    <row r="115">
      <c r="A115" s="15" t="n"/>
      <c r="B115" s="3" t="n"/>
      <c r="C115" s="17" t="n"/>
      <c r="D115" s="17" t="n"/>
      <c r="E115" s="13">
        <f>SE(OU(A115="";C115="";D115="");"";C115-D115)</f>
        <v/>
      </c>
      <c r="F115" s="4">
        <f>SE(OU(A115="";C115="";D115="");"";SE(C115=D115;"✅";"❌"))</f>
        <v/>
      </c>
    </row>
    <row r="116">
      <c r="A116" s="15" t="n"/>
      <c r="B116" s="3" t="n"/>
      <c r="C116" s="17" t="n"/>
      <c r="D116" s="17" t="n"/>
      <c r="E116" s="13">
        <f>SE(OU(A116="";C116="";D116="");"";C116-D116)</f>
        <v/>
      </c>
      <c r="F116" s="4">
        <f>SE(OU(A116="";C116="";D116="");"";SE(C116=D116;"✅";"❌"))</f>
        <v/>
      </c>
    </row>
    <row r="117">
      <c r="A117" s="15" t="n"/>
      <c r="B117" s="3" t="n"/>
      <c r="C117" s="17" t="n"/>
      <c r="D117" s="17" t="n"/>
      <c r="E117" s="13">
        <f>SE(OU(A117="";C117="";D117="");"";C117-D117)</f>
        <v/>
      </c>
      <c r="F117" s="4">
        <f>SE(OU(A117="";C117="";D117="");"";SE(C117=D117;"✅";"❌"))</f>
        <v/>
      </c>
    </row>
    <row r="118">
      <c r="A118" s="15" t="n"/>
      <c r="B118" s="3" t="n"/>
      <c r="C118" s="17" t="n"/>
      <c r="D118" s="17" t="n"/>
      <c r="E118" s="13">
        <f>SE(OU(A118="";C118="";D118="");"";C118-D118)</f>
        <v/>
      </c>
      <c r="F118" s="4">
        <f>SE(OU(A118="";C118="";D118="");"";SE(C118=D118;"✅";"❌"))</f>
        <v/>
      </c>
    </row>
    <row r="119">
      <c r="A119" s="15" t="n"/>
      <c r="B119" s="3" t="n"/>
      <c r="C119" s="17" t="n"/>
      <c r="D119" s="17" t="n"/>
      <c r="E119" s="13">
        <f>SE(OU(A119="";C119="";D119="");"";C119-D119)</f>
        <v/>
      </c>
      <c r="F119" s="4">
        <f>SE(OU(A119="";C119="";D119="");"";SE(C119=D119;"✅";"❌"))</f>
        <v/>
      </c>
    </row>
    <row r="120">
      <c r="A120" s="15" t="n"/>
      <c r="B120" s="3" t="n"/>
      <c r="C120" s="17" t="n"/>
      <c r="D120" s="17" t="n"/>
      <c r="E120" s="13">
        <f>SE(OU(A120="";C120="";D120="");"";C120-D120)</f>
        <v/>
      </c>
      <c r="F120" s="4">
        <f>SE(OU(A120="";C120="";D120="");"";SE(C120=D120;"✅";"❌"))</f>
        <v/>
      </c>
    </row>
    <row r="121">
      <c r="A121" s="15" t="n"/>
      <c r="B121" s="3" t="n"/>
      <c r="C121" s="17" t="n"/>
      <c r="D121" s="17" t="n"/>
      <c r="E121" s="13">
        <f>SE(OU(A121="";C121="";D121="");"";C121-D121)</f>
        <v/>
      </c>
      <c r="F121" s="4">
        <f>SE(OU(A121="";C121="";D121="");"";SE(C121=D121;"✅";"❌"))</f>
        <v/>
      </c>
    </row>
    <row r="122">
      <c r="A122" s="15" t="n"/>
      <c r="B122" s="3" t="n"/>
      <c r="C122" s="17" t="n"/>
      <c r="D122" s="17" t="n"/>
      <c r="E122" s="13">
        <f>SE(OU(A122="";C122="";D122="");"";C122-D122)</f>
        <v/>
      </c>
      <c r="F122" s="4">
        <f>SE(OU(A122="";C122="";D122="");"";SE(C122=D122;"✅";"❌"))</f>
        <v/>
      </c>
    </row>
    <row r="123">
      <c r="A123" s="15" t="n"/>
      <c r="B123" s="3" t="n"/>
      <c r="C123" s="17" t="n"/>
      <c r="D123" s="17" t="n"/>
      <c r="E123" s="13">
        <f>SE(OU(A123="";C123="";D123="");"";C123-D123)</f>
        <v/>
      </c>
      <c r="F123" s="4">
        <f>SE(OU(A123="";C123="";D123="");"";SE(C123=D123;"✅";"❌"))</f>
        <v/>
      </c>
    </row>
    <row r="124">
      <c r="A124" s="15" t="n"/>
      <c r="B124" s="3" t="n"/>
      <c r="C124" s="17" t="n"/>
      <c r="D124" s="17" t="n"/>
      <c r="E124" s="13">
        <f>SE(OU(A124="";C124="";D124="");"";C124-D124)</f>
        <v/>
      </c>
      <c r="F124" s="4">
        <f>SE(OU(A124="";C124="";D124="");"";SE(C124=D124;"✅";"❌"))</f>
        <v/>
      </c>
    </row>
    <row r="125">
      <c r="A125" s="15" t="n"/>
      <c r="B125" s="3" t="n"/>
      <c r="C125" s="17" t="n"/>
      <c r="D125" s="17" t="n"/>
      <c r="E125" s="13">
        <f>SE(OU(A125="";C125="";D125="");"";C125-D125)</f>
        <v/>
      </c>
      <c r="F125" s="4">
        <f>SE(OU(A125="";C125="";D125="");"";SE(C125=D125;"✅";"❌"))</f>
        <v/>
      </c>
    </row>
    <row r="126">
      <c r="A126" s="15" t="n"/>
      <c r="B126" s="3" t="n"/>
      <c r="C126" s="17" t="n"/>
      <c r="D126" s="17" t="n"/>
      <c r="E126" s="13">
        <f>SE(OU(A126="";C126="";D126="");"";C126-D126)</f>
        <v/>
      </c>
      <c r="F126" s="4">
        <f>SE(OU(A126="";C126="";D126="");"";SE(C126=D126;"✅";"❌"))</f>
        <v/>
      </c>
    </row>
    <row r="127">
      <c r="A127" s="15" t="n"/>
      <c r="B127" s="3" t="n"/>
      <c r="C127" s="17" t="n"/>
      <c r="D127" s="17" t="n"/>
      <c r="E127" s="13">
        <f>SE(OU(A127="";C127="";D127="");"";C127-D127)</f>
        <v/>
      </c>
      <c r="F127" s="4">
        <f>SE(OU(A127="";C127="";D127="");"";SE(C127=D127;"✅";"❌"))</f>
        <v/>
      </c>
    </row>
    <row r="128">
      <c r="A128" s="15" t="n"/>
      <c r="B128" s="3" t="n"/>
      <c r="C128" s="17" t="n"/>
      <c r="D128" s="17" t="n"/>
      <c r="E128" s="13">
        <f>SE(OU(A128="";C128="";D128="");"";C128-D128)</f>
        <v/>
      </c>
      <c r="F128" s="4">
        <f>SE(OU(A128="";C128="";D128="");"";SE(C128=D128;"✅";"❌"))</f>
        <v/>
      </c>
    </row>
    <row r="129">
      <c r="A129" s="15" t="n"/>
      <c r="B129" s="3" t="n"/>
      <c r="C129" s="17" t="n"/>
      <c r="D129" s="17" t="n"/>
      <c r="E129" s="13">
        <f>SE(OU(A129="";C129="";D129="");"";C129-D129)</f>
        <v/>
      </c>
      <c r="F129" s="4">
        <f>SE(OU(A129="";C129="";D129="");"";SE(C129=D129;"✅";"❌"))</f>
        <v/>
      </c>
    </row>
    <row r="130">
      <c r="A130" s="15" t="n"/>
      <c r="B130" s="3" t="n"/>
      <c r="C130" s="17" t="n"/>
      <c r="D130" s="17" t="n"/>
      <c r="E130" s="13">
        <f>SE(OU(A130="";C130="";D130="");"";C130-D130)</f>
        <v/>
      </c>
      <c r="F130" s="4">
        <f>SE(OU(A130="";C130="";D130="");"";SE(C130=D130;"✅";"❌"))</f>
        <v/>
      </c>
    </row>
    <row r="131">
      <c r="A131" s="15" t="n"/>
      <c r="B131" s="3" t="n"/>
      <c r="C131" s="17" t="n"/>
      <c r="D131" s="17" t="n"/>
      <c r="E131" s="13">
        <f>SE(OU(A131="";C131="";D131="");"";C131-D131)</f>
        <v/>
      </c>
      <c r="F131" s="4">
        <f>SE(OU(A131="";C131="";D131="");"";SE(C131=D131;"✅";"❌"))</f>
        <v/>
      </c>
    </row>
    <row r="132">
      <c r="A132" s="15" t="n"/>
      <c r="B132" s="3" t="n"/>
      <c r="C132" s="17" t="n"/>
      <c r="D132" s="17" t="n"/>
      <c r="E132" s="13">
        <f>SE(OU(A132="";C132="";D132="");"";C132-D132)</f>
        <v/>
      </c>
      <c r="F132" s="4">
        <f>SE(OU(A132="";C132="";D132="");"";SE(C132=D132;"✅";"❌"))</f>
        <v/>
      </c>
    </row>
    <row r="133">
      <c r="A133" s="15" t="n"/>
      <c r="B133" s="3" t="n"/>
      <c r="C133" s="17" t="n"/>
      <c r="D133" s="17" t="n"/>
      <c r="E133" s="13">
        <f>SE(OU(A133="";C133="";D133="");"";C133-D133)</f>
        <v/>
      </c>
      <c r="F133" s="4">
        <f>SE(OU(A133="";C133="";D133="");"";SE(C133=D133;"✅";"❌"))</f>
        <v/>
      </c>
    </row>
    <row r="134">
      <c r="A134" s="15" t="n"/>
      <c r="B134" s="3" t="n"/>
      <c r="C134" s="17" t="n"/>
      <c r="D134" s="17" t="n"/>
      <c r="E134" s="13">
        <f>SE(OU(A134="";C134="";D134="");"";C134-D134)</f>
        <v/>
      </c>
      <c r="F134" s="4">
        <f>SE(OU(A134="";C134="";D134="");"";SE(C134=D134;"✅";"❌"))</f>
        <v/>
      </c>
    </row>
    <row r="135">
      <c r="A135" s="15" t="n"/>
      <c r="B135" s="3" t="n"/>
      <c r="C135" s="17" t="n"/>
      <c r="D135" s="17" t="n"/>
      <c r="E135" s="13">
        <f>SE(OU(A135="";C135="";D135="");"";C135-D135)</f>
        <v/>
      </c>
      <c r="F135" s="4">
        <f>SE(OU(A135="";C135="";D135="");"";SE(C135=D135;"✅";"❌"))</f>
        <v/>
      </c>
    </row>
    <row r="136">
      <c r="A136" s="15" t="n"/>
      <c r="B136" s="3" t="n"/>
      <c r="C136" s="17" t="n"/>
      <c r="D136" s="17" t="n"/>
      <c r="E136" s="13">
        <f>SE(OU(A136="";C136="";D136="");"";C136-D136)</f>
        <v/>
      </c>
      <c r="F136" s="4">
        <f>SE(OU(A136="";C136="";D136="");"";SE(C136=D136;"✅";"❌"))</f>
        <v/>
      </c>
    </row>
    <row r="137">
      <c r="A137" s="15" t="n"/>
      <c r="B137" s="3" t="n"/>
      <c r="C137" s="17" t="n"/>
      <c r="D137" s="17" t="n"/>
      <c r="E137" s="13">
        <f>SE(OU(A137="";C137="";D137="");"";C137-D137)</f>
        <v/>
      </c>
      <c r="F137" s="4">
        <f>SE(OU(A137="";C137="";D137="");"";SE(C137=D137;"✅";"❌"))</f>
        <v/>
      </c>
    </row>
    <row r="138">
      <c r="A138" s="15" t="n"/>
      <c r="B138" s="3" t="n"/>
      <c r="C138" s="17" t="n"/>
      <c r="D138" s="17" t="n"/>
      <c r="E138" s="13">
        <f>SE(OU(A138="";C138="";D138="");"";C138-D138)</f>
        <v/>
      </c>
      <c r="F138" s="4">
        <f>SE(OU(A138="";C138="";D138="");"";SE(C138=D138;"✅";"❌"))</f>
        <v/>
      </c>
    </row>
    <row r="139">
      <c r="A139" s="15" t="n"/>
      <c r="B139" s="3" t="n"/>
      <c r="C139" s="17" t="n"/>
      <c r="D139" s="17" t="n"/>
      <c r="E139" s="13">
        <f>SE(OU(A139="";C139="";D139="");"";C139-D139)</f>
        <v/>
      </c>
      <c r="F139" s="4">
        <f>SE(OU(A139="";C139="";D139="");"";SE(C139=D139;"✅";"❌"))</f>
        <v/>
      </c>
    </row>
    <row r="140">
      <c r="A140" s="15" t="n"/>
      <c r="B140" s="3" t="n"/>
      <c r="C140" s="17" t="n"/>
      <c r="D140" s="17" t="n"/>
      <c r="E140" s="13">
        <f>SE(OU(A140="";C140="";D140="");"";C140-D140)</f>
        <v/>
      </c>
      <c r="F140" s="4">
        <f>SE(OU(A140="";C140="";D140="");"";SE(C140=D140;"✅";"❌"))</f>
        <v/>
      </c>
    </row>
    <row r="141">
      <c r="A141" s="15" t="n"/>
      <c r="B141" s="3" t="n"/>
      <c r="C141" s="17" t="n"/>
      <c r="D141" s="17" t="n"/>
      <c r="E141" s="13">
        <f>SE(OU(A141="";C141="";D141="");"";C141-D141)</f>
        <v/>
      </c>
      <c r="F141" s="4">
        <f>SE(OU(A141="";C141="";D141="");"";SE(C141=D141;"✅";"❌"))</f>
        <v/>
      </c>
    </row>
    <row r="142">
      <c r="A142" s="15" t="n"/>
      <c r="B142" s="3" t="n"/>
      <c r="C142" s="17" t="n"/>
      <c r="D142" s="17" t="n"/>
      <c r="E142" s="13">
        <f>SE(OU(A142="";C142="";D142="");"";C142-D142)</f>
        <v/>
      </c>
      <c r="F142" s="4">
        <f>SE(OU(A142="";C142="";D142="");"";SE(C142=D142;"✅";"❌"))</f>
        <v/>
      </c>
    </row>
    <row r="143">
      <c r="A143" s="15" t="n"/>
      <c r="B143" s="3" t="n"/>
      <c r="C143" s="17" t="n"/>
      <c r="D143" s="17" t="n"/>
      <c r="E143" s="13">
        <f>SE(OU(A143="";C143="";D143="");"";C143-D143)</f>
        <v/>
      </c>
      <c r="F143" s="4">
        <f>SE(OU(A143="";C143="";D143="");"";SE(C143=D143;"✅";"❌"))</f>
        <v/>
      </c>
    </row>
    <row r="144">
      <c r="A144" s="15" t="n"/>
      <c r="B144" s="3" t="n"/>
      <c r="C144" s="17" t="n"/>
      <c r="D144" s="17" t="n"/>
      <c r="E144" s="13">
        <f>SE(OU(A144="";C144="";D144="");"";C144-D144)</f>
        <v/>
      </c>
      <c r="F144" s="4">
        <f>SE(OU(A144="";C144="";D144="");"";SE(C144=D144;"✅";"❌"))</f>
        <v/>
      </c>
    </row>
    <row r="145">
      <c r="A145" s="15" t="n"/>
      <c r="B145" s="3" t="n"/>
      <c r="C145" s="17" t="n"/>
      <c r="D145" s="17" t="n"/>
      <c r="E145" s="13">
        <f>SE(OU(A145="";C145="";D145="");"";C145-D145)</f>
        <v/>
      </c>
      <c r="F145" s="4">
        <f>SE(OU(A145="";C145="";D145="");"";SE(C145=D145;"✅";"❌"))</f>
        <v/>
      </c>
    </row>
    <row r="146">
      <c r="A146" s="15" t="n"/>
      <c r="B146" s="3" t="n"/>
      <c r="C146" s="17" t="n"/>
      <c r="D146" s="17" t="n"/>
      <c r="E146" s="13">
        <f>SE(OU(A146="";C146="";D146="");"";C146-D146)</f>
        <v/>
      </c>
      <c r="F146" s="4">
        <f>SE(OU(A146="";C146="";D146="");"";SE(C146=D146;"✅";"❌"))</f>
        <v/>
      </c>
    </row>
    <row r="147">
      <c r="A147" s="15" t="n"/>
      <c r="B147" s="3" t="n"/>
      <c r="C147" s="17" t="n"/>
      <c r="D147" s="17" t="n"/>
      <c r="E147" s="13">
        <f>SE(OU(A147="";C147="";D147="");"";C147-D147)</f>
        <v/>
      </c>
      <c r="F147" s="4">
        <f>SE(OU(A147="";C147="";D147="");"";SE(C147=D147;"✅";"❌"))</f>
        <v/>
      </c>
    </row>
    <row r="148">
      <c r="A148" s="15" t="n"/>
      <c r="B148" s="3" t="n"/>
      <c r="C148" s="17" t="n"/>
      <c r="D148" s="17" t="n"/>
      <c r="E148" s="13">
        <f>SE(OU(A148="";C148="";D148="");"";C148-D148)</f>
        <v/>
      </c>
      <c r="F148" s="4">
        <f>SE(OU(A148="";C148="";D148="");"";SE(C148=D148;"✅";"❌"))</f>
        <v/>
      </c>
    </row>
    <row r="149">
      <c r="A149" s="15" t="n"/>
      <c r="B149" s="3" t="n"/>
      <c r="C149" s="17" t="n"/>
      <c r="D149" s="17" t="n"/>
      <c r="E149" s="13">
        <f>SE(OU(A149="";C149="";D149="");"";C149-D149)</f>
        <v/>
      </c>
      <c r="F149" s="4">
        <f>SE(OU(A149="";C149="";D149="");"";SE(C149=D149;"✅";"❌"))</f>
        <v/>
      </c>
    </row>
    <row r="150">
      <c r="A150" s="15" t="n"/>
      <c r="B150" s="3" t="n"/>
      <c r="C150" s="17" t="n"/>
      <c r="D150" s="17" t="n"/>
      <c r="E150" s="13">
        <f>SE(OU(A150="";C150="";D150="");"";C150-D150)</f>
        <v/>
      </c>
      <c r="F150" s="4">
        <f>SE(OU(A150="";C150="";D150="");"";SE(C150=D150;"✅";"❌"))</f>
        <v/>
      </c>
    </row>
    <row r="151">
      <c r="A151" s="15" t="n"/>
      <c r="B151" s="3" t="n"/>
      <c r="C151" s="17" t="n"/>
      <c r="D151" s="17" t="n"/>
      <c r="E151" s="13">
        <f>SE(OU(A151="";C151="";D151="");"";C151-D151)</f>
        <v/>
      </c>
      <c r="F151" s="4">
        <f>SE(OU(A151="";C151="";D151="");"";SE(C151=D151;"✅";"❌"))</f>
        <v/>
      </c>
    </row>
    <row r="152">
      <c r="A152" s="15" t="n"/>
      <c r="B152" s="3" t="n"/>
      <c r="C152" s="17" t="n"/>
      <c r="D152" s="17" t="n"/>
      <c r="E152" s="13">
        <f>SE(OU(A152="";C152="";D152="");"";C152-D152)</f>
        <v/>
      </c>
      <c r="F152" s="4">
        <f>SE(OU(A152="";C152="";D152="");"";SE(C152=D152;"✅";"❌"))</f>
        <v/>
      </c>
    </row>
    <row r="153">
      <c r="A153" s="15" t="n"/>
      <c r="B153" s="3" t="n"/>
      <c r="C153" s="17" t="n"/>
      <c r="D153" s="17" t="n"/>
      <c r="E153" s="13">
        <f>SE(OU(A153="";C153="";D153="");"";C153-D153)</f>
        <v/>
      </c>
      <c r="F153" s="4">
        <f>SE(OU(A153="";C153="";D153="");"";SE(C153=D153;"✅";"❌"))</f>
        <v/>
      </c>
    </row>
    <row r="154">
      <c r="A154" s="15" t="n"/>
      <c r="B154" s="3" t="n"/>
      <c r="C154" s="17" t="n"/>
      <c r="D154" s="17" t="n"/>
      <c r="E154" s="13">
        <f>SE(OU(A154="";C154="";D154="");"";C154-D154)</f>
        <v/>
      </c>
      <c r="F154" s="4">
        <f>SE(OU(A154="";C154="";D154="");"";SE(C154=D154;"✅";"❌"))</f>
        <v/>
      </c>
    </row>
    <row r="155">
      <c r="A155" s="15" t="n"/>
      <c r="B155" s="3" t="n"/>
      <c r="C155" s="17" t="n"/>
      <c r="D155" s="17" t="n"/>
      <c r="E155" s="13">
        <f>SE(OU(A155="";C155="";D155="");"";C155-D155)</f>
        <v/>
      </c>
      <c r="F155" s="4">
        <f>SE(OU(A155="";C155="";D155="");"";SE(C155=D155;"✅";"❌"))</f>
        <v/>
      </c>
    </row>
    <row r="156">
      <c r="A156" s="15" t="n"/>
      <c r="B156" s="3" t="n"/>
      <c r="C156" s="17" t="n"/>
      <c r="D156" s="17" t="n"/>
      <c r="E156" s="13">
        <f>SE(OU(A156="";C156="";D156="");"";C156-D156)</f>
        <v/>
      </c>
      <c r="F156" s="4">
        <f>SE(OU(A156="";C156="";D156="");"";SE(C156=D156;"✅";"❌"))</f>
        <v/>
      </c>
    </row>
    <row r="157">
      <c r="A157" s="15" t="n"/>
      <c r="B157" s="3" t="n"/>
      <c r="C157" s="17" t="n"/>
      <c r="D157" s="17" t="n"/>
      <c r="E157" s="13">
        <f>SE(OU(A157="";C157="";D157="");"";C157-D157)</f>
        <v/>
      </c>
      <c r="F157" s="4">
        <f>SE(OU(A157="";C157="";D157="");"";SE(C157=D157;"✅";"❌"))</f>
        <v/>
      </c>
    </row>
    <row r="158">
      <c r="A158" s="15" t="n"/>
      <c r="B158" s="3" t="n"/>
      <c r="C158" s="17" t="n"/>
      <c r="D158" s="17" t="n"/>
      <c r="E158" s="13">
        <f>SE(OU(A158="";C158="";D158="");"";C158-D158)</f>
        <v/>
      </c>
      <c r="F158" s="4">
        <f>SE(OU(A158="";C158="";D158="");"";SE(C158=D158;"✅";"❌"))</f>
        <v/>
      </c>
    </row>
    <row r="159">
      <c r="A159" s="15" t="n"/>
      <c r="B159" s="3" t="n"/>
      <c r="C159" s="17" t="n"/>
      <c r="D159" s="17" t="n"/>
      <c r="E159" s="13">
        <f>SE(OU(A159="";C159="";D159="");"";C159-D159)</f>
        <v/>
      </c>
      <c r="F159" s="4">
        <f>SE(OU(A159="";C159="";D159="");"";SE(C159=D159;"✅";"❌"))</f>
        <v/>
      </c>
    </row>
    <row r="160">
      <c r="A160" s="15" t="n"/>
      <c r="B160" s="3" t="n"/>
      <c r="C160" s="17" t="n"/>
      <c r="D160" s="17" t="n"/>
      <c r="E160" s="13">
        <f>SE(OU(A160="";C160="";D160="");"";C160-D160)</f>
        <v/>
      </c>
      <c r="F160" s="4">
        <f>SE(OU(A160="";C160="";D160="");"";SE(C160=D160;"✅";"❌"))</f>
        <v/>
      </c>
    </row>
    <row r="161">
      <c r="A161" s="15" t="n"/>
      <c r="B161" s="3" t="n"/>
      <c r="C161" s="17" t="n"/>
      <c r="D161" s="17" t="n"/>
      <c r="E161" s="13">
        <f>SE(OU(A161="";C161="";D161="");"";C161-D161)</f>
        <v/>
      </c>
      <c r="F161" s="4">
        <f>SE(OU(A161="";C161="";D161="");"";SE(C161=D161;"✅";"❌"))</f>
        <v/>
      </c>
    </row>
    <row r="162">
      <c r="A162" s="15" t="n"/>
      <c r="B162" s="3" t="n"/>
      <c r="C162" s="17" t="n"/>
      <c r="D162" s="17" t="n"/>
      <c r="E162" s="13">
        <f>SE(OU(A162="";C162="";D162="");"";C162-D162)</f>
        <v/>
      </c>
      <c r="F162" s="4">
        <f>SE(OU(A162="";C162="";D162="");"";SE(C162=D162;"✅";"❌"))</f>
        <v/>
      </c>
    </row>
    <row r="163">
      <c r="A163" s="15" t="n"/>
      <c r="B163" s="3" t="n"/>
      <c r="C163" s="17" t="n"/>
      <c r="D163" s="17" t="n"/>
      <c r="E163" s="13">
        <f>SE(OU(A163="";C163="";D163="");"";C163-D163)</f>
        <v/>
      </c>
      <c r="F163" s="4">
        <f>SE(OU(A163="";C163="";D163="");"";SE(C163=D163;"✅";"❌"))</f>
        <v/>
      </c>
    </row>
    <row r="164">
      <c r="A164" s="15" t="n"/>
      <c r="B164" s="3" t="n"/>
      <c r="C164" s="17" t="n"/>
      <c r="D164" s="17" t="n"/>
      <c r="E164" s="13">
        <f>SE(OU(A164="";C164="";D164="");"";C164-D164)</f>
        <v/>
      </c>
      <c r="F164" s="4">
        <f>SE(OU(A164="";C164="";D164="");"";SE(C164=D164;"✅";"❌"))</f>
        <v/>
      </c>
    </row>
    <row r="165">
      <c r="A165" s="15" t="n"/>
      <c r="B165" s="3" t="n"/>
      <c r="C165" s="17" t="n"/>
      <c r="D165" s="17" t="n"/>
      <c r="E165" s="13">
        <f>SE(OU(A165="";C165="";D165="");"";C165-D165)</f>
        <v/>
      </c>
      <c r="F165" s="4">
        <f>SE(OU(A165="";C165="";D165="");"";SE(C165=D165;"✅";"❌"))</f>
        <v/>
      </c>
    </row>
    <row r="166">
      <c r="A166" s="15" t="n"/>
      <c r="B166" s="3" t="n"/>
      <c r="C166" s="17" t="n"/>
      <c r="D166" s="17" t="n"/>
      <c r="E166" s="13">
        <f>SE(OU(A166="";C166="";D166="");"";C166-D166)</f>
        <v/>
      </c>
      <c r="F166" s="4">
        <f>SE(OU(A166="";C166="";D166="");"";SE(C166=D166;"✅";"❌"))</f>
        <v/>
      </c>
    </row>
    <row r="167">
      <c r="A167" s="15" t="n"/>
      <c r="B167" s="3" t="n"/>
      <c r="C167" s="17" t="n"/>
      <c r="D167" s="17" t="n"/>
      <c r="E167" s="13">
        <f>SE(OU(A167="";C167="";D167="");"";C167-D167)</f>
        <v/>
      </c>
      <c r="F167" s="4">
        <f>SE(OU(A167="";C167="";D167="");"";SE(C167=D167;"✅";"❌"))</f>
        <v/>
      </c>
    </row>
    <row r="168">
      <c r="A168" s="15" t="n"/>
      <c r="B168" s="3" t="n"/>
      <c r="C168" s="17" t="n"/>
      <c r="D168" s="17" t="n"/>
      <c r="E168" s="13">
        <f>SE(OU(A168="";C168="";D168="");"";C168-D168)</f>
        <v/>
      </c>
      <c r="F168" s="4">
        <f>SE(OU(A168="";C168="";D168="");"";SE(C168=D168;"✅";"❌"))</f>
        <v/>
      </c>
    </row>
    <row r="169">
      <c r="A169" s="15" t="n"/>
      <c r="B169" s="3" t="n"/>
      <c r="C169" s="17" t="n"/>
      <c r="D169" s="17" t="n"/>
      <c r="E169" s="13">
        <f>SE(OU(A169="";C169="";D169="");"";C169-D169)</f>
        <v/>
      </c>
      <c r="F169" s="4">
        <f>SE(OU(A169="";C169="";D169="");"";SE(C169=D169;"✅";"❌"))</f>
        <v/>
      </c>
    </row>
    <row r="170">
      <c r="A170" s="15" t="n"/>
      <c r="B170" s="3" t="n"/>
      <c r="C170" s="17" t="n"/>
      <c r="D170" s="17" t="n"/>
      <c r="E170" s="13">
        <f>SE(OU(A170="";C170="";D170="");"";C170-D170)</f>
        <v/>
      </c>
      <c r="F170" s="4">
        <f>SE(OU(A170="";C170="";D170="");"";SE(C170=D170;"✅";"❌"))</f>
        <v/>
      </c>
    </row>
    <row r="171">
      <c r="A171" s="15" t="n"/>
      <c r="B171" s="3" t="n"/>
      <c r="C171" s="17" t="n"/>
      <c r="D171" s="17" t="n"/>
      <c r="E171" s="13">
        <f>SE(OU(A171="";C171="";D171="");"";C171-D171)</f>
        <v/>
      </c>
      <c r="F171" s="4">
        <f>SE(OU(A171="";C171="";D171="");"";SE(C171=D171;"✅";"❌"))</f>
        <v/>
      </c>
    </row>
    <row r="172">
      <c r="A172" s="15" t="n"/>
      <c r="B172" s="3" t="n"/>
      <c r="C172" s="17" t="n"/>
      <c r="D172" s="17" t="n"/>
      <c r="E172" s="13">
        <f>SE(OU(A172="";C172="";D172="");"";C172-D172)</f>
        <v/>
      </c>
      <c r="F172" s="4">
        <f>SE(OU(A172="";C172="";D172="");"";SE(C172=D172;"✅";"❌"))</f>
        <v/>
      </c>
    </row>
    <row r="173">
      <c r="A173" s="15" t="n"/>
      <c r="B173" s="3" t="n"/>
      <c r="C173" s="17" t="n"/>
      <c r="D173" s="17" t="n"/>
      <c r="E173" s="13">
        <f>SE(OU(A173="";C173="";D173="");"";C173-D173)</f>
        <v/>
      </c>
      <c r="F173" s="4">
        <f>SE(OU(A173="";C173="";D173="");"";SE(C173=D173;"✅";"❌"))</f>
        <v/>
      </c>
    </row>
    <row r="174">
      <c r="A174" s="15" t="n"/>
      <c r="B174" s="3" t="n"/>
      <c r="C174" s="17" t="n"/>
      <c r="D174" s="17" t="n"/>
      <c r="E174" s="13">
        <f>SE(OU(A174="";C174="";D174="");"";C174-D174)</f>
        <v/>
      </c>
      <c r="F174" s="4">
        <f>SE(OU(A174="";C174="";D174="");"";SE(C174=D174;"✅";"❌"))</f>
        <v/>
      </c>
    </row>
    <row r="175">
      <c r="A175" s="15" t="n"/>
      <c r="B175" s="3" t="n"/>
      <c r="C175" s="17" t="n"/>
      <c r="D175" s="17" t="n"/>
      <c r="E175" s="13">
        <f>SE(OU(A175="";C175="";D175="");"";C175-D175)</f>
        <v/>
      </c>
      <c r="F175" s="4">
        <f>SE(OU(A175="";C175="";D175="");"";SE(C175=D175;"✅";"❌"))</f>
        <v/>
      </c>
    </row>
    <row r="176">
      <c r="A176" s="15" t="n"/>
      <c r="B176" s="3" t="n"/>
      <c r="C176" s="17" t="n"/>
      <c r="D176" s="17" t="n"/>
      <c r="E176" s="13">
        <f>SE(OU(A176="";C176="";D176="");"";C176-D176)</f>
        <v/>
      </c>
      <c r="F176" s="4">
        <f>SE(OU(A176="";C176="";D176="");"";SE(C176=D176;"✅";"❌"))</f>
        <v/>
      </c>
    </row>
    <row r="177">
      <c r="A177" s="15" t="n"/>
      <c r="B177" s="3" t="n"/>
      <c r="C177" s="17" t="n"/>
      <c r="D177" s="17" t="n"/>
      <c r="E177" s="13">
        <f>SE(OU(A177="";C177="";D177="");"";C177-D177)</f>
        <v/>
      </c>
      <c r="F177" s="4">
        <f>SE(OU(A177="";C177="";D177="");"";SE(C177=D177;"✅";"❌"))</f>
        <v/>
      </c>
    </row>
    <row r="178">
      <c r="A178" s="15" t="n"/>
      <c r="B178" s="3" t="n"/>
      <c r="C178" s="17" t="n"/>
      <c r="D178" s="17" t="n"/>
      <c r="E178" s="13">
        <f>SE(OU(A178="";C178="";D178="");"";C178-D178)</f>
        <v/>
      </c>
      <c r="F178" s="4">
        <f>SE(OU(A178="";C178="";D178="");"";SE(C178=D178;"✅";"❌"))</f>
        <v/>
      </c>
    </row>
    <row r="179">
      <c r="A179" s="15" t="n"/>
      <c r="B179" s="3" t="n"/>
      <c r="C179" s="17" t="n"/>
      <c r="D179" s="17" t="n"/>
      <c r="E179" s="13">
        <f>SE(OU(A179="";C179="";D179="");"";C179-D179)</f>
        <v/>
      </c>
      <c r="F179" s="4">
        <f>SE(OU(A179="";C179="";D179="");"";SE(C179=D179;"✅";"❌"))</f>
        <v/>
      </c>
    </row>
    <row r="180">
      <c r="A180" s="15" t="n"/>
      <c r="B180" s="3" t="n"/>
      <c r="C180" s="17" t="n"/>
      <c r="D180" s="17" t="n"/>
      <c r="E180" s="13">
        <f>SE(OU(A180="";C180="";D180="");"";C180-D180)</f>
        <v/>
      </c>
      <c r="F180" s="4">
        <f>SE(OU(A180="";C180="";D180="");"";SE(C180=D180;"✅";"❌"))</f>
        <v/>
      </c>
    </row>
    <row r="181">
      <c r="A181" s="15" t="n"/>
      <c r="B181" s="3" t="n"/>
      <c r="C181" s="17" t="n"/>
      <c r="D181" s="17" t="n"/>
      <c r="E181" s="13">
        <f>SE(OU(A181="";C181="";D181="");"";C181-D181)</f>
        <v/>
      </c>
      <c r="F181" s="4">
        <f>SE(OU(A181="";C181="";D181="");"";SE(C181=D181;"✅";"❌"))</f>
        <v/>
      </c>
    </row>
    <row r="182">
      <c r="A182" s="15" t="n"/>
      <c r="B182" s="3" t="n"/>
      <c r="C182" s="17" t="n"/>
      <c r="D182" s="17" t="n"/>
      <c r="E182" s="13">
        <f>SE(OU(A182="";C182="";D182="");"";C182-D182)</f>
        <v/>
      </c>
      <c r="F182" s="4">
        <f>SE(OU(A182="";C182="";D182="");"";SE(C182=D182;"✅";"❌"))</f>
        <v/>
      </c>
    </row>
    <row r="183">
      <c r="A183" s="15" t="n"/>
      <c r="B183" s="3" t="n"/>
      <c r="C183" s="17" t="n"/>
      <c r="D183" s="17" t="n"/>
      <c r="E183" s="13">
        <f>SE(OU(A183="";C183="";D183="");"";C183-D183)</f>
        <v/>
      </c>
      <c r="F183" s="4">
        <f>SE(OU(A183="";C183="";D183="");"";SE(C183=D183;"✅";"❌"))</f>
        <v/>
      </c>
    </row>
    <row r="184">
      <c r="A184" s="15" t="n"/>
      <c r="B184" s="3" t="n"/>
      <c r="C184" s="17" t="n"/>
      <c r="D184" s="17" t="n"/>
      <c r="E184" s="13">
        <f>SE(OU(A184="";C184="";D184="");"";C184-D184)</f>
        <v/>
      </c>
      <c r="F184" s="4">
        <f>SE(OU(A184="";C184="";D184="");"";SE(C184=D184;"✅";"❌"))</f>
        <v/>
      </c>
    </row>
    <row r="185">
      <c r="A185" s="15" t="n"/>
      <c r="B185" s="3" t="n"/>
      <c r="C185" s="17" t="n"/>
      <c r="D185" s="17" t="n"/>
      <c r="E185" s="13">
        <f>SE(OU(A185="";C185="";D185="");"";C185-D185)</f>
        <v/>
      </c>
      <c r="F185" s="4">
        <f>SE(OU(A185="";C185="";D185="");"";SE(C185=D185;"✅";"❌"))</f>
        <v/>
      </c>
    </row>
    <row r="186">
      <c r="A186" s="15" t="n"/>
      <c r="B186" s="3" t="n"/>
      <c r="C186" s="17" t="n"/>
      <c r="D186" s="17" t="n"/>
      <c r="E186" s="13">
        <f>SE(OU(A186="";C186="";D186="");"";C186-D186)</f>
        <v/>
      </c>
      <c r="F186" s="4">
        <f>SE(OU(A186="";C186="";D186="");"";SE(C186=D186;"✅";"❌"))</f>
        <v/>
      </c>
    </row>
    <row r="187">
      <c r="A187" s="15" t="n"/>
      <c r="B187" s="3" t="n"/>
      <c r="C187" s="17" t="n"/>
      <c r="D187" s="17" t="n"/>
      <c r="E187" s="13">
        <f>SE(OU(A187="";C187="";D187="");"";C187-D187)</f>
        <v/>
      </c>
      <c r="F187" s="4">
        <f>SE(OU(A187="";C187="";D187="");"";SE(C187=D187;"✅";"❌"))</f>
        <v/>
      </c>
    </row>
    <row r="188">
      <c r="A188" s="15" t="n"/>
      <c r="B188" s="3" t="n"/>
      <c r="C188" s="17" t="n"/>
      <c r="D188" s="17" t="n"/>
      <c r="E188" s="13">
        <f>SE(OU(A188="";C188="";D188="");"";C188-D188)</f>
        <v/>
      </c>
      <c r="F188" s="4">
        <f>SE(OU(A188="";C188="";D188="");"";SE(C188=D188;"✅";"❌"))</f>
        <v/>
      </c>
    </row>
    <row r="189">
      <c r="A189" s="15" t="n"/>
      <c r="B189" s="3" t="n"/>
      <c r="C189" s="17" t="n"/>
      <c r="D189" s="17" t="n"/>
      <c r="E189" s="13">
        <f>SE(OU(A189="";C189="";D189="");"";C189-D189)</f>
        <v/>
      </c>
      <c r="F189" s="4">
        <f>SE(OU(A189="";C189="";D189="");"";SE(C189=D189;"✅";"❌"))</f>
        <v/>
      </c>
    </row>
    <row r="190">
      <c r="A190" s="15" t="n"/>
      <c r="B190" s="3" t="n"/>
      <c r="C190" s="17" t="n"/>
      <c r="D190" s="17" t="n"/>
      <c r="E190" s="13">
        <f>SE(OU(A190="";C190="";D190="");"";C190-D190)</f>
        <v/>
      </c>
      <c r="F190" s="4">
        <f>SE(OU(A190="";C190="";D190="");"";SE(C190=D190;"✅";"❌"))</f>
        <v/>
      </c>
    </row>
    <row r="191">
      <c r="A191" s="15" t="n"/>
      <c r="B191" s="3" t="n"/>
      <c r="C191" s="17" t="n"/>
      <c r="D191" s="17" t="n"/>
      <c r="E191" s="13">
        <f>SE(OU(A191="";C191="";D191="");"";C191-D191)</f>
        <v/>
      </c>
      <c r="F191" s="4">
        <f>SE(OU(A191="";C191="";D191="");"";SE(C191=D191;"✅";"❌"))</f>
        <v/>
      </c>
    </row>
    <row r="192">
      <c r="A192" s="15" t="n"/>
      <c r="B192" s="3" t="n"/>
      <c r="C192" s="17" t="n"/>
      <c r="D192" s="17" t="n"/>
      <c r="E192" s="13">
        <f>SE(OU(A192="";C192="";D192="");"";C192-D192)</f>
        <v/>
      </c>
      <c r="F192" s="4">
        <f>SE(OU(A192="";C192="";D192="");"";SE(C192=D192;"✅";"❌"))</f>
        <v/>
      </c>
    </row>
    <row r="193">
      <c r="A193" s="15" t="n"/>
      <c r="B193" s="3" t="n"/>
      <c r="C193" s="17" t="n"/>
      <c r="D193" s="17" t="n"/>
      <c r="E193" s="13">
        <f>SE(OU(A193="";C193="";D193="");"";C193-D193)</f>
        <v/>
      </c>
      <c r="F193" s="4">
        <f>SE(OU(A193="";C193="";D193="");"";SE(C193=D193;"✅";"❌"))</f>
        <v/>
      </c>
    </row>
    <row r="194">
      <c r="A194" s="15" t="n"/>
      <c r="B194" s="3" t="n"/>
      <c r="C194" s="17" t="n"/>
      <c r="D194" s="17" t="n"/>
      <c r="E194" s="13">
        <f>SE(OU(A194="";C194="";D194="");"";C194-D194)</f>
        <v/>
      </c>
      <c r="F194" s="4">
        <f>SE(OU(A194="";C194="";D194="");"";SE(C194=D194;"✅";"❌"))</f>
        <v/>
      </c>
    </row>
    <row r="195">
      <c r="A195" s="15" t="n"/>
      <c r="B195" s="3" t="n"/>
      <c r="C195" s="17" t="n"/>
      <c r="D195" s="17" t="n"/>
      <c r="E195" s="13">
        <f>SE(OU(A195="";C195="";D195="");"";C195-D195)</f>
        <v/>
      </c>
      <c r="F195" s="4">
        <f>SE(OU(A195="";C195="";D195="");"";SE(C195=D195;"✅";"❌"))</f>
        <v/>
      </c>
    </row>
    <row r="196">
      <c r="A196" s="15" t="n"/>
      <c r="B196" s="3" t="n"/>
      <c r="C196" s="17" t="n"/>
      <c r="D196" s="17" t="n"/>
      <c r="E196" s="13">
        <f>SE(OU(A196="";C196="";D196="");"";C196-D196)</f>
        <v/>
      </c>
      <c r="F196" s="4">
        <f>SE(OU(A196="";C196="";D196="");"";SE(C196=D196;"✅";"❌"))</f>
        <v/>
      </c>
    </row>
    <row r="197">
      <c r="A197" s="15" t="n"/>
      <c r="B197" s="3" t="n"/>
      <c r="C197" s="17" t="n"/>
      <c r="D197" s="17" t="n"/>
      <c r="E197" s="13">
        <f>SE(OU(A197="";C197="";D197="");"";C197-D197)</f>
        <v/>
      </c>
      <c r="F197" s="4">
        <f>SE(OU(A197="";C197="";D197="");"";SE(C197=D197;"✅";"❌"))</f>
        <v/>
      </c>
    </row>
    <row r="198">
      <c r="A198" s="15" t="n"/>
      <c r="B198" s="3" t="n"/>
      <c r="C198" s="17" t="n"/>
      <c r="D198" s="17" t="n"/>
      <c r="E198" s="13">
        <f>SE(OU(A198="";C198="";D198="");"";C198-D198)</f>
        <v/>
      </c>
      <c r="F198" s="4">
        <f>SE(OU(A198="";C198="";D198="");"";SE(C198=D198;"✅";"❌"))</f>
        <v/>
      </c>
    </row>
    <row r="199">
      <c r="A199" s="15" t="n"/>
      <c r="B199" s="3" t="n"/>
      <c r="C199" s="17" t="n"/>
      <c r="D199" s="17" t="n"/>
      <c r="E199" s="13">
        <f>SE(OU(A199="";C199="";D199="");"";C199-D199)</f>
        <v/>
      </c>
      <c r="F199" s="4">
        <f>SE(OU(A199="";C199="";D199="");"";SE(C199=D199;"✅";"❌"))</f>
        <v/>
      </c>
    </row>
    <row r="200">
      <c r="A200" s="15" t="n"/>
      <c r="B200" s="3" t="n"/>
      <c r="C200" s="17" t="n"/>
      <c r="D200" s="17" t="n"/>
      <c r="E200" s="13">
        <f>SE(OU(A200="";C200="";D200="");"";C200-D200)</f>
        <v/>
      </c>
      <c r="F200" s="4">
        <f>SE(OU(A200="";C200="";D200="");"";SE(C200=D200;"✅";"❌"))</f>
        <v/>
      </c>
    </row>
    <row r="201">
      <c r="A201" s="15" t="n"/>
      <c r="B201" s="3" t="n"/>
      <c r="C201" s="17" t="n"/>
      <c r="D201" s="17" t="n"/>
      <c r="E201" s="13">
        <f>SE(OU(A201="";C201="";D201="");"";C201-D201)</f>
        <v/>
      </c>
      <c r="F201" s="4">
        <f>SE(OU(A201="";C201="";D201="");"";SE(C201=D201;"✅";"❌"))</f>
        <v/>
      </c>
    </row>
    <row r="202">
      <c r="A202" s="15" t="n"/>
      <c r="B202" s="3" t="n"/>
      <c r="C202" s="17" t="n"/>
      <c r="D202" s="17" t="n"/>
      <c r="E202" s="13">
        <f>SE(OU(A202="";C202="";D202="");"";C202-D202)</f>
        <v/>
      </c>
      <c r="F202" s="4">
        <f>SE(OU(A202="";C202="";D202="");"";SE(C202=D202;"✅";"❌"))</f>
        <v/>
      </c>
    </row>
    <row r="203">
      <c r="A203" s="15" t="n"/>
      <c r="B203" s="3" t="n"/>
      <c r="C203" s="17" t="n"/>
      <c r="D203" s="17" t="n"/>
      <c r="E203" s="13">
        <f>SE(OU(A203="";C203="";D203="");"";C203-D203)</f>
        <v/>
      </c>
      <c r="F203" s="4">
        <f>SE(OU(A203="";C203="";D203="");"";SE(C203=D203;"✅";"❌"))</f>
        <v/>
      </c>
    </row>
    <row r="204">
      <c r="A204" s="15" t="n"/>
      <c r="B204" s="3" t="n"/>
      <c r="C204" s="17" t="n"/>
      <c r="D204" s="17" t="n"/>
      <c r="E204" s="13">
        <f>SE(OU(A204="";C204="";D204="");"";C204-D204)</f>
        <v/>
      </c>
      <c r="F204" s="4">
        <f>SE(OU(A204="";C204="";D204="");"";SE(C204=D204;"✅";"❌"))</f>
        <v/>
      </c>
    </row>
    <row r="205">
      <c r="A205" s="15" t="n"/>
      <c r="B205" s="3" t="n"/>
      <c r="C205" s="17" t="n"/>
      <c r="D205" s="17" t="n"/>
      <c r="E205" s="13">
        <f>SE(OU(A205="";C205="";D205="");"";C205-D205)</f>
        <v/>
      </c>
      <c r="F205" s="4">
        <f>SE(OU(A205="";C205="";D205="");"";SE(C205=D205;"✅";"❌"))</f>
        <v/>
      </c>
    </row>
    <row r="206">
      <c r="A206" s="15" t="n"/>
      <c r="B206" s="3" t="n"/>
      <c r="C206" s="17" t="n"/>
      <c r="D206" s="17" t="n"/>
      <c r="E206" s="13">
        <f>SE(OU(A206="";C206="";D206="");"";C206-D206)</f>
        <v/>
      </c>
      <c r="F206" s="4">
        <f>SE(OU(A206="";C206="";D206="");"";SE(C206=D206;"✅";"❌"))</f>
        <v/>
      </c>
    </row>
    <row r="207">
      <c r="A207" s="15" t="n"/>
      <c r="B207" s="3" t="n"/>
      <c r="C207" s="17" t="n"/>
      <c r="D207" s="17" t="n"/>
      <c r="E207" s="13">
        <f>SE(OU(A207="";C207="";D207="");"";C207-D207)</f>
        <v/>
      </c>
      <c r="F207" s="4">
        <f>SE(OU(A207="";C207="";D207="");"";SE(C207=D207;"✅";"❌"))</f>
        <v/>
      </c>
    </row>
    <row r="208">
      <c r="A208" s="15" t="n"/>
      <c r="B208" s="3" t="n"/>
      <c r="C208" s="17" t="n"/>
      <c r="D208" s="17" t="n"/>
      <c r="E208" s="13">
        <f>SE(OU(A208="";C208="";D208="");"";C208-D208)</f>
        <v/>
      </c>
      <c r="F208" s="4">
        <f>SE(OU(A208="";C208="";D208="");"";SE(C208=D208;"✅";"❌"))</f>
        <v/>
      </c>
    </row>
    <row r="209">
      <c r="A209" s="15" t="n"/>
      <c r="B209" s="3" t="n"/>
      <c r="C209" s="17" t="n"/>
      <c r="D209" s="17" t="n"/>
      <c r="E209" s="13">
        <f>SE(OU(A209="";C209="";D209="");"";C209-D209)</f>
        <v/>
      </c>
      <c r="F209" s="4">
        <f>SE(OU(A209="";C209="";D209="");"";SE(C209=D209;"✅";"❌"))</f>
        <v/>
      </c>
    </row>
    <row r="210">
      <c r="A210" s="15" t="n"/>
      <c r="B210" s="3" t="n"/>
      <c r="C210" s="17" t="n"/>
      <c r="D210" s="17" t="n"/>
      <c r="E210" s="13">
        <f>SE(OU(A210="";C210="";D210="");"";C210-D210)</f>
        <v/>
      </c>
      <c r="F210" s="4">
        <f>SE(OU(A210="";C210="";D210="");"";SE(C210=D210;"✅";"❌"))</f>
        <v/>
      </c>
    </row>
    <row r="211">
      <c r="A211" s="15" t="n"/>
      <c r="B211" s="3" t="n"/>
      <c r="C211" s="17" t="n"/>
      <c r="D211" s="17" t="n"/>
      <c r="E211" s="13">
        <f>SE(OU(A211="";C211="";D211="");"";C211-D211)</f>
        <v/>
      </c>
      <c r="F211" s="4">
        <f>SE(OU(A211="";C211="";D211="");"";SE(C211=D211;"✅";"❌"))</f>
        <v/>
      </c>
    </row>
    <row r="212">
      <c r="A212" s="15" t="n"/>
      <c r="B212" s="3" t="n"/>
      <c r="C212" s="17" t="n"/>
      <c r="D212" s="17" t="n"/>
      <c r="E212" s="13">
        <f>SE(OU(A212="";C212="";D212="");"";C212-D212)</f>
        <v/>
      </c>
      <c r="F212" s="4">
        <f>SE(OU(A212="";C212="";D212="");"";SE(C212=D212;"✅";"❌"))</f>
        <v/>
      </c>
    </row>
    <row r="213">
      <c r="A213" s="15" t="n"/>
      <c r="B213" s="3" t="n"/>
      <c r="C213" s="17" t="n"/>
      <c r="D213" s="17" t="n"/>
      <c r="E213" s="13">
        <f>SE(OU(A213="";C213="";D213="");"";C213-D213)</f>
        <v/>
      </c>
      <c r="F213" s="4">
        <f>SE(OU(A213="";C213="";D213="");"";SE(C213=D213;"✅";"❌"))</f>
        <v/>
      </c>
    </row>
    <row r="214">
      <c r="A214" s="15" t="n"/>
      <c r="B214" s="3" t="n"/>
      <c r="C214" s="17" t="n"/>
      <c r="D214" s="17" t="n"/>
      <c r="E214" s="13">
        <f>SE(OU(A214="";C214="";D214="");"";C214-D214)</f>
        <v/>
      </c>
      <c r="F214" s="4">
        <f>SE(OU(A214="";C214="";D214="");"";SE(C214=D214;"✅";"❌"))</f>
        <v/>
      </c>
    </row>
    <row r="215">
      <c r="A215" s="15" t="n"/>
      <c r="B215" s="3" t="n"/>
      <c r="C215" s="17" t="n"/>
      <c r="D215" s="17" t="n"/>
      <c r="E215" s="13">
        <f>SE(OU(A215="";C215="";D215="");"";C215-D215)</f>
        <v/>
      </c>
      <c r="F215" s="4">
        <f>SE(OU(A215="";C215="";D215="");"";SE(C215=D215;"✅";"❌"))</f>
        <v/>
      </c>
    </row>
    <row r="216">
      <c r="A216" s="15" t="n"/>
      <c r="B216" s="3" t="n"/>
      <c r="C216" s="17" t="n"/>
      <c r="D216" s="17" t="n"/>
      <c r="E216" s="13">
        <f>SE(OU(A216="";C216="";D216="");"";C216-D216)</f>
        <v/>
      </c>
      <c r="F216" s="4">
        <f>SE(OU(A216="";C216="";D216="");"";SE(C216=D216;"✅";"❌"))</f>
        <v/>
      </c>
    </row>
    <row r="217">
      <c r="A217" s="15" t="n"/>
      <c r="B217" s="3" t="n"/>
      <c r="C217" s="17" t="n"/>
      <c r="D217" s="17" t="n"/>
      <c r="E217" s="13">
        <f>SE(OU(A217="";C217="";D217="");"";C217-D217)</f>
        <v/>
      </c>
      <c r="F217" s="4">
        <f>SE(OU(A217="";C217="";D217="");"";SE(C217=D217;"✅";"❌"))</f>
        <v/>
      </c>
    </row>
    <row r="218">
      <c r="A218" s="15" t="n"/>
      <c r="B218" s="3" t="n"/>
      <c r="C218" s="17" t="n"/>
      <c r="D218" s="17" t="n"/>
      <c r="E218" s="13">
        <f>SE(OU(A218="";C218="";D218="");"";C218-D218)</f>
        <v/>
      </c>
      <c r="F218" s="4">
        <f>SE(OU(A218="";C218="";D218="");"";SE(C218=D218;"✅";"❌"))</f>
        <v/>
      </c>
    </row>
    <row r="219">
      <c r="A219" s="15" t="n"/>
      <c r="B219" s="3" t="n"/>
      <c r="C219" s="17" t="n"/>
      <c r="D219" s="17" t="n"/>
      <c r="E219" s="13">
        <f>SE(OU(A219="";C219="";D219="");"";C219-D219)</f>
        <v/>
      </c>
      <c r="F219" s="4">
        <f>SE(OU(A219="";C219="";D219="");"";SE(C219=D219;"✅";"❌"))</f>
        <v/>
      </c>
    </row>
    <row r="220">
      <c r="A220" s="15" t="n"/>
      <c r="B220" s="3" t="n"/>
      <c r="C220" s="17" t="n"/>
      <c r="D220" s="17" t="n"/>
      <c r="E220" s="13">
        <f>SE(OU(A220="";C220="";D220="");"";C220-D220)</f>
        <v/>
      </c>
      <c r="F220" s="4">
        <f>SE(OU(A220="";C220="";D220="");"";SE(C220=D220;"✅";"❌"))</f>
        <v/>
      </c>
    </row>
    <row r="221">
      <c r="A221" s="15" t="n"/>
      <c r="B221" s="3" t="n"/>
      <c r="C221" s="17" t="n"/>
      <c r="D221" s="17" t="n"/>
      <c r="E221" s="13">
        <f>SE(OU(A221="";C221="";D221="");"";C221-D221)</f>
        <v/>
      </c>
      <c r="F221" s="4">
        <f>SE(OU(A221="";C221="";D221="");"";SE(C221=D221;"✅";"❌"))</f>
        <v/>
      </c>
    </row>
    <row r="222">
      <c r="A222" s="15" t="n"/>
      <c r="B222" s="3" t="n"/>
      <c r="C222" s="17" t="n"/>
      <c r="D222" s="17" t="n"/>
      <c r="E222" s="13">
        <f>SE(OU(A222="";C222="";D222="");"";C222-D222)</f>
        <v/>
      </c>
      <c r="F222" s="4">
        <f>SE(OU(A222="";C222="";D222="");"";SE(C222=D222;"✅";"❌"))</f>
        <v/>
      </c>
    </row>
    <row r="223">
      <c r="A223" s="15" t="n"/>
      <c r="B223" s="3" t="n"/>
      <c r="C223" s="17" t="n"/>
      <c r="D223" s="17" t="n"/>
      <c r="E223" s="13">
        <f>SE(OU(A223="";C223="";D223="");"";C223-D223)</f>
        <v/>
      </c>
      <c r="F223" s="4">
        <f>SE(OU(A223="";C223="";D223="");"";SE(C223=D223;"✅";"❌"))</f>
        <v/>
      </c>
    </row>
    <row r="224">
      <c r="A224" s="15" t="n"/>
      <c r="B224" s="3" t="n"/>
      <c r="C224" s="17" t="n"/>
      <c r="D224" s="17" t="n"/>
      <c r="E224" s="13">
        <f>SE(OU(A224="";C224="";D224="");"";C224-D224)</f>
        <v/>
      </c>
      <c r="F224" s="4">
        <f>SE(OU(A224="";C224="";D224="");"";SE(C224=D224;"✅";"❌"))</f>
        <v/>
      </c>
    </row>
    <row r="225">
      <c r="A225" s="15" t="n"/>
      <c r="B225" s="3" t="n"/>
      <c r="C225" s="17" t="n"/>
      <c r="D225" s="17" t="n"/>
      <c r="E225" s="13">
        <f>SE(OU(A225="";C225="";D225="");"";C225-D225)</f>
        <v/>
      </c>
      <c r="F225" s="4">
        <f>SE(OU(A225="";C225="";D225="");"";SE(C225=D225;"✅";"❌"))</f>
        <v/>
      </c>
    </row>
    <row r="226">
      <c r="A226" s="15" t="n"/>
      <c r="B226" s="3" t="n"/>
      <c r="C226" s="17" t="n"/>
      <c r="D226" s="17" t="n"/>
      <c r="E226" s="13">
        <f>SE(OU(A226="";C226="";D226="");"";C226-D226)</f>
        <v/>
      </c>
      <c r="F226" s="4">
        <f>SE(OU(A226="";C226="";D226="");"";SE(C226=D226;"✅";"❌"))</f>
        <v/>
      </c>
    </row>
    <row r="227">
      <c r="A227" s="15" t="n"/>
      <c r="B227" s="3" t="n"/>
      <c r="C227" s="17" t="n"/>
      <c r="D227" s="17" t="n"/>
      <c r="E227" s="13">
        <f>SE(OU(A227="";C227="";D227="");"";C227-D227)</f>
        <v/>
      </c>
      <c r="F227" s="4">
        <f>SE(OU(A227="";C227="";D227="");"";SE(C227=D227;"✅";"❌"))</f>
        <v/>
      </c>
    </row>
    <row r="228">
      <c r="A228" s="15" t="n"/>
      <c r="B228" s="3" t="n"/>
      <c r="C228" s="17" t="n"/>
      <c r="D228" s="17" t="n"/>
      <c r="E228" s="13">
        <f>SE(OU(A228="";C228="";D228="");"";C228-D228)</f>
        <v/>
      </c>
      <c r="F228" s="4">
        <f>SE(OU(A228="";C228="";D228="");"";SE(C228=D228;"✅";"❌"))</f>
        <v/>
      </c>
    </row>
    <row r="229">
      <c r="A229" s="15" t="n"/>
      <c r="B229" s="3" t="n"/>
      <c r="C229" s="17" t="n"/>
      <c r="D229" s="17" t="n"/>
      <c r="E229" s="13">
        <f>SE(OU(A229="";C229="";D229="");"";C229-D229)</f>
        <v/>
      </c>
      <c r="F229" s="4">
        <f>SE(OU(A229="";C229="";D229="");"";SE(C229=D229;"✅";"❌"))</f>
        <v/>
      </c>
    </row>
    <row r="230">
      <c r="A230" s="15" t="n"/>
      <c r="B230" s="3" t="n"/>
      <c r="C230" s="17" t="n"/>
      <c r="D230" s="17" t="n"/>
      <c r="E230" s="13">
        <f>SE(OU(A230="";C230="";D230="");"";C230-D230)</f>
        <v/>
      </c>
      <c r="F230" s="4">
        <f>SE(OU(A230="";C230="";D230="");"";SE(C230=D230;"✅";"❌"))</f>
        <v/>
      </c>
    </row>
    <row r="231">
      <c r="A231" s="15" t="n"/>
      <c r="B231" s="3" t="n"/>
      <c r="C231" s="17" t="n"/>
      <c r="D231" s="17" t="n"/>
      <c r="E231" s="13">
        <f>SE(OU(A231="";C231="";D231="");"";C231-D231)</f>
        <v/>
      </c>
      <c r="F231" s="4">
        <f>SE(OU(A231="";C231="";D231="");"";SE(C231=D231;"✅";"❌"))</f>
        <v/>
      </c>
    </row>
    <row r="232">
      <c r="A232" s="15" t="n"/>
      <c r="B232" s="3" t="n"/>
      <c r="C232" s="17" t="n"/>
      <c r="D232" s="17" t="n"/>
      <c r="E232" s="13">
        <f>SE(OU(A232="";C232="";D232="");"";C232-D232)</f>
        <v/>
      </c>
      <c r="F232" s="4">
        <f>SE(OU(A232="";C232="";D232="");"";SE(C232=D232;"✅";"❌"))</f>
        <v/>
      </c>
    </row>
    <row r="233">
      <c r="A233" s="15" t="n"/>
      <c r="B233" s="3" t="n"/>
      <c r="C233" s="17" t="n"/>
      <c r="D233" s="17" t="n"/>
      <c r="E233" s="13">
        <f>SE(OU(A233="";C233="";D233="");"";C233-D233)</f>
        <v/>
      </c>
      <c r="F233" s="4">
        <f>SE(OU(A233="";C233="";D233="");"";SE(C233=D233;"✅";"❌"))</f>
        <v/>
      </c>
    </row>
    <row r="234">
      <c r="A234" s="15" t="n"/>
      <c r="B234" s="3" t="n"/>
      <c r="C234" s="17" t="n"/>
      <c r="D234" s="17" t="n"/>
      <c r="E234" s="13">
        <f>SE(OU(A234="";C234="";D234="");"";C234-D234)</f>
        <v/>
      </c>
      <c r="F234" s="4">
        <f>SE(OU(A234="";C234="";D234="");"";SE(C234=D234;"✅";"❌"))</f>
        <v/>
      </c>
    </row>
    <row r="235">
      <c r="A235" s="15" t="n"/>
      <c r="B235" s="3" t="n"/>
      <c r="C235" s="17" t="n"/>
      <c r="D235" s="17" t="n"/>
      <c r="E235" s="13">
        <f>SE(OU(A235="";C235="";D235="");"";C235-D235)</f>
        <v/>
      </c>
      <c r="F235" s="4">
        <f>SE(OU(A235="";C235="";D235="");"";SE(C235=D235;"✅";"❌"))</f>
        <v/>
      </c>
    </row>
    <row r="236">
      <c r="A236" s="15" t="n"/>
      <c r="B236" s="3" t="n"/>
      <c r="C236" s="17" t="n"/>
      <c r="D236" s="17" t="n"/>
      <c r="E236" s="13">
        <f>SE(OU(A236="";C236="";D236="");"";C236-D236)</f>
        <v/>
      </c>
      <c r="F236" s="4">
        <f>SE(OU(A236="";C236="";D236="");"";SE(C236=D236;"✅";"❌"))</f>
        <v/>
      </c>
    </row>
    <row r="237">
      <c r="A237" s="15" t="n"/>
      <c r="B237" s="3" t="n"/>
      <c r="C237" s="17" t="n"/>
      <c r="D237" s="17" t="n"/>
      <c r="E237" s="13">
        <f>SE(OU(A237="";C237="";D237="");"";C237-D237)</f>
        <v/>
      </c>
      <c r="F237" s="4">
        <f>SE(OU(A237="";C237="";D237="");"";SE(C237=D237;"✅";"❌"))</f>
        <v/>
      </c>
    </row>
    <row r="238">
      <c r="A238" s="15" t="n"/>
      <c r="B238" s="3" t="n"/>
      <c r="C238" s="17" t="n"/>
      <c r="D238" s="17" t="n"/>
      <c r="E238" s="13">
        <f>SE(OU(A238="";C238="";D238="");"";C238-D238)</f>
        <v/>
      </c>
      <c r="F238" s="4">
        <f>SE(OU(A238="";C238="";D238="");"";SE(C238=D238;"✅";"❌"))</f>
        <v/>
      </c>
    </row>
    <row r="239">
      <c r="A239" s="15" t="n"/>
      <c r="B239" s="3" t="n"/>
      <c r="C239" s="17" t="n"/>
      <c r="D239" s="17" t="n"/>
      <c r="E239" s="13">
        <f>SE(OU(A239="";C239="";D239="");"";C239-D239)</f>
        <v/>
      </c>
      <c r="F239" s="4">
        <f>SE(OU(A239="";C239="";D239="");"";SE(C239=D239;"✅";"❌"))</f>
        <v/>
      </c>
    </row>
    <row r="240">
      <c r="A240" s="15" t="n"/>
      <c r="B240" s="3" t="n"/>
      <c r="C240" s="17" t="n"/>
      <c r="D240" s="17" t="n"/>
      <c r="E240" s="13">
        <f>SE(OU(A240="";C240="";D240="");"";C240-D240)</f>
        <v/>
      </c>
      <c r="F240" s="4">
        <f>SE(OU(A240="";C240="";D240="");"";SE(C240=D240;"✅";"❌"))</f>
        <v/>
      </c>
    </row>
    <row r="241">
      <c r="A241" s="15" t="n"/>
      <c r="B241" s="3" t="n"/>
      <c r="C241" s="17" t="n"/>
      <c r="D241" s="17" t="n"/>
      <c r="E241" s="13">
        <f>SE(OU(A241="";C241="";D241="");"";C241-D241)</f>
        <v/>
      </c>
      <c r="F241" s="4">
        <f>SE(OU(A241="";C241="";D241="");"";SE(C241=D241;"✅";"❌"))</f>
        <v/>
      </c>
    </row>
    <row r="242">
      <c r="A242" s="15" t="n"/>
      <c r="B242" s="3" t="n"/>
      <c r="C242" s="17" t="n"/>
      <c r="D242" s="17" t="n"/>
      <c r="E242" s="13">
        <f>SE(OU(A242="";C242="";D242="");"";C242-D242)</f>
        <v/>
      </c>
      <c r="F242" s="4">
        <f>SE(OU(A242="";C242="";D242="");"";SE(C242=D242;"✅";"❌"))</f>
        <v/>
      </c>
    </row>
    <row r="243">
      <c r="A243" s="15" t="n"/>
      <c r="B243" s="3" t="n"/>
      <c r="C243" s="17" t="n"/>
      <c r="D243" s="17" t="n"/>
      <c r="E243" s="13">
        <f>SE(OU(A243="";C243="";D243="");"";C243-D243)</f>
        <v/>
      </c>
      <c r="F243" s="4">
        <f>SE(OU(A243="";C243="";D243="");"";SE(C243=D243;"✅";"❌"))</f>
        <v/>
      </c>
    </row>
    <row r="244">
      <c r="A244" s="15" t="n"/>
      <c r="B244" s="3" t="n"/>
      <c r="C244" s="17" t="n"/>
      <c r="D244" s="17" t="n"/>
      <c r="E244" s="13">
        <f>SE(OU(A244="";C244="";D244="");"";C244-D244)</f>
        <v/>
      </c>
      <c r="F244" s="4">
        <f>SE(OU(A244="";C244="";D244="");"";SE(C244=D244;"✅";"❌"))</f>
        <v/>
      </c>
    </row>
    <row r="245">
      <c r="A245" s="15" t="n"/>
      <c r="B245" s="3" t="n"/>
      <c r="C245" s="17" t="n"/>
      <c r="D245" s="17" t="n"/>
      <c r="E245" s="13">
        <f>SE(OU(A245="";C245="";D245="");"";C245-D245)</f>
        <v/>
      </c>
      <c r="F245" s="4">
        <f>SE(OU(A245="";C245="";D245="");"";SE(C245=D245;"✅";"❌"))</f>
        <v/>
      </c>
    </row>
    <row r="246">
      <c r="A246" s="15" t="n"/>
      <c r="B246" s="3" t="n"/>
      <c r="C246" s="17" t="n"/>
      <c r="D246" s="17" t="n"/>
      <c r="E246" s="13">
        <f>SE(OU(A246="";C246="";D246="");"";C246-D246)</f>
        <v/>
      </c>
      <c r="F246" s="4">
        <f>SE(OU(A246="";C246="";D246="");"";SE(C246=D246;"✅";"❌"))</f>
        <v/>
      </c>
    </row>
    <row r="247">
      <c r="A247" s="15" t="n"/>
      <c r="B247" s="3" t="n"/>
      <c r="C247" s="17" t="n"/>
      <c r="D247" s="17" t="n"/>
      <c r="E247" s="13">
        <f>SE(OU(A247="";C247="";D247="");"";C247-D247)</f>
        <v/>
      </c>
      <c r="F247" s="4">
        <f>SE(OU(A247="";C247="";D247="");"";SE(C247=D247;"✅";"❌"))</f>
        <v/>
      </c>
    </row>
    <row r="248">
      <c r="A248" s="15" t="n"/>
      <c r="B248" s="3" t="n"/>
      <c r="C248" s="17" t="n"/>
      <c r="D248" s="17" t="n"/>
      <c r="E248" s="13">
        <f>SE(OU(A248="";C248="";D248="");"";C248-D248)</f>
        <v/>
      </c>
      <c r="F248" s="4">
        <f>SE(OU(A248="";C248="";D248="");"";SE(C248=D248;"✅";"❌"))</f>
        <v/>
      </c>
    </row>
    <row r="249">
      <c r="A249" s="15" t="n"/>
      <c r="B249" s="3" t="n"/>
      <c r="C249" s="17" t="n"/>
      <c r="D249" s="17" t="n"/>
      <c r="E249" s="13">
        <f>SE(OU(A249="";C249="";D249="");"";C249-D249)</f>
        <v/>
      </c>
      <c r="F249" s="4">
        <f>SE(OU(A249="";C249="";D249="");"";SE(C249=D249;"✅";"❌"))</f>
        <v/>
      </c>
    </row>
    <row r="250">
      <c r="A250" s="15" t="n"/>
      <c r="B250" s="3" t="n"/>
      <c r="C250" s="17" t="n"/>
      <c r="D250" s="17" t="n"/>
      <c r="E250" s="13">
        <f>SE(OU(A250="";C250="";D250="");"";C250-D250)</f>
        <v/>
      </c>
      <c r="F250" s="4">
        <f>SE(OU(A250="";C250="";D250="");"";SE(C250=D250;"✅";"❌"))</f>
        <v/>
      </c>
    </row>
    <row r="251">
      <c r="A251" s="15" t="n"/>
      <c r="B251" s="3" t="n"/>
      <c r="C251" s="17" t="n"/>
      <c r="D251" s="17" t="n"/>
      <c r="E251" s="13">
        <f>SE(OU(A251="";C251="";D251="");"";C251-D251)</f>
        <v/>
      </c>
      <c r="F251" s="4">
        <f>SE(OU(A251="";C251="";D251="");"";SE(C251=D251;"✅";"❌"))</f>
        <v/>
      </c>
    </row>
    <row r="252">
      <c r="A252" s="15" t="n"/>
      <c r="B252" s="3" t="n"/>
      <c r="C252" s="17" t="n"/>
      <c r="D252" s="17" t="n"/>
      <c r="E252" s="13">
        <f>SE(OU(A252="";C252="";D252="");"";C252-D252)</f>
        <v/>
      </c>
      <c r="F252" s="4">
        <f>SE(OU(A252="";C252="";D252="");"";SE(C252=D252;"✅";"❌"))</f>
        <v/>
      </c>
    </row>
    <row r="253">
      <c r="A253" s="15" t="n"/>
      <c r="B253" s="3" t="n"/>
      <c r="C253" s="17" t="n"/>
      <c r="D253" s="17" t="n"/>
      <c r="E253" s="13">
        <f>SE(OU(A253="";C253="";D253="");"";C253-D253)</f>
        <v/>
      </c>
      <c r="F253" s="4">
        <f>SE(OU(A253="";C253="";D253="");"";SE(C253=D253;"✅";"❌"))</f>
        <v/>
      </c>
    </row>
    <row r="254">
      <c r="A254" s="15" t="n"/>
      <c r="B254" s="3" t="n"/>
      <c r="C254" s="17" t="n"/>
      <c r="D254" s="17" t="n"/>
      <c r="E254" s="13">
        <f>SE(OU(A254="";C254="";D254="");"";C254-D254)</f>
        <v/>
      </c>
      <c r="F254" s="4">
        <f>SE(OU(A254="";C254="";D254="");"";SE(C254=D254;"✅";"❌"))</f>
        <v/>
      </c>
    </row>
    <row r="255">
      <c r="A255" s="15" t="n"/>
      <c r="B255" s="3" t="n"/>
      <c r="C255" s="17" t="n"/>
      <c r="D255" s="17" t="n"/>
      <c r="E255" s="13">
        <f>SE(OU(A255="";C255="";D255="");"";C255-D255)</f>
        <v/>
      </c>
      <c r="F255" s="4">
        <f>SE(OU(A255="";C255="";D255="");"";SE(C255=D255;"✅";"❌"))</f>
        <v/>
      </c>
    </row>
    <row r="256">
      <c r="A256" s="15" t="n"/>
      <c r="B256" s="3" t="n"/>
      <c r="C256" s="17" t="n"/>
      <c r="D256" s="17" t="n"/>
      <c r="E256" s="13">
        <f>SE(OU(A256="";C256="";D256="");"";C256-D256)</f>
        <v/>
      </c>
      <c r="F256" s="4">
        <f>SE(OU(A256="";C256="";D256="");"";SE(C256=D256;"✅";"❌"))</f>
        <v/>
      </c>
    </row>
    <row r="257">
      <c r="A257" s="15" t="n"/>
      <c r="B257" s="3" t="n"/>
      <c r="C257" s="17" t="n"/>
      <c r="D257" s="17" t="n"/>
      <c r="E257" s="13">
        <f>SE(OU(A257="";C257="";D257="");"";C257-D257)</f>
        <v/>
      </c>
      <c r="F257" s="4">
        <f>SE(OU(A257="";C257="";D257="");"";SE(C257=D257;"✅";"❌"))</f>
        <v/>
      </c>
    </row>
    <row r="258">
      <c r="A258" s="15" t="n"/>
      <c r="B258" s="3" t="n"/>
      <c r="C258" s="17" t="n"/>
      <c r="D258" s="17" t="n"/>
      <c r="E258" s="13">
        <f>SE(OU(A258="";C258="";D258="");"";C258-D258)</f>
        <v/>
      </c>
      <c r="F258" s="4">
        <f>SE(OU(A258="";C258="";D258="");"";SE(C258=D258;"✅";"❌"))</f>
        <v/>
      </c>
    </row>
    <row r="259">
      <c r="A259" s="15" t="n"/>
      <c r="B259" s="3" t="n"/>
      <c r="C259" s="17" t="n"/>
      <c r="D259" s="17" t="n"/>
      <c r="E259" s="13">
        <f>SE(OU(A259="";C259="";D259="");"";C259-D259)</f>
        <v/>
      </c>
      <c r="F259" s="4">
        <f>SE(OU(A259="";C259="";D259="");"";SE(C259=D259;"✅";"❌"))</f>
        <v/>
      </c>
    </row>
    <row r="260">
      <c r="A260" s="15" t="n"/>
      <c r="B260" s="3" t="n"/>
      <c r="C260" s="17" t="n"/>
      <c r="D260" s="17" t="n"/>
      <c r="E260" s="13">
        <f>SE(OU(A260="";C260="";D260="");"";C260-D260)</f>
        <v/>
      </c>
      <c r="F260" s="4">
        <f>SE(OU(A260="";C260="";D260="");"";SE(C260=D260;"✅";"❌"))</f>
        <v/>
      </c>
    </row>
    <row r="261">
      <c r="A261" s="15" t="n"/>
      <c r="B261" s="3" t="n"/>
      <c r="C261" s="17" t="n"/>
      <c r="D261" s="17" t="n"/>
      <c r="E261" s="13">
        <f>SE(OU(A261="";C261="";D261="");"";C261-D261)</f>
        <v/>
      </c>
      <c r="F261" s="4">
        <f>SE(OU(A261="";C261="";D261="");"";SE(C261=D261;"✅";"❌"))</f>
        <v/>
      </c>
    </row>
    <row r="262">
      <c r="A262" s="15" t="n"/>
      <c r="B262" s="3" t="n"/>
      <c r="C262" s="17" t="n"/>
      <c r="D262" s="17" t="n"/>
      <c r="E262" s="13">
        <f>SE(OU(A262="";C262="";D262="");"";C262-D262)</f>
        <v/>
      </c>
      <c r="F262" s="4">
        <f>SE(OU(A262="";C262="";D262="");"";SE(C262=D262;"✅";"❌"))</f>
        <v/>
      </c>
    </row>
    <row r="263">
      <c r="A263" s="15" t="n"/>
      <c r="B263" s="3" t="n"/>
      <c r="C263" s="17" t="n"/>
      <c r="D263" s="17" t="n"/>
      <c r="E263" s="13">
        <f>SE(OU(A263="";C263="";D263="");"";C263-D263)</f>
        <v/>
      </c>
      <c r="F263" s="4">
        <f>SE(OU(A263="";C263="";D263="");"";SE(C263=D263;"✅";"❌"))</f>
        <v/>
      </c>
    </row>
    <row r="264">
      <c r="A264" s="15" t="n"/>
      <c r="B264" s="3" t="n"/>
      <c r="C264" s="17" t="n"/>
      <c r="D264" s="17" t="n"/>
      <c r="E264" s="13">
        <f>SE(OU(A264="";C264="";D264="");"";C264-D264)</f>
        <v/>
      </c>
      <c r="F264" s="4">
        <f>SE(OU(A264="";C264="";D264="");"";SE(C264=D264;"✅";"❌"))</f>
        <v/>
      </c>
    </row>
    <row r="265">
      <c r="A265" s="15" t="n"/>
      <c r="B265" s="3" t="n"/>
      <c r="C265" s="17" t="n"/>
      <c r="D265" s="17" t="n"/>
      <c r="E265" s="13">
        <f>SE(OU(A265="";C265="";D265="");"";C265-D265)</f>
        <v/>
      </c>
      <c r="F265" s="4">
        <f>SE(OU(A265="";C265="";D265="");"";SE(C265=D265;"✅";"❌"))</f>
        <v/>
      </c>
    </row>
    <row r="266">
      <c r="A266" s="15" t="n"/>
      <c r="B266" s="3" t="n"/>
      <c r="C266" s="17" t="n"/>
      <c r="D266" s="17" t="n"/>
      <c r="E266" s="13">
        <f>SE(OU(A266="";C266="";D266="");"";C266-D266)</f>
        <v/>
      </c>
      <c r="F266" s="4">
        <f>SE(OU(A266="";C266="";D266="");"";SE(C266=D266;"✅";"❌"))</f>
        <v/>
      </c>
    </row>
    <row r="267">
      <c r="A267" s="15" t="n"/>
      <c r="B267" s="3" t="n"/>
      <c r="C267" s="17" t="n"/>
      <c r="D267" s="17" t="n"/>
      <c r="E267" s="13">
        <f>SE(OU(A267="";C267="";D267="");"";C267-D267)</f>
        <v/>
      </c>
      <c r="F267" s="4">
        <f>SE(OU(A267="";C267="";D267="");"";SE(C267=D267;"✅";"❌"))</f>
        <v/>
      </c>
    </row>
    <row r="268">
      <c r="A268" s="15" t="n"/>
      <c r="B268" s="3" t="n"/>
      <c r="C268" s="17" t="n"/>
      <c r="D268" s="17" t="n"/>
      <c r="E268" s="13">
        <f>SE(OU(A268="";C268="";D268="");"";C268-D268)</f>
        <v/>
      </c>
      <c r="F268" s="4">
        <f>SE(OU(A268="";C268="";D268="");"";SE(C268=D268;"✅";"❌"))</f>
        <v/>
      </c>
    </row>
    <row r="269">
      <c r="A269" s="15" t="n"/>
      <c r="B269" s="3" t="n"/>
      <c r="C269" s="17" t="n"/>
      <c r="D269" s="17" t="n"/>
      <c r="E269" s="13">
        <f>SE(OU(A269="";C269="";D269="");"";C269-D269)</f>
        <v/>
      </c>
      <c r="F269" s="4">
        <f>SE(OU(A269="";C269="";D269="");"";SE(C269=D269;"✅";"❌"))</f>
        <v/>
      </c>
    </row>
    <row r="270">
      <c r="A270" s="15" t="n"/>
      <c r="B270" s="3" t="n"/>
      <c r="C270" s="17" t="n"/>
      <c r="D270" s="17" t="n"/>
      <c r="E270" s="13">
        <f>SE(OU(A270="";C270="";D270="");"";C270-D270)</f>
        <v/>
      </c>
      <c r="F270" s="4">
        <f>SE(OU(A270="";C270="";D270="");"";SE(C270=D270;"✅";"❌"))</f>
        <v/>
      </c>
    </row>
    <row r="271">
      <c r="A271" s="15" t="n"/>
      <c r="B271" s="3" t="n"/>
      <c r="C271" s="17" t="n"/>
      <c r="D271" s="17" t="n"/>
      <c r="E271" s="13">
        <f>SE(OU(A271="";C271="";D271="");"";C271-D271)</f>
        <v/>
      </c>
      <c r="F271" s="4">
        <f>SE(OU(A271="";C271="";D271="");"";SE(C271=D271;"✅";"❌"))</f>
        <v/>
      </c>
    </row>
    <row r="272">
      <c r="A272" s="15" t="n"/>
      <c r="B272" s="3" t="n"/>
      <c r="C272" s="17" t="n"/>
      <c r="D272" s="17" t="n"/>
      <c r="E272" s="13">
        <f>SE(OU(A272="";C272="";D272="");"";C272-D272)</f>
        <v/>
      </c>
      <c r="F272" s="4">
        <f>SE(OU(A272="";C272="";D272="");"";SE(C272=D272;"✅";"❌"))</f>
        <v/>
      </c>
    </row>
    <row r="273">
      <c r="A273" s="15" t="n"/>
      <c r="B273" s="3" t="n"/>
      <c r="C273" s="17" t="n"/>
      <c r="D273" s="17" t="n"/>
      <c r="E273" s="13">
        <f>SE(OU(A273="";C273="";D273="");"";C273-D273)</f>
        <v/>
      </c>
      <c r="F273" s="4">
        <f>SE(OU(A273="";C273="";D273="");"";SE(C273=D273;"✅";"❌"))</f>
        <v/>
      </c>
    </row>
    <row r="274">
      <c r="A274" s="15" t="n"/>
      <c r="B274" s="3" t="n"/>
      <c r="C274" s="17" t="n"/>
      <c r="D274" s="17" t="n"/>
      <c r="E274" s="13">
        <f>SE(OU(A274="";C274="";D274="");"";C274-D274)</f>
        <v/>
      </c>
      <c r="F274" s="4">
        <f>SE(OU(A274="";C274="";D274="");"";SE(C274=D274;"✅";"❌"))</f>
        <v/>
      </c>
    </row>
    <row r="275">
      <c r="A275" s="15" t="n"/>
      <c r="B275" s="3" t="n"/>
      <c r="C275" s="17" t="n"/>
      <c r="D275" s="17" t="n"/>
      <c r="E275" s="13">
        <f>SE(OU(A275="";C275="";D275="");"";C275-D275)</f>
        <v/>
      </c>
      <c r="F275" s="4">
        <f>SE(OU(A275="";C275="";D275="");"";SE(C275=D275;"✅";"❌"))</f>
        <v/>
      </c>
    </row>
    <row r="276">
      <c r="A276" s="15" t="n"/>
      <c r="B276" s="3" t="n"/>
      <c r="C276" s="17" t="n"/>
      <c r="D276" s="17" t="n"/>
      <c r="E276" s="13">
        <f>SE(OU(A276="";C276="";D276="");"";C276-D276)</f>
        <v/>
      </c>
      <c r="F276" s="4">
        <f>SE(OU(A276="";C276="";D276="");"";SE(C276=D276;"✅";"❌"))</f>
        <v/>
      </c>
    </row>
    <row r="277">
      <c r="A277" s="15" t="n"/>
      <c r="B277" s="3" t="n"/>
      <c r="C277" s="17" t="n"/>
      <c r="D277" s="17" t="n"/>
      <c r="E277" s="13">
        <f>SE(OU(A277="";C277="";D277="");"";C277-D277)</f>
        <v/>
      </c>
      <c r="F277" s="4">
        <f>SE(OU(A277="";C277="";D277="");"";SE(C277=D277;"✅";"❌"))</f>
        <v/>
      </c>
    </row>
    <row r="278">
      <c r="A278" s="15" t="n"/>
      <c r="B278" s="3" t="n"/>
      <c r="C278" s="17" t="n"/>
      <c r="D278" s="17" t="n"/>
      <c r="E278" s="13">
        <f>SE(OU(A278="";C278="";D278="");"";C278-D278)</f>
        <v/>
      </c>
      <c r="F278" s="4">
        <f>SE(OU(A278="";C278="";D278="");"";SE(C278=D278;"✅";"❌"))</f>
        <v/>
      </c>
    </row>
    <row r="279">
      <c r="A279" s="15" t="n"/>
      <c r="B279" s="3" t="n"/>
      <c r="C279" s="17" t="n"/>
      <c r="D279" s="17" t="n"/>
      <c r="E279" s="13">
        <f>SE(OU(A279="";C279="";D279="");"";C279-D279)</f>
        <v/>
      </c>
      <c r="F279" s="4">
        <f>SE(OU(A279="";C279="";D279="");"";SE(C279=D279;"✅";"❌"))</f>
        <v/>
      </c>
    </row>
    <row r="280">
      <c r="A280" s="15" t="n"/>
      <c r="B280" s="3" t="n"/>
      <c r="C280" s="17" t="n"/>
      <c r="D280" s="17" t="n"/>
      <c r="E280" s="13">
        <f>SE(OU(A280="";C280="";D280="");"";C280-D280)</f>
        <v/>
      </c>
      <c r="F280" s="4">
        <f>SE(OU(A280="";C280="";D280="");"";SE(C280=D280;"✅";"❌"))</f>
        <v/>
      </c>
    </row>
    <row r="281">
      <c r="A281" s="15" t="n"/>
      <c r="B281" s="3" t="n"/>
      <c r="C281" s="17" t="n"/>
      <c r="D281" s="17" t="n"/>
      <c r="E281" s="13">
        <f>SE(OU(A281="";C281="";D281="");"";C281-D281)</f>
        <v/>
      </c>
      <c r="F281" s="4">
        <f>SE(OU(A281="";C281="";D281="");"";SE(C281=D281;"✅";"❌"))</f>
        <v/>
      </c>
    </row>
    <row r="282">
      <c r="A282" s="15" t="n"/>
      <c r="B282" s="3" t="n"/>
      <c r="C282" s="17" t="n"/>
      <c r="D282" s="17" t="n"/>
      <c r="E282" s="13">
        <f>SE(OU(A282="";C282="";D282="");"";C282-D282)</f>
        <v/>
      </c>
      <c r="F282" s="4">
        <f>SE(OU(A282="";C282="";D282="");"";SE(C282=D282;"✅";"❌"))</f>
        <v/>
      </c>
    </row>
    <row r="283">
      <c r="A283" s="15" t="n"/>
      <c r="B283" s="3" t="n"/>
      <c r="C283" s="17" t="n"/>
      <c r="D283" s="17" t="n"/>
      <c r="E283" s="13">
        <f>SE(OU(A283="";C283="";D283="");"";C283-D283)</f>
        <v/>
      </c>
      <c r="F283" s="4">
        <f>SE(OU(A283="";C283="";D283="");"";SE(C283=D283;"✅";"❌"))</f>
        <v/>
      </c>
    </row>
    <row r="284">
      <c r="A284" s="15" t="n"/>
      <c r="B284" s="3" t="n"/>
      <c r="C284" s="17" t="n"/>
      <c r="D284" s="17" t="n"/>
      <c r="E284" s="13">
        <f>SE(OU(A284="";C284="";D284="");"";C284-D284)</f>
        <v/>
      </c>
      <c r="F284" s="4">
        <f>SE(OU(A284="";C284="";D284="");"";SE(C284=D284;"✅";"❌"))</f>
        <v/>
      </c>
    </row>
    <row r="285">
      <c r="A285" s="15" t="n"/>
      <c r="B285" s="3" t="n"/>
      <c r="C285" s="17" t="n"/>
      <c r="D285" s="17" t="n"/>
      <c r="E285" s="13">
        <f>SE(OU(A285="";C285="";D285="");"";C285-D285)</f>
        <v/>
      </c>
      <c r="F285" s="4">
        <f>SE(OU(A285="";C285="";D285="");"";SE(C285=D285;"✅";"❌"))</f>
        <v/>
      </c>
    </row>
    <row r="286">
      <c r="A286" s="15" t="n"/>
      <c r="B286" s="3" t="n"/>
      <c r="C286" s="17" t="n"/>
      <c r="D286" s="17" t="n"/>
      <c r="E286" s="13">
        <f>SE(OU(A286="";C286="";D286="");"";C286-D286)</f>
        <v/>
      </c>
      <c r="F286" s="4">
        <f>SE(OU(A286="";C286="";D286="");"";SE(C286=D286;"✅";"❌"))</f>
        <v/>
      </c>
    </row>
    <row r="287">
      <c r="A287" s="15" t="n"/>
      <c r="B287" s="3" t="n"/>
      <c r="C287" s="17" t="n"/>
      <c r="D287" s="17" t="n"/>
      <c r="E287" s="13">
        <f>SE(OU(A287="";C287="";D287="");"";C287-D287)</f>
        <v/>
      </c>
      <c r="F287" s="4">
        <f>SE(OU(A287="";C287="";D287="");"";SE(C287=D287;"✅";"❌"))</f>
        <v/>
      </c>
    </row>
    <row r="288">
      <c r="A288" s="15" t="n"/>
      <c r="B288" s="3" t="n"/>
      <c r="C288" s="17" t="n"/>
      <c r="D288" s="17" t="n"/>
      <c r="E288" s="13">
        <f>SE(OU(A288="";C288="";D288="");"";C288-D288)</f>
        <v/>
      </c>
      <c r="F288" s="4">
        <f>SE(OU(A288="";C288="";D288="");"";SE(C288=D288;"✅";"❌"))</f>
        <v/>
      </c>
    </row>
    <row r="289">
      <c r="A289" s="15" t="n"/>
      <c r="B289" s="3" t="n"/>
      <c r="C289" s="17" t="n"/>
      <c r="D289" s="17" t="n"/>
      <c r="E289" s="13">
        <f>SE(OU(A289="";C289="";D289="");"";C289-D289)</f>
        <v/>
      </c>
      <c r="F289" s="4">
        <f>SE(OU(A289="";C289="";D289="");"";SE(C289=D289;"✅";"❌"))</f>
        <v/>
      </c>
    </row>
    <row r="290">
      <c r="A290" s="15" t="n"/>
      <c r="B290" s="3" t="n"/>
      <c r="C290" s="17" t="n"/>
      <c r="D290" s="17" t="n"/>
      <c r="E290" s="13">
        <f>SE(OU(A290="";C290="";D290="");"";C290-D290)</f>
        <v/>
      </c>
      <c r="F290" s="4">
        <f>SE(OU(A290="";C290="";D290="");"";SE(C290=D290;"✅";"❌"))</f>
        <v/>
      </c>
    </row>
    <row r="291">
      <c r="A291" s="15" t="n"/>
      <c r="B291" s="3" t="n"/>
      <c r="C291" s="17" t="n"/>
      <c r="D291" s="17" t="n"/>
      <c r="E291" s="13">
        <f>SE(OU(A291="";C291="";D291="");"";C291-D291)</f>
        <v/>
      </c>
      <c r="F291" s="4">
        <f>SE(OU(A291="";C291="";D291="");"";SE(C291=D291;"✅";"❌"))</f>
        <v/>
      </c>
    </row>
    <row r="292">
      <c r="A292" s="15" t="n"/>
      <c r="B292" s="3" t="n"/>
      <c r="C292" s="17" t="n"/>
      <c r="D292" s="17" t="n"/>
      <c r="E292" s="13">
        <f>SE(OU(A292="";C292="";D292="");"";C292-D292)</f>
        <v/>
      </c>
      <c r="F292" s="4">
        <f>SE(OU(A292="";C292="";D292="");"";SE(C292=D292;"✅";"❌"))</f>
        <v/>
      </c>
    </row>
    <row r="293">
      <c r="A293" s="15" t="n"/>
      <c r="B293" s="3" t="n"/>
      <c r="C293" s="17" t="n"/>
      <c r="D293" s="17" t="n"/>
      <c r="E293" s="13">
        <f>SE(OU(A293="";C293="";D293="");"";C293-D293)</f>
        <v/>
      </c>
      <c r="F293" s="4">
        <f>SE(OU(A293="";C293="";D293="");"";SE(C293=D293;"✅";"❌"))</f>
        <v/>
      </c>
    </row>
    <row r="294">
      <c r="A294" s="15" t="n"/>
      <c r="B294" s="3" t="n"/>
      <c r="C294" s="17" t="n"/>
      <c r="D294" s="17" t="n"/>
      <c r="E294" s="13">
        <f>SE(OU(A294="";C294="";D294="");"";C294-D294)</f>
        <v/>
      </c>
      <c r="F294" s="4">
        <f>SE(OU(A294="";C294="";D294="");"";SE(C294=D294;"✅";"❌"))</f>
        <v/>
      </c>
    </row>
    <row r="295">
      <c r="A295" s="15" t="n"/>
      <c r="B295" s="3" t="n"/>
      <c r="C295" s="17" t="n"/>
      <c r="D295" s="17" t="n"/>
      <c r="E295" s="13">
        <f>SE(OU(A295="";C295="";D295="");"";C295-D295)</f>
        <v/>
      </c>
      <c r="F295" s="4">
        <f>SE(OU(A295="";C295="";D295="");"";SE(C295=D295;"✅";"❌"))</f>
        <v/>
      </c>
    </row>
    <row r="296">
      <c r="A296" s="15" t="n"/>
      <c r="B296" s="3" t="n"/>
      <c r="C296" s="17" t="n"/>
      <c r="D296" s="17" t="n"/>
      <c r="E296" s="13">
        <f>SE(OU(A296="";C296="";D296="");"";C296-D296)</f>
        <v/>
      </c>
      <c r="F296" s="4">
        <f>SE(OU(A296="";C296="";D296="");"";SE(C296=D296;"✅";"❌"))</f>
        <v/>
      </c>
    </row>
    <row r="297">
      <c r="A297" s="15" t="n"/>
      <c r="B297" s="3" t="n"/>
      <c r="C297" s="17" t="n"/>
      <c r="D297" s="17" t="n"/>
      <c r="E297" s="13">
        <f>SE(OU(A297="";C297="";D297="");"";C297-D297)</f>
        <v/>
      </c>
      <c r="F297" s="4">
        <f>SE(OU(A297="";C297="";D297="");"";SE(C297=D297;"✅";"❌"))</f>
        <v/>
      </c>
    </row>
    <row r="298">
      <c r="A298" s="15" t="n"/>
      <c r="B298" s="3" t="n"/>
      <c r="C298" s="17" t="n"/>
      <c r="D298" s="17" t="n"/>
      <c r="E298" s="13">
        <f>SE(OU(A298="";C298="";D298="");"";C298-D298)</f>
        <v/>
      </c>
      <c r="F298" s="4">
        <f>SE(OU(A298="";C298="";D298="");"";SE(C298=D298;"✅";"❌"))</f>
        <v/>
      </c>
    </row>
    <row r="299">
      <c r="A299" s="15" t="n"/>
      <c r="B299" s="3" t="n"/>
      <c r="C299" s="17" t="n"/>
      <c r="D299" s="17" t="n"/>
      <c r="E299" s="13">
        <f>SE(OU(A299="";C299="";D299="");"";C299-D299)</f>
        <v/>
      </c>
      <c r="F299" s="4">
        <f>SE(OU(A299="";C299="";D299="");"";SE(C299=D299;"✅";"❌"))</f>
        <v/>
      </c>
    </row>
    <row r="300">
      <c r="A300" s="15" t="n"/>
      <c r="B300" s="3" t="n"/>
      <c r="C300" s="17" t="n"/>
      <c r="D300" s="17" t="n"/>
      <c r="E300" s="13">
        <f>SE(OU(A300="";C300="";D300="");"";C300-D300)</f>
        <v/>
      </c>
      <c r="F300" s="4">
        <f>SE(OU(A300="";C300="";D300="");"";SE(C300=D300;"✅";"❌"))</f>
        <v/>
      </c>
    </row>
    <row r="301">
      <c r="A301" s="15" t="n"/>
      <c r="B301" s="3" t="n"/>
      <c r="C301" s="17" t="n"/>
      <c r="D301" s="17" t="n"/>
      <c r="E301" s="13">
        <f>SE(OU(A301="";C301="";D301="");"";C301-D301)</f>
        <v/>
      </c>
      <c r="F301" s="4">
        <f>SE(OU(A301="";C301="";D301="");"";SE(C301=D301;"✅";"❌"))</f>
        <v/>
      </c>
    </row>
    <row r="302">
      <c r="A302" s="15" t="n"/>
      <c r="B302" s="3" t="n"/>
      <c r="C302" s="17" t="n"/>
      <c r="D302" s="17" t="n"/>
      <c r="E302" s="13">
        <f>SE(OU(A302="";C302="";D302="");"";C302-D302)</f>
        <v/>
      </c>
      <c r="F302" s="4">
        <f>SE(OU(A302="";C302="";D302="");"";SE(C302=D302;"✅";"❌"))</f>
        <v/>
      </c>
    </row>
    <row r="303">
      <c r="A303" s="15" t="n"/>
      <c r="B303" s="3" t="n"/>
      <c r="C303" s="17" t="n"/>
      <c r="D303" s="17" t="n"/>
      <c r="E303" s="13">
        <f>SE(OU(A303="";C303="";D303="");"";C303-D303)</f>
        <v/>
      </c>
      <c r="F303" s="4">
        <f>SE(OU(A303="";C303="";D303="");"";SE(C303=D303;"✅";"❌"))</f>
        <v/>
      </c>
    </row>
    <row r="304">
      <c r="A304" s="15" t="n"/>
      <c r="B304" s="3" t="n"/>
      <c r="C304" s="17" t="n"/>
      <c r="D304" s="17" t="n"/>
      <c r="E304" s="13">
        <f>SE(OU(A304="";C304="";D304="");"";C304-D304)</f>
        <v/>
      </c>
      <c r="F304" s="4">
        <f>SE(OU(A304="";C304="";D304="");"";SE(C304=D304;"✅";"❌"))</f>
        <v/>
      </c>
    </row>
    <row r="305">
      <c r="A305" s="15" t="n"/>
      <c r="B305" s="3" t="n"/>
      <c r="C305" s="17" t="n"/>
      <c r="D305" s="17" t="n"/>
      <c r="E305" s="13">
        <f>SE(OU(A305="";C305="";D305="");"";C305-D305)</f>
        <v/>
      </c>
      <c r="F305" s="4">
        <f>SE(OU(A305="";C305="";D305="");"";SE(C305=D305;"✅";"❌"))</f>
        <v/>
      </c>
    </row>
    <row r="306">
      <c r="A306" s="15" t="n"/>
      <c r="B306" s="3" t="n"/>
      <c r="C306" s="17" t="n"/>
      <c r="D306" s="17" t="n"/>
      <c r="E306" s="13">
        <f>SE(OU(A306="";C306="";D306="");"";C306-D306)</f>
        <v/>
      </c>
      <c r="F306" s="4">
        <f>SE(OU(A306="";C306="";D306="");"";SE(C306=D306;"✅";"❌"))</f>
        <v/>
      </c>
    </row>
    <row r="307">
      <c r="A307" s="15" t="n"/>
      <c r="B307" s="3" t="n"/>
      <c r="C307" s="17" t="n"/>
      <c r="D307" s="17" t="n"/>
      <c r="E307" s="13">
        <f>SE(OU(A307="";C307="";D307="");"";C307-D307)</f>
        <v/>
      </c>
      <c r="F307" s="4">
        <f>SE(OU(A307="";C307="";D307="");"";SE(C307=D307;"✅";"❌"))</f>
        <v/>
      </c>
    </row>
    <row r="308">
      <c r="A308" s="15" t="n"/>
      <c r="B308" s="3" t="n"/>
      <c r="C308" s="17" t="n"/>
      <c r="D308" s="17" t="n"/>
      <c r="E308" s="13">
        <f>SE(OU(A308="";C308="";D308="");"";C308-D308)</f>
        <v/>
      </c>
      <c r="F308" s="4">
        <f>SE(OU(A308="";C308="";D308="");"";SE(C308=D308;"✅";"❌"))</f>
        <v/>
      </c>
    </row>
    <row r="309">
      <c r="A309" s="15" t="n"/>
      <c r="B309" s="3" t="n"/>
      <c r="C309" s="17" t="n"/>
      <c r="D309" s="17" t="n"/>
      <c r="E309" s="13">
        <f>SE(OU(A309="";C309="";D309="");"";C309-D309)</f>
        <v/>
      </c>
      <c r="F309" s="4">
        <f>SE(OU(A309="";C309="";D309="");"";SE(C309=D309;"✅";"❌"))</f>
        <v/>
      </c>
    </row>
    <row r="310">
      <c r="A310" s="15" t="n"/>
      <c r="B310" s="3" t="n"/>
      <c r="C310" s="17" t="n"/>
      <c r="D310" s="17" t="n"/>
      <c r="E310" s="13">
        <f>SE(OU(A310="";C310="";D310="");"";C310-D310)</f>
        <v/>
      </c>
      <c r="F310" s="4">
        <f>SE(OU(A310="";C310="";D310="");"";SE(C310=D310;"✅";"❌"))</f>
        <v/>
      </c>
    </row>
    <row r="311">
      <c r="A311" s="15" t="n"/>
      <c r="B311" s="3" t="n"/>
      <c r="C311" s="17" t="n"/>
      <c r="D311" s="17" t="n"/>
      <c r="E311" s="13">
        <f>SE(OU(A311="";C311="";D311="");"";C311-D311)</f>
        <v/>
      </c>
      <c r="F311" s="4">
        <f>SE(OU(A311="";C311="";D311="");"";SE(C311=D311;"✅";"❌"))</f>
        <v/>
      </c>
    </row>
    <row r="312">
      <c r="A312" s="15" t="n"/>
      <c r="B312" s="3" t="n"/>
      <c r="C312" s="17" t="n"/>
      <c r="D312" s="17" t="n"/>
      <c r="E312" s="13">
        <f>SE(OU(A312="";C312="";D312="");"";C312-D312)</f>
        <v/>
      </c>
      <c r="F312" s="4">
        <f>SE(OU(A312="";C312="";D312="");"";SE(C312=D312;"✅";"❌"))</f>
        <v/>
      </c>
    </row>
    <row r="313">
      <c r="A313" s="15" t="n"/>
      <c r="B313" s="3" t="n"/>
      <c r="C313" s="17" t="n"/>
      <c r="D313" s="17" t="n"/>
      <c r="E313" s="13">
        <f>SE(OU(A313="";C313="";D313="");"";C313-D313)</f>
        <v/>
      </c>
      <c r="F313" s="4">
        <f>SE(OU(A313="";C313="";D313="");"";SE(C313=D313;"✅";"❌"))</f>
        <v/>
      </c>
    </row>
    <row r="314">
      <c r="A314" s="15" t="n"/>
      <c r="B314" s="3" t="n"/>
      <c r="C314" s="17" t="n"/>
      <c r="D314" s="17" t="n"/>
      <c r="E314" s="13">
        <f>SE(OU(A314="";C314="";D314="");"";C314-D314)</f>
        <v/>
      </c>
      <c r="F314" s="4">
        <f>SE(OU(A314="";C314="";D314="");"";SE(C314=D314;"✅";"❌"))</f>
        <v/>
      </c>
    </row>
    <row r="315">
      <c r="A315" s="15" t="n"/>
      <c r="B315" s="3" t="n"/>
      <c r="C315" s="17" t="n"/>
      <c r="D315" s="17" t="n"/>
      <c r="E315" s="13">
        <f>SE(OU(A315="";C315="";D315="");"";C315-D315)</f>
        <v/>
      </c>
      <c r="F315" s="4">
        <f>SE(OU(A315="";C315="";D315="");"";SE(C315=D315;"✅";"❌"))</f>
        <v/>
      </c>
    </row>
    <row r="316">
      <c r="A316" s="15" t="n"/>
      <c r="B316" s="3" t="n"/>
      <c r="C316" s="17" t="n"/>
      <c r="D316" s="17" t="n"/>
      <c r="E316" s="13">
        <f>SE(OU(A316="";C316="";D316="");"";C316-D316)</f>
        <v/>
      </c>
      <c r="F316" s="4">
        <f>SE(OU(A316="";C316="";D316="");"";SE(C316=D316;"✅";"❌"))</f>
        <v/>
      </c>
    </row>
    <row r="317">
      <c r="A317" s="15" t="n"/>
      <c r="B317" s="3" t="n"/>
      <c r="C317" s="17" t="n"/>
      <c r="D317" s="17" t="n"/>
      <c r="E317" s="13">
        <f>SE(OU(A317="";C317="";D317="");"";C317-D317)</f>
        <v/>
      </c>
      <c r="F317" s="4">
        <f>SE(OU(A317="";C317="";D317="");"";SE(C317=D317;"✅";"❌"))</f>
        <v/>
      </c>
    </row>
    <row r="318">
      <c r="A318" s="15" t="n"/>
      <c r="B318" s="3" t="n"/>
      <c r="C318" s="17" t="n"/>
      <c r="D318" s="17" t="n"/>
      <c r="E318" s="13">
        <f>SE(OU(A318="";C318="";D318="");"";C318-D318)</f>
        <v/>
      </c>
      <c r="F318" s="4">
        <f>SE(OU(A318="";C318="";D318="");"";SE(C318=D318;"✅";"❌"))</f>
        <v/>
      </c>
    </row>
    <row r="319">
      <c r="A319" s="15" t="n"/>
      <c r="B319" s="3" t="n"/>
      <c r="C319" s="17" t="n"/>
      <c r="D319" s="17" t="n"/>
      <c r="E319" s="13">
        <f>SE(OU(A319="";C319="";D319="");"";C319-D319)</f>
        <v/>
      </c>
      <c r="F319" s="4">
        <f>SE(OU(A319="";C319="";D319="");"";SE(C319=D319;"✅";"❌"))</f>
        <v/>
      </c>
    </row>
    <row r="320">
      <c r="A320" s="15" t="n"/>
      <c r="B320" s="3" t="n"/>
      <c r="C320" s="17" t="n"/>
      <c r="D320" s="17" t="n"/>
      <c r="E320" s="13">
        <f>SE(OU(A320="";C320="";D320="");"";C320-D320)</f>
        <v/>
      </c>
      <c r="F320" s="4">
        <f>SE(OU(A320="";C320="";D320="");"";SE(C320=D320;"✅";"❌"))</f>
        <v/>
      </c>
    </row>
    <row r="321">
      <c r="A321" s="15" t="n"/>
      <c r="B321" s="3" t="n"/>
      <c r="C321" s="17" t="n"/>
      <c r="D321" s="17" t="n"/>
      <c r="E321" s="13">
        <f>SE(OU(A321="";C321="";D321="");"";C321-D321)</f>
        <v/>
      </c>
      <c r="F321" s="4">
        <f>SE(OU(A321="";C321="";D321="");"";SE(C321=D321;"✅";"❌"))</f>
        <v/>
      </c>
    </row>
    <row r="322">
      <c r="A322" s="15" t="n"/>
      <c r="B322" s="3" t="n"/>
      <c r="C322" s="17" t="n"/>
      <c r="D322" s="17" t="n"/>
      <c r="E322" s="13">
        <f>SE(OU(A322="";C322="";D322="");"";C322-D322)</f>
        <v/>
      </c>
      <c r="F322" s="4">
        <f>SE(OU(A322="";C322="";D322="");"";SE(C322=D322;"✅";"❌"))</f>
        <v/>
      </c>
    </row>
    <row r="323">
      <c r="A323" s="15" t="n"/>
      <c r="B323" s="3" t="n"/>
      <c r="C323" s="17" t="n"/>
      <c r="D323" s="17" t="n"/>
      <c r="E323" s="13">
        <f>SE(OU(A323="";C323="";D323="");"";C323-D323)</f>
        <v/>
      </c>
      <c r="F323" s="4">
        <f>SE(OU(A323="";C323="";D323="");"";SE(C323=D323;"✅";"❌"))</f>
        <v/>
      </c>
    </row>
    <row r="324">
      <c r="A324" s="15" t="n"/>
      <c r="B324" s="3" t="n"/>
      <c r="C324" s="17" t="n"/>
      <c r="D324" s="17" t="n"/>
      <c r="E324" s="13">
        <f>SE(OU(A324="";C324="";D324="");"";C324-D324)</f>
        <v/>
      </c>
      <c r="F324" s="4">
        <f>SE(OU(A324="";C324="";D324="");"";SE(C324=D324;"✅";"❌"))</f>
        <v/>
      </c>
    </row>
    <row r="325">
      <c r="A325" s="15" t="n"/>
      <c r="B325" s="3" t="n"/>
      <c r="C325" s="17" t="n"/>
      <c r="D325" s="17" t="n"/>
      <c r="E325" s="13">
        <f>SE(OU(A325="";C325="";D325="");"";C325-D325)</f>
        <v/>
      </c>
      <c r="F325" s="4">
        <f>SE(OU(A325="";C325="";D325="");"";SE(C325=D325;"✅";"❌"))</f>
        <v/>
      </c>
    </row>
    <row r="326">
      <c r="A326" s="15" t="n"/>
      <c r="B326" s="3" t="n"/>
      <c r="C326" s="17" t="n"/>
      <c r="D326" s="17" t="n"/>
      <c r="E326" s="13">
        <f>SE(OU(A326="";C326="";D326="");"";C326-D326)</f>
        <v/>
      </c>
      <c r="F326" s="4">
        <f>SE(OU(A326="";C326="";D326="");"";SE(C326=D326;"✅";"❌"))</f>
        <v/>
      </c>
    </row>
    <row r="327">
      <c r="A327" s="15" t="n"/>
      <c r="B327" s="3" t="n"/>
      <c r="C327" s="17" t="n"/>
      <c r="D327" s="17" t="n"/>
      <c r="E327" s="13">
        <f>SE(OU(A327="";C327="";D327="");"";C327-D327)</f>
        <v/>
      </c>
      <c r="F327" s="4">
        <f>SE(OU(A327="";C327="";D327="");"";SE(C327=D327;"✅";"❌"))</f>
        <v/>
      </c>
    </row>
    <row r="328">
      <c r="A328" s="15" t="n"/>
      <c r="B328" s="3" t="n"/>
      <c r="C328" s="17" t="n"/>
      <c r="D328" s="17" t="n"/>
      <c r="E328" s="13">
        <f>SE(OU(A328="";C328="";D328="");"";C328-D328)</f>
        <v/>
      </c>
      <c r="F328" s="4">
        <f>SE(OU(A328="";C328="";D328="");"";SE(C328=D328;"✅";"❌"))</f>
        <v/>
      </c>
    </row>
    <row r="329">
      <c r="A329" s="15" t="n"/>
      <c r="B329" s="3" t="n"/>
      <c r="C329" s="17" t="n"/>
      <c r="D329" s="17" t="n"/>
      <c r="E329" s="13">
        <f>SE(OU(A329="";C329="";D329="");"";C329-D329)</f>
        <v/>
      </c>
      <c r="F329" s="4">
        <f>SE(OU(A329="";C329="";D329="");"";SE(C329=D329;"✅";"❌"))</f>
        <v/>
      </c>
    </row>
    <row r="330">
      <c r="A330" s="15" t="n"/>
      <c r="B330" s="3" t="n"/>
      <c r="C330" s="17" t="n"/>
      <c r="D330" s="17" t="n"/>
      <c r="E330" s="13">
        <f>SE(OU(A330="";C330="";D330="");"";C330-D330)</f>
        <v/>
      </c>
      <c r="F330" s="4">
        <f>SE(OU(A330="";C330="";D330="");"";SE(C330=D330;"✅";"❌"))</f>
        <v/>
      </c>
    </row>
    <row r="331">
      <c r="A331" s="15" t="n"/>
      <c r="B331" s="3" t="n"/>
      <c r="C331" s="17" t="n"/>
      <c r="D331" s="17" t="n"/>
      <c r="E331" s="13">
        <f>SE(OU(A331="";C331="";D331="");"";C331-D331)</f>
        <v/>
      </c>
      <c r="F331" s="4">
        <f>SE(OU(A331="";C331="";D331="");"";SE(C331=D331;"✅";"❌"))</f>
        <v/>
      </c>
    </row>
    <row r="332">
      <c r="A332" s="15" t="n"/>
      <c r="B332" s="3" t="n"/>
      <c r="C332" s="17" t="n"/>
      <c r="D332" s="17" t="n"/>
      <c r="E332" s="13">
        <f>SE(OU(A332="";C332="";D332="");"";C332-D332)</f>
        <v/>
      </c>
      <c r="F332" s="4">
        <f>SE(OU(A332="";C332="";D332="");"";SE(C332=D332;"✅";"❌"))</f>
        <v/>
      </c>
    </row>
    <row r="333">
      <c r="A333" s="15" t="n"/>
      <c r="B333" s="3" t="n"/>
      <c r="C333" s="17" t="n"/>
      <c r="D333" s="17" t="n"/>
      <c r="E333" s="13">
        <f>SE(OU(A333="";C333="";D333="");"";C333-D333)</f>
        <v/>
      </c>
      <c r="F333" s="4">
        <f>SE(OU(A333="";C333="";D333="");"";SE(C333=D333;"✅";"❌"))</f>
        <v/>
      </c>
    </row>
    <row r="334">
      <c r="A334" s="15" t="n"/>
      <c r="B334" s="3" t="n"/>
      <c r="C334" s="17" t="n"/>
      <c r="D334" s="17" t="n"/>
      <c r="E334" s="13">
        <f>SE(OU(A334="";C334="";D334="");"";C334-D334)</f>
        <v/>
      </c>
      <c r="F334" s="4">
        <f>SE(OU(A334="";C334="";D334="");"";SE(C334=D334;"✅";"❌"))</f>
        <v/>
      </c>
    </row>
    <row r="335">
      <c r="A335" s="15" t="n"/>
      <c r="B335" s="3" t="n"/>
      <c r="C335" s="17" t="n"/>
      <c r="D335" s="17" t="n"/>
      <c r="E335" s="13">
        <f>SE(OU(A335="";C335="";D335="");"";C335-D335)</f>
        <v/>
      </c>
      <c r="F335" s="4">
        <f>SE(OU(A335="";C335="";D335="");"";SE(C335=D335;"✅";"❌"))</f>
        <v/>
      </c>
    </row>
    <row r="336">
      <c r="A336" s="15" t="n"/>
      <c r="B336" s="3" t="n"/>
      <c r="C336" s="17" t="n"/>
      <c r="D336" s="17" t="n"/>
      <c r="E336" s="13">
        <f>SE(OU(A336="";C336="";D336="");"";C336-D336)</f>
        <v/>
      </c>
      <c r="F336" s="4">
        <f>SE(OU(A336="";C336="";D336="");"";SE(C336=D336;"✅";"❌"))</f>
        <v/>
      </c>
    </row>
    <row r="337">
      <c r="A337" s="15" t="n"/>
      <c r="B337" s="3" t="n"/>
      <c r="C337" s="17" t="n"/>
      <c r="D337" s="17" t="n"/>
      <c r="E337" s="13">
        <f>SE(OU(A337="";C337="";D337="");"";C337-D337)</f>
        <v/>
      </c>
      <c r="F337" s="4">
        <f>SE(OU(A337="";C337="";D337="");"";SE(C337=D337;"✅";"❌"))</f>
        <v/>
      </c>
    </row>
    <row r="338">
      <c r="A338" s="15" t="n"/>
      <c r="B338" s="3" t="n"/>
      <c r="C338" s="17" t="n"/>
      <c r="D338" s="17" t="n"/>
      <c r="E338" s="13">
        <f>SE(OU(A338="";C338="";D338="");"";C338-D338)</f>
        <v/>
      </c>
      <c r="F338" s="4">
        <f>SE(OU(A338="";C338="";D338="");"";SE(C338=D338;"✅";"❌"))</f>
        <v/>
      </c>
    </row>
    <row r="339">
      <c r="A339" s="15" t="n"/>
      <c r="B339" s="3" t="n"/>
      <c r="C339" s="17" t="n"/>
      <c r="D339" s="17" t="n"/>
      <c r="E339" s="13">
        <f>SE(OU(A339="";C339="";D339="");"";C339-D339)</f>
        <v/>
      </c>
      <c r="F339" s="4">
        <f>SE(OU(A339="";C339="";D339="");"";SE(C339=D339;"✅";"❌"))</f>
        <v/>
      </c>
    </row>
    <row r="340">
      <c r="A340" s="15" t="n"/>
      <c r="B340" s="3" t="n"/>
      <c r="C340" s="17" t="n"/>
      <c r="D340" s="17" t="n"/>
      <c r="E340" s="13">
        <f>SE(OU(A340="";C340="";D340="");"";C340-D340)</f>
        <v/>
      </c>
      <c r="F340" s="4">
        <f>SE(OU(A340="";C340="";D340="");"";SE(C340=D340;"✅";"❌"))</f>
        <v/>
      </c>
    </row>
    <row r="341">
      <c r="A341" s="15" t="n"/>
      <c r="B341" s="3" t="n"/>
      <c r="C341" s="17" t="n"/>
      <c r="D341" s="17" t="n"/>
      <c r="E341" s="13">
        <f>SE(OU(A341="";C341="";D341="");"";C341-D341)</f>
        <v/>
      </c>
      <c r="F341" s="4">
        <f>SE(OU(A341="";C341="";D341="");"";SE(C341=D341;"✅";"❌"))</f>
        <v/>
      </c>
    </row>
    <row r="342">
      <c r="A342" s="15" t="n"/>
      <c r="B342" s="3" t="n"/>
      <c r="C342" s="17" t="n"/>
      <c r="D342" s="17" t="n"/>
      <c r="E342" s="13">
        <f>SE(OU(A342="";C342="";D342="");"";C342-D342)</f>
        <v/>
      </c>
      <c r="F342" s="4">
        <f>SE(OU(A342="";C342="";D342="");"";SE(C342=D342;"✅";"❌"))</f>
        <v/>
      </c>
    </row>
    <row r="343">
      <c r="A343" s="15" t="n"/>
      <c r="B343" s="3" t="n"/>
      <c r="C343" s="17" t="n"/>
      <c r="D343" s="17" t="n"/>
      <c r="E343" s="13">
        <f>SE(OU(A343="";C343="";D343="");"";C343-D343)</f>
        <v/>
      </c>
      <c r="F343" s="4">
        <f>SE(OU(A343="";C343="";D343="");"";SE(C343=D343;"✅";"❌"))</f>
        <v/>
      </c>
    </row>
    <row r="344">
      <c r="A344" s="15" t="n"/>
      <c r="B344" s="3" t="n"/>
      <c r="C344" s="17" t="n"/>
      <c r="D344" s="17" t="n"/>
      <c r="E344" s="13">
        <f>SE(OU(A344="";C344="";D344="");"";C344-D344)</f>
        <v/>
      </c>
      <c r="F344" s="4">
        <f>SE(OU(A344="";C344="";D344="");"";SE(C344=D344;"✅";"❌"))</f>
        <v/>
      </c>
    </row>
    <row r="345">
      <c r="A345" s="15" t="n"/>
      <c r="B345" s="3" t="n"/>
      <c r="C345" s="17" t="n"/>
      <c r="D345" s="17" t="n"/>
      <c r="E345" s="13">
        <f>SE(OU(A345="";C345="";D345="");"";C345-D345)</f>
        <v/>
      </c>
      <c r="F345" s="4">
        <f>SE(OU(A345="";C345="";D345="");"";SE(C345=D345;"✅";"❌"))</f>
        <v/>
      </c>
    </row>
    <row r="346">
      <c r="A346" s="15" t="n"/>
      <c r="B346" s="3" t="n"/>
      <c r="C346" s="17" t="n"/>
      <c r="D346" s="17" t="n"/>
      <c r="E346" s="13">
        <f>SE(OU(A346="";C346="";D346="");"";C346-D346)</f>
        <v/>
      </c>
      <c r="F346" s="4">
        <f>SE(OU(A346="";C346="";D346="");"";SE(C346=D346;"✅";"❌"))</f>
        <v/>
      </c>
    </row>
    <row r="347">
      <c r="A347" s="15" t="n"/>
      <c r="B347" s="3" t="n"/>
      <c r="C347" s="17" t="n"/>
      <c r="D347" s="17" t="n"/>
      <c r="E347" s="13">
        <f>SE(OU(A347="";C347="";D347="");"";C347-D347)</f>
        <v/>
      </c>
      <c r="F347" s="4">
        <f>SE(OU(A347="";C347="";D347="");"";SE(C347=D347;"✅";"❌"))</f>
        <v/>
      </c>
    </row>
    <row r="348">
      <c r="A348" s="15" t="n"/>
      <c r="B348" s="3" t="n"/>
      <c r="C348" s="17" t="n"/>
      <c r="D348" s="17" t="n"/>
      <c r="E348" s="13">
        <f>SE(OU(A348="";C348="";D348="");"";C348-D348)</f>
        <v/>
      </c>
      <c r="F348" s="4">
        <f>SE(OU(A348="";C348="";D348="");"";SE(C348=D348;"✅";"❌"))</f>
        <v/>
      </c>
    </row>
    <row r="349">
      <c r="A349" s="15" t="n"/>
      <c r="B349" s="3" t="n"/>
      <c r="C349" s="17" t="n"/>
      <c r="D349" s="17" t="n"/>
      <c r="E349" s="13">
        <f>SE(OU(A349="";C349="";D349="");"";C349-D349)</f>
        <v/>
      </c>
      <c r="F349" s="4">
        <f>SE(OU(A349="";C349="";D349="");"";SE(C349=D349;"✅";"❌"))</f>
        <v/>
      </c>
    </row>
    <row r="350">
      <c r="A350" s="15" t="n"/>
      <c r="B350" s="3" t="n"/>
      <c r="C350" s="17" t="n"/>
      <c r="D350" s="17" t="n"/>
      <c r="E350" s="13">
        <f>SE(OU(A350="";C350="";D350="");"";C350-D350)</f>
        <v/>
      </c>
      <c r="F350" s="4">
        <f>SE(OU(A350="";C350="";D350="");"";SE(C350=D350;"✅";"❌"))</f>
        <v/>
      </c>
    </row>
    <row r="351">
      <c r="A351" s="15" t="n"/>
      <c r="B351" s="3" t="n"/>
      <c r="C351" s="17" t="n"/>
      <c r="D351" s="17" t="n"/>
      <c r="E351" s="13">
        <f>SE(OU(A351="";C351="";D351="");"";C351-D351)</f>
        <v/>
      </c>
      <c r="F351" s="4">
        <f>SE(OU(A351="";C351="";D351="");"";SE(C351=D351;"✅";"❌"))</f>
        <v/>
      </c>
    </row>
    <row r="352">
      <c r="A352" s="15" t="n"/>
      <c r="B352" s="3" t="n"/>
      <c r="C352" s="17" t="n"/>
      <c r="D352" s="17" t="n"/>
      <c r="E352" s="13">
        <f>SE(OU(A352="";C352="";D352="");"";C352-D352)</f>
        <v/>
      </c>
      <c r="F352" s="4">
        <f>SE(OU(A352="";C352="";D352="");"";SE(C352=D352;"✅";"❌"))</f>
        <v/>
      </c>
    </row>
    <row r="353">
      <c r="A353" s="15" t="n"/>
      <c r="B353" s="3" t="n"/>
      <c r="C353" s="17" t="n"/>
      <c r="D353" s="17" t="n"/>
      <c r="E353" s="13">
        <f>SE(OU(A353="";C353="";D353="");"";C353-D353)</f>
        <v/>
      </c>
      <c r="F353" s="4">
        <f>SE(OU(A353="";C353="";D353="");"";SE(C353=D353;"✅";"❌"))</f>
        <v/>
      </c>
    </row>
    <row r="354">
      <c r="A354" s="15" t="n"/>
      <c r="B354" s="3" t="n"/>
      <c r="C354" s="17" t="n"/>
      <c r="D354" s="17" t="n"/>
      <c r="E354" s="13">
        <f>SE(OU(A354="";C354="";D354="");"";C354-D354)</f>
        <v/>
      </c>
      <c r="F354" s="4">
        <f>SE(OU(A354="";C354="";D354="");"";SE(C354=D354;"✅";"❌"))</f>
        <v/>
      </c>
    </row>
    <row r="355">
      <c r="A355" s="15" t="n"/>
      <c r="B355" s="3" t="n"/>
      <c r="C355" s="17" t="n"/>
      <c r="D355" s="17" t="n"/>
      <c r="E355" s="13">
        <f>SE(OU(A355="";C355="";D355="");"";C355-D355)</f>
        <v/>
      </c>
      <c r="F355" s="4">
        <f>SE(OU(A355="";C355="";D355="");"";SE(C355=D355;"✅";"❌"))</f>
        <v/>
      </c>
    </row>
    <row r="356">
      <c r="A356" s="15" t="n"/>
      <c r="B356" s="3" t="n"/>
      <c r="C356" s="17" t="n"/>
      <c r="D356" s="17" t="n"/>
      <c r="E356" s="13">
        <f>SE(OU(A356="";C356="";D356="");"";C356-D356)</f>
        <v/>
      </c>
      <c r="F356" s="4">
        <f>SE(OU(A356="";C356="";D356="");"";SE(C356=D356;"✅";"❌"))</f>
        <v/>
      </c>
    </row>
    <row r="357">
      <c r="A357" s="15" t="n"/>
      <c r="B357" s="3" t="n"/>
      <c r="C357" s="17" t="n"/>
      <c r="D357" s="17" t="n"/>
      <c r="E357" s="13">
        <f>SE(OU(A357="";C357="";D357="");"";C357-D357)</f>
        <v/>
      </c>
      <c r="F357" s="4">
        <f>SE(OU(A357="";C357="";D357="");"";SE(C357=D357;"✅";"❌"))</f>
        <v/>
      </c>
    </row>
    <row r="358">
      <c r="A358" s="15" t="n"/>
      <c r="B358" s="3" t="n"/>
      <c r="C358" s="17" t="n"/>
      <c r="D358" s="17" t="n"/>
      <c r="E358" s="13">
        <f>SE(OU(A358="";C358="";D358="");"";C358-D358)</f>
        <v/>
      </c>
      <c r="F358" s="4">
        <f>SE(OU(A358="";C358="";D358="");"";SE(C358=D358;"✅";"❌"))</f>
        <v/>
      </c>
    </row>
    <row r="359">
      <c r="A359" s="15" t="n"/>
      <c r="B359" s="3" t="n"/>
      <c r="C359" s="17" t="n"/>
      <c r="D359" s="17" t="n"/>
      <c r="E359" s="13">
        <f>SE(OU(A359="";C359="";D359="");"";C359-D359)</f>
        <v/>
      </c>
      <c r="F359" s="4">
        <f>SE(OU(A359="";C359="";D359="");"";SE(C359=D359;"✅";"❌"))</f>
        <v/>
      </c>
    </row>
    <row r="360">
      <c r="A360" s="15" t="n"/>
      <c r="B360" s="3" t="n"/>
      <c r="C360" s="17" t="n"/>
      <c r="D360" s="17" t="n"/>
      <c r="E360" s="13">
        <f>SE(OU(A360="";C360="";D360="");"";C360-D360)</f>
        <v/>
      </c>
      <c r="F360" s="4">
        <f>SE(OU(A360="";C360="";D360="");"";SE(C360=D360;"✅";"❌"))</f>
        <v/>
      </c>
    </row>
    <row r="361">
      <c r="A361" s="15" t="n"/>
      <c r="B361" s="3" t="n"/>
      <c r="C361" s="17" t="n"/>
      <c r="D361" s="17" t="n"/>
      <c r="E361" s="13">
        <f>SE(OU(A361="";C361="";D361="");"";C361-D361)</f>
        <v/>
      </c>
      <c r="F361" s="4">
        <f>SE(OU(A361="";C361="";D361="");"";SE(C361=D361;"✅";"❌"))</f>
        <v/>
      </c>
    </row>
    <row r="362">
      <c r="A362" s="15" t="n"/>
      <c r="B362" s="3" t="n"/>
      <c r="C362" s="17" t="n"/>
      <c r="D362" s="17" t="n"/>
      <c r="E362" s="13">
        <f>SE(OU(A362="";C362="";D362="");"";C362-D362)</f>
        <v/>
      </c>
      <c r="F362" s="4">
        <f>SE(OU(A362="";C362="";D362="");"";SE(C362=D362;"✅";"❌"))</f>
        <v/>
      </c>
    </row>
    <row r="363">
      <c r="A363" s="15" t="n"/>
      <c r="B363" s="3" t="n"/>
      <c r="C363" s="17" t="n"/>
      <c r="D363" s="17" t="n"/>
      <c r="E363" s="13">
        <f>SE(OU(A363="";C363="";D363="");"";C363-D363)</f>
        <v/>
      </c>
      <c r="F363" s="4">
        <f>SE(OU(A363="";C363="";D363="");"";SE(C363=D363;"✅";"❌"))</f>
        <v/>
      </c>
    </row>
    <row r="364">
      <c r="A364" s="15" t="n"/>
      <c r="B364" s="3" t="n"/>
      <c r="C364" s="17" t="n"/>
      <c r="D364" s="17" t="n"/>
      <c r="E364" s="13">
        <f>SE(OU(A364="";C364="";D364="");"";C364-D364)</f>
        <v/>
      </c>
      <c r="F364" s="4">
        <f>SE(OU(A364="";C364="";D364="");"";SE(C364=D364;"✅";"❌"))</f>
        <v/>
      </c>
    </row>
    <row r="365">
      <c r="A365" s="15" t="n"/>
      <c r="B365" s="3" t="n"/>
      <c r="C365" s="17" t="n"/>
      <c r="D365" s="17" t="n"/>
      <c r="E365" s="13">
        <f>SE(OU(A365="";C365="";D365="");"";C365-D365)</f>
        <v/>
      </c>
      <c r="F365" s="4">
        <f>SE(OU(A365="";C365="";D365="");"";SE(C365=D365;"✅";"❌"))</f>
        <v/>
      </c>
    </row>
    <row r="366">
      <c r="A366" s="15" t="n"/>
      <c r="B366" s="3" t="n"/>
      <c r="C366" s="17" t="n"/>
      <c r="D366" s="17" t="n"/>
      <c r="E366" s="13">
        <f>SE(OU(A366="";C366="";D366="");"";C366-D366)</f>
        <v/>
      </c>
      <c r="F366" s="4">
        <f>SE(OU(A366="";C366="";D366="");"";SE(C366=D366;"✅";"❌"))</f>
        <v/>
      </c>
    </row>
    <row r="367">
      <c r="A367" s="15" t="n"/>
      <c r="B367" s="3" t="n"/>
      <c r="C367" s="17" t="n"/>
      <c r="D367" s="17" t="n"/>
      <c r="E367" s="13">
        <f>SE(OU(A367="";C367="";D367="");"";C367-D367)</f>
        <v/>
      </c>
      <c r="F367" s="4">
        <f>SE(OU(A367="";C367="";D367="");"";SE(C367=D367;"✅";"❌"))</f>
        <v/>
      </c>
    </row>
    <row r="368">
      <c r="A368" s="15" t="n"/>
      <c r="B368" s="3" t="n"/>
      <c r="C368" s="17" t="n"/>
      <c r="D368" s="17" t="n"/>
      <c r="E368" s="13">
        <f>SE(OU(A368="";C368="";D368="");"";C368-D368)</f>
        <v/>
      </c>
      <c r="F368" s="4">
        <f>SE(OU(A368="";C368="";D368="");"";SE(C368=D368;"✅";"❌"))</f>
        <v/>
      </c>
    </row>
    <row r="369">
      <c r="A369" s="15" t="n"/>
      <c r="B369" s="3" t="n"/>
      <c r="C369" s="17" t="n"/>
      <c r="D369" s="17" t="n"/>
      <c r="E369" s="13">
        <f>SE(OU(A369="";C369="";D369="");"";C369-D369)</f>
        <v/>
      </c>
      <c r="F369" s="4">
        <f>SE(OU(A369="";C369="";D369="");"";SE(C369=D369;"✅";"❌"))</f>
        <v/>
      </c>
    </row>
    <row r="370">
      <c r="A370" s="15" t="n"/>
      <c r="B370" s="3" t="n"/>
      <c r="C370" s="17" t="n"/>
      <c r="D370" s="17" t="n"/>
      <c r="E370" s="13">
        <f>SE(OU(A370="";C370="";D370="");"";C370-D370)</f>
        <v/>
      </c>
      <c r="F370" s="4">
        <f>SE(OU(A370="";C370="";D370="");"";SE(C370=D370;"✅";"❌"))</f>
        <v/>
      </c>
    </row>
    <row r="371">
      <c r="A371" s="15" t="n"/>
      <c r="B371" s="3" t="n"/>
      <c r="C371" s="17" t="n"/>
      <c r="D371" s="17" t="n"/>
      <c r="E371" s="13">
        <f>SE(OU(A371="";C371="";D371="");"";C371-D371)</f>
        <v/>
      </c>
      <c r="F371" s="4">
        <f>SE(OU(A371="";C371="";D371="");"";SE(C371=D371;"✅";"❌"))</f>
        <v/>
      </c>
    </row>
    <row r="372">
      <c r="A372" s="15" t="n"/>
      <c r="B372" s="3" t="n"/>
      <c r="C372" s="17" t="n"/>
      <c r="D372" s="17" t="n"/>
      <c r="E372" s="13">
        <f>SE(OU(A372="";C372="";D372="");"";C372-D372)</f>
        <v/>
      </c>
      <c r="F372" s="4">
        <f>SE(OU(A372="";C372="";D372="");"";SE(C372=D372;"✅";"❌"))</f>
        <v/>
      </c>
    </row>
    <row r="373">
      <c r="A373" s="15" t="n"/>
      <c r="B373" s="3" t="n"/>
      <c r="C373" s="17" t="n"/>
      <c r="D373" s="17" t="n"/>
      <c r="E373" s="13">
        <f>SE(OU(A373="";C373="";D373="");"";C373-D373)</f>
        <v/>
      </c>
      <c r="F373" s="4">
        <f>SE(OU(A373="";C373="";D373="");"";SE(C373=D373;"✅";"❌"))</f>
        <v/>
      </c>
    </row>
    <row r="374">
      <c r="A374" s="15" t="n"/>
      <c r="B374" s="3" t="n"/>
      <c r="C374" s="17" t="n"/>
      <c r="D374" s="17" t="n"/>
      <c r="E374" s="13">
        <f>SE(OU(A374="";C374="";D374="");"";C374-D374)</f>
        <v/>
      </c>
      <c r="F374" s="4">
        <f>SE(OU(A374="";C374="";D374="");"";SE(C374=D374;"✅";"❌"))</f>
        <v/>
      </c>
    </row>
    <row r="375">
      <c r="A375" s="15" t="n"/>
      <c r="B375" s="3" t="n"/>
      <c r="C375" s="17" t="n"/>
      <c r="D375" s="17" t="n"/>
      <c r="E375" s="13">
        <f>SE(OU(A375="";C375="";D375="");"";C375-D375)</f>
        <v/>
      </c>
      <c r="F375" s="4">
        <f>SE(OU(A375="";C375="";D375="");"";SE(C375=D375;"✅";"❌"))</f>
        <v/>
      </c>
    </row>
    <row r="376">
      <c r="A376" s="15" t="n"/>
      <c r="B376" s="3" t="n"/>
      <c r="C376" s="17" t="n"/>
      <c r="D376" s="17" t="n"/>
      <c r="E376" s="13">
        <f>SE(OU(A376="";C376="";D376="");"";C376-D376)</f>
        <v/>
      </c>
      <c r="F376" s="4">
        <f>SE(OU(A376="";C376="";D376="");"";SE(C376=D376;"✅";"❌"))</f>
        <v/>
      </c>
    </row>
    <row r="377">
      <c r="A377" s="15" t="n"/>
      <c r="B377" s="3" t="n"/>
      <c r="C377" s="17" t="n"/>
      <c r="D377" s="17" t="n"/>
      <c r="E377" s="13">
        <f>SE(OU(A377="";C377="";D377="");"";C377-D377)</f>
        <v/>
      </c>
      <c r="F377" s="4">
        <f>SE(OU(A377="";C377="";D377="");"";SE(C377=D377;"✅";"❌"))</f>
        <v/>
      </c>
    </row>
    <row r="378">
      <c r="A378" s="15" t="n"/>
      <c r="B378" s="3" t="n"/>
      <c r="C378" s="17" t="n"/>
      <c r="D378" s="17" t="n"/>
      <c r="E378" s="13">
        <f>SE(OU(A378="";C378="";D378="");"";C378-D378)</f>
        <v/>
      </c>
      <c r="F378" s="4">
        <f>SE(OU(A378="";C378="";D378="");"";SE(C378=D378;"✅";"❌"))</f>
        <v/>
      </c>
    </row>
    <row r="379">
      <c r="A379" s="15" t="n"/>
      <c r="B379" s="3" t="n"/>
      <c r="C379" s="17" t="n"/>
      <c r="D379" s="17" t="n"/>
      <c r="E379" s="13">
        <f>SE(OU(A379="";C379="";D379="");"";C379-D379)</f>
        <v/>
      </c>
      <c r="F379" s="4">
        <f>SE(OU(A379="";C379="";D379="");"";SE(C379=D379;"✅";"❌"))</f>
        <v/>
      </c>
    </row>
    <row r="380">
      <c r="A380" s="15" t="n"/>
      <c r="B380" s="3" t="n"/>
      <c r="C380" s="17" t="n"/>
      <c r="D380" s="17" t="n"/>
      <c r="E380" s="13">
        <f>SE(OU(A380="";C380="";D380="");"";C380-D380)</f>
        <v/>
      </c>
      <c r="F380" s="4">
        <f>SE(OU(A380="";C380="";D380="");"";SE(C380=D380;"✅";"❌"))</f>
        <v/>
      </c>
    </row>
    <row r="381">
      <c r="A381" s="15" t="n"/>
      <c r="B381" s="3" t="n"/>
      <c r="C381" s="17" t="n"/>
      <c r="D381" s="17" t="n"/>
      <c r="E381" s="13">
        <f>SE(OU(A381="";C381="";D381="");"";C381-D381)</f>
        <v/>
      </c>
      <c r="F381" s="4">
        <f>SE(OU(A381="";C381="";D381="");"";SE(C381=D381;"✅";"❌"))</f>
        <v/>
      </c>
    </row>
    <row r="382">
      <c r="A382" s="15" t="n"/>
      <c r="B382" s="3" t="n"/>
      <c r="C382" s="17" t="n"/>
      <c r="D382" s="17" t="n"/>
      <c r="E382" s="13">
        <f>SE(OU(A382="";C382="";D382="");"";C382-D382)</f>
        <v/>
      </c>
      <c r="F382" s="4">
        <f>SE(OU(A382="";C382="";D382="");"";SE(C382=D382;"✅";"❌"))</f>
        <v/>
      </c>
    </row>
    <row r="383">
      <c r="A383" s="15" t="n"/>
      <c r="B383" s="3" t="n"/>
      <c r="C383" s="17" t="n"/>
      <c r="D383" s="17" t="n"/>
      <c r="E383" s="13">
        <f>SE(OU(A383="";C383="";D383="");"";C383-D383)</f>
        <v/>
      </c>
      <c r="F383" s="4">
        <f>SE(OU(A383="";C383="";D383="");"";SE(C383=D383;"✅";"❌"))</f>
        <v/>
      </c>
    </row>
    <row r="384">
      <c r="A384" s="15" t="n"/>
      <c r="B384" s="3" t="n"/>
      <c r="C384" s="17" t="n"/>
      <c r="D384" s="17" t="n"/>
      <c r="E384" s="13">
        <f>SE(OU(A384="";C384="";D384="");"";C384-D384)</f>
        <v/>
      </c>
      <c r="F384" s="4">
        <f>SE(OU(A384="";C384="";D384="");"";SE(C384=D384;"✅";"❌"))</f>
        <v/>
      </c>
    </row>
    <row r="385">
      <c r="A385" s="15" t="n"/>
      <c r="B385" s="3" t="n"/>
      <c r="C385" s="17" t="n"/>
      <c r="D385" s="17" t="n"/>
      <c r="E385" s="13">
        <f>SE(OU(A385="";C385="";D385="");"";C385-D385)</f>
        <v/>
      </c>
      <c r="F385" s="4">
        <f>SE(OU(A385="";C385="";D385="");"";SE(C385=D385;"✅";"❌"))</f>
        <v/>
      </c>
    </row>
    <row r="386">
      <c r="A386" s="15" t="n"/>
      <c r="B386" s="3" t="n"/>
      <c r="C386" s="17" t="n"/>
      <c r="D386" s="17" t="n"/>
      <c r="E386" s="13">
        <f>SE(OU(A386="";C386="";D386="");"";C386-D386)</f>
        <v/>
      </c>
      <c r="F386" s="4">
        <f>SE(OU(A386="";C386="";D386="");"";SE(C386=D386;"✅";"❌"))</f>
        <v/>
      </c>
    </row>
    <row r="387">
      <c r="A387" s="15" t="n"/>
      <c r="B387" s="3" t="n"/>
      <c r="C387" s="17" t="n"/>
      <c r="D387" s="17" t="n"/>
      <c r="E387" s="13">
        <f>SE(OU(A387="";C387="";D387="");"";C387-D387)</f>
        <v/>
      </c>
      <c r="F387" s="4">
        <f>SE(OU(A387="";C387="";D387="");"";SE(C387=D387;"✅";"❌"))</f>
        <v/>
      </c>
    </row>
    <row r="388">
      <c r="A388" s="15" t="n"/>
      <c r="B388" s="3" t="n"/>
      <c r="C388" s="17" t="n"/>
      <c r="D388" s="17" t="n"/>
      <c r="E388" s="13">
        <f>SE(OU(A388="";C388="";D388="");"";C388-D388)</f>
        <v/>
      </c>
      <c r="F388" s="4">
        <f>SE(OU(A388="";C388="";D388="");"";SE(C388=D388;"✅";"❌"))</f>
        <v/>
      </c>
    </row>
    <row r="389">
      <c r="A389" s="15" t="n"/>
      <c r="B389" s="3" t="n"/>
      <c r="C389" s="17" t="n"/>
      <c r="D389" s="17" t="n"/>
      <c r="E389" s="13">
        <f>SE(OU(A389="";C389="";D389="");"";C389-D389)</f>
        <v/>
      </c>
      <c r="F389" s="4">
        <f>SE(OU(A389="";C389="";D389="");"";SE(C389=D389;"✅";"❌"))</f>
        <v/>
      </c>
    </row>
    <row r="390">
      <c r="A390" s="15" t="n"/>
      <c r="B390" s="3" t="n"/>
      <c r="C390" s="17" t="n"/>
      <c r="D390" s="17" t="n"/>
      <c r="E390" s="13">
        <f>SE(OU(A390="";C390="";D390="");"";C390-D390)</f>
        <v/>
      </c>
      <c r="F390" s="4">
        <f>SE(OU(A390="";C390="";D390="");"";SE(C390=D390;"✅";"❌"))</f>
        <v/>
      </c>
    </row>
    <row r="391">
      <c r="A391" s="15" t="n"/>
      <c r="B391" s="3" t="n"/>
      <c r="C391" s="17" t="n"/>
      <c r="D391" s="17" t="n"/>
      <c r="E391" s="13">
        <f>SE(OU(A391="";C391="";D391="");"";C391-D391)</f>
        <v/>
      </c>
      <c r="F391" s="4">
        <f>SE(OU(A391="";C391="";D391="");"";SE(C391=D391;"✅";"❌"))</f>
        <v/>
      </c>
    </row>
    <row r="392">
      <c r="A392" s="15" t="n"/>
      <c r="B392" s="3" t="n"/>
      <c r="C392" s="17" t="n"/>
      <c r="D392" s="17" t="n"/>
      <c r="E392" s="13">
        <f>SE(OU(A392="";C392="";D392="");"";C392-D392)</f>
        <v/>
      </c>
      <c r="F392" s="4">
        <f>SE(OU(A392="";C392="";D392="");"";SE(C392=D392;"✅";"❌"))</f>
        <v/>
      </c>
    </row>
    <row r="393">
      <c r="A393" s="15" t="n"/>
      <c r="B393" s="3" t="n"/>
      <c r="C393" s="17" t="n"/>
      <c r="D393" s="17" t="n"/>
      <c r="E393" s="13">
        <f>SE(OU(A393="";C393="";D393="");"";C393-D393)</f>
        <v/>
      </c>
      <c r="F393" s="4">
        <f>SE(OU(A393="";C393="";D393="");"";SE(C393=D393;"✅";"❌"))</f>
        <v/>
      </c>
    </row>
    <row r="394">
      <c r="A394" s="15" t="n"/>
      <c r="B394" s="3" t="n"/>
      <c r="C394" s="17" t="n"/>
      <c r="D394" s="17" t="n"/>
      <c r="E394" s="13">
        <f>SE(OU(A394="";C394="";D394="");"";C394-D394)</f>
        <v/>
      </c>
      <c r="F394" s="4">
        <f>SE(OU(A394="";C394="";D394="");"";SE(C394=D394;"✅";"❌"))</f>
        <v/>
      </c>
    </row>
    <row r="395">
      <c r="A395" s="15" t="n"/>
      <c r="B395" s="3" t="n"/>
      <c r="C395" s="17" t="n"/>
      <c r="D395" s="17" t="n"/>
      <c r="E395" s="13">
        <f>SE(OU(A395="";C395="";D395="");"";C395-D395)</f>
        <v/>
      </c>
      <c r="F395" s="4">
        <f>SE(OU(A395="";C395="";D395="");"";SE(C395=D395;"✅";"❌"))</f>
        <v/>
      </c>
    </row>
    <row r="396">
      <c r="A396" s="15" t="n"/>
      <c r="B396" s="3" t="n"/>
      <c r="C396" s="17" t="n"/>
      <c r="D396" s="17" t="n"/>
      <c r="E396" s="13">
        <f>SE(OU(A396="";C396="";D396="");"";C396-D396)</f>
        <v/>
      </c>
      <c r="F396" s="4">
        <f>SE(OU(A396="";C396="";D396="");"";SE(C396=D396;"✅";"❌"))</f>
        <v/>
      </c>
    </row>
    <row r="397">
      <c r="A397" s="15" t="n"/>
      <c r="B397" s="3" t="n"/>
      <c r="C397" s="17" t="n"/>
      <c r="D397" s="17" t="n"/>
      <c r="E397" s="13">
        <f>SE(OU(A397="";C397="";D397="");"";C397-D397)</f>
        <v/>
      </c>
      <c r="F397" s="4">
        <f>SE(OU(A397="";C397="";D397="");"";SE(C397=D397;"✅";"❌"))</f>
        <v/>
      </c>
    </row>
    <row r="398">
      <c r="A398" s="15" t="n"/>
      <c r="B398" s="3" t="n"/>
      <c r="C398" s="17" t="n"/>
      <c r="D398" s="17" t="n"/>
      <c r="E398" s="13">
        <f>SE(OU(A398="";C398="";D398="");"";C398-D398)</f>
        <v/>
      </c>
      <c r="F398" s="4">
        <f>SE(OU(A398="";C398="";D398="");"";SE(C398=D398;"✅";"❌"))</f>
        <v/>
      </c>
    </row>
    <row r="399">
      <c r="A399" s="15" t="n"/>
      <c r="B399" s="3" t="n"/>
      <c r="C399" s="17" t="n"/>
      <c r="D399" s="17" t="n"/>
      <c r="E399" s="13">
        <f>SE(OU(A399="";C399="";D399="");"";C399-D399)</f>
        <v/>
      </c>
      <c r="F399" s="4">
        <f>SE(OU(A399="";C399="";D399="");"";SE(C399=D399;"✅";"❌"))</f>
        <v/>
      </c>
    </row>
    <row r="400">
      <c r="A400" s="15" t="n"/>
      <c r="B400" s="3" t="n"/>
      <c r="C400" s="17" t="n"/>
      <c r="D400" s="17" t="n"/>
      <c r="E400" s="13">
        <f>SE(OU(A400="";C400="";D400="");"";C400-D400)</f>
        <v/>
      </c>
      <c r="F400" s="4">
        <f>SE(OU(A400="";C400="";D400="");"";SE(C400=D400;"✅";"❌"))</f>
        <v/>
      </c>
    </row>
    <row r="401">
      <c r="A401" s="15" t="n"/>
      <c r="B401" s="3" t="n"/>
      <c r="C401" s="17" t="n"/>
      <c r="D401" s="17" t="n"/>
      <c r="E401" s="13">
        <f>SE(OU(A401="";C401="";D401="");"";C401-D401)</f>
        <v/>
      </c>
      <c r="F401" s="4">
        <f>SE(OU(A401="";C401="";D401="");"";SE(C401=D401;"✅";"❌"))</f>
        <v/>
      </c>
    </row>
    <row r="402">
      <c r="A402" s="15" t="n"/>
      <c r="B402" s="3" t="n"/>
      <c r="C402" s="17" t="n"/>
      <c r="D402" s="17" t="n"/>
      <c r="E402" s="13">
        <f>SE(OU(A402="";C402="";D402="");"";C402-D402)</f>
        <v/>
      </c>
      <c r="F402" s="4">
        <f>SE(OU(A402="";C402="";D402="");"";SE(C402=D402;"✅";"❌"))</f>
        <v/>
      </c>
    </row>
    <row r="403">
      <c r="A403" s="15" t="n"/>
      <c r="B403" s="3" t="n"/>
      <c r="C403" s="17" t="n"/>
      <c r="D403" s="17" t="n"/>
      <c r="E403" s="13">
        <f>SE(OU(A403="";C403="";D403="");"";C403-D403)</f>
        <v/>
      </c>
      <c r="F403" s="4">
        <f>SE(OU(A403="";C403="";D403="");"";SE(C403=D403;"✅";"❌"))</f>
        <v/>
      </c>
    </row>
    <row r="404">
      <c r="A404" s="15" t="n"/>
      <c r="B404" s="3" t="n"/>
      <c r="C404" s="17" t="n"/>
      <c r="D404" s="17" t="n"/>
      <c r="E404" s="13">
        <f>SE(OU(A404="";C404="";D404="");"";C404-D404)</f>
        <v/>
      </c>
      <c r="F404" s="4">
        <f>SE(OU(A404="";C404="";D404="");"";SE(C404=D404;"✅";"❌"))</f>
        <v/>
      </c>
    </row>
    <row r="405">
      <c r="A405" s="15" t="n"/>
      <c r="B405" s="3" t="n"/>
      <c r="C405" s="17" t="n"/>
      <c r="D405" s="17" t="n"/>
      <c r="E405" s="13">
        <f>SE(OU(A405="";C405="";D405="");"";C405-D405)</f>
        <v/>
      </c>
      <c r="F405" s="4">
        <f>SE(OU(A405="";C405="";D405="");"";SE(C405=D405;"✅";"❌"))</f>
        <v/>
      </c>
    </row>
    <row r="406">
      <c r="A406" s="15" t="n"/>
      <c r="B406" s="3" t="n"/>
      <c r="C406" s="17" t="n"/>
      <c r="D406" s="17" t="n"/>
      <c r="E406" s="13">
        <f>SE(OU(A406="";C406="";D406="");"";C406-D406)</f>
        <v/>
      </c>
      <c r="F406" s="4">
        <f>SE(OU(A406="";C406="";D406="");"";SE(C406=D406;"✅";"❌"))</f>
        <v/>
      </c>
    </row>
    <row r="407">
      <c r="A407" s="15" t="n"/>
      <c r="B407" s="3" t="n"/>
      <c r="C407" s="17" t="n"/>
      <c r="D407" s="17" t="n"/>
      <c r="E407" s="13">
        <f>SE(OU(A407="";C407="";D407="");"";C407-D407)</f>
        <v/>
      </c>
      <c r="F407" s="4">
        <f>SE(OU(A407="";C407="";D407="");"";SE(C407=D407;"✅";"❌"))</f>
        <v/>
      </c>
    </row>
    <row r="408">
      <c r="A408" s="15" t="n"/>
      <c r="B408" s="3" t="n"/>
      <c r="C408" s="17" t="n"/>
      <c r="D408" s="17" t="n"/>
      <c r="E408" s="13">
        <f>SE(OU(A408="";C408="";D408="");"";C408-D408)</f>
        <v/>
      </c>
      <c r="F408" s="4">
        <f>SE(OU(A408="";C408="";D408="");"";SE(C408=D408;"✅";"❌"))</f>
        <v/>
      </c>
    </row>
    <row r="409">
      <c r="A409" s="15" t="n"/>
      <c r="B409" s="3" t="n"/>
      <c r="C409" s="17" t="n"/>
      <c r="D409" s="17" t="n"/>
      <c r="E409" s="13">
        <f>SE(OU(A409="";C409="";D409="");"";C409-D409)</f>
        <v/>
      </c>
      <c r="F409" s="4">
        <f>SE(OU(A409="";C409="";D409="");"";SE(C409=D409;"✅";"❌"))</f>
        <v/>
      </c>
    </row>
    <row r="410">
      <c r="A410" s="15" t="n"/>
      <c r="B410" s="3" t="n"/>
      <c r="C410" s="17" t="n"/>
      <c r="D410" s="17" t="n"/>
      <c r="E410" s="13">
        <f>SE(OU(A410="";C410="";D410="");"";C410-D410)</f>
        <v/>
      </c>
      <c r="F410" s="4">
        <f>SE(OU(A410="";C410="";D410="");"";SE(C410=D410;"✅";"❌"))</f>
        <v/>
      </c>
    </row>
    <row r="411">
      <c r="A411" s="15" t="n"/>
      <c r="B411" s="3" t="n"/>
      <c r="C411" s="17" t="n"/>
      <c r="D411" s="17" t="n"/>
      <c r="E411" s="13">
        <f>SE(OU(A411="";C411="";D411="");"";C411-D411)</f>
        <v/>
      </c>
      <c r="F411" s="4">
        <f>SE(OU(A411="";C411="";D411="");"";SE(C411=D411;"✅";"❌"))</f>
        <v/>
      </c>
    </row>
    <row r="412">
      <c r="A412" s="15" t="n"/>
      <c r="B412" s="3" t="n"/>
      <c r="C412" s="17" t="n"/>
      <c r="D412" s="17" t="n"/>
      <c r="E412" s="13">
        <f>SE(OU(A412="";C412="";D412="");"";C412-D412)</f>
        <v/>
      </c>
      <c r="F412" s="4">
        <f>SE(OU(A412="";C412="";D412="");"";SE(C412=D412;"✅";"❌"))</f>
        <v/>
      </c>
    </row>
    <row r="413">
      <c r="A413" s="15" t="n"/>
      <c r="B413" s="3" t="n"/>
      <c r="C413" s="17" t="n"/>
      <c r="D413" s="17" t="n"/>
      <c r="E413" s="13">
        <f>SE(OU(A413="";C413="";D413="");"";C413-D413)</f>
        <v/>
      </c>
      <c r="F413" s="4">
        <f>SE(OU(A413="";C413="";D413="");"";SE(C413=D413;"✅";"❌"))</f>
        <v/>
      </c>
    </row>
    <row r="414">
      <c r="A414" s="15" t="n"/>
      <c r="B414" s="3" t="n"/>
      <c r="C414" s="17" t="n"/>
      <c r="D414" s="17" t="n"/>
      <c r="E414" s="13">
        <f>SE(OU(A414="";C414="";D414="");"";C414-D414)</f>
        <v/>
      </c>
      <c r="F414" s="4">
        <f>SE(OU(A414="";C414="";D414="");"";SE(C414=D414;"✅";"❌"))</f>
        <v/>
      </c>
    </row>
    <row r="415">
      <c r="A415" s="15" t="n"/>
      <c r="B415" s="3" t="n"/>
      <c r="C415" s="17" t="n"/>
      <c r="D415" s="17" t="n"/>
      <c r="E415" s="13">
        <f>SE(OU(A415="";C415="";D415="");"";C415-D415)</f>
        <v/>
      </c>
      <c r="F415" s="4">
        <f>SE(OU(A415="";C415="";D415="");"";SE(C415=D415;"✅";"❌"))</f>
        <v/>
      </c>
    </row>
    <row r="416">
      <c r="A416" s="15" t="n"/>
      <c r="B416" s="3" t="n"/>
      <c r="C416" s="17" t="n"/>
      <c r="D416" s="17" t="n"/>
      <c r="E416" s="13">
        <f>SE(OU(A416="";C416="";D416="");"";C416-D416)</f>
        <v/>
      </c>
      <c r="F416" s="4">
        <f>SE(OU(A416="";C416="";D416="");"";SE(C416=D416;"✅";"❌"))</f>
        <v/>
      </c>
    </row>
    <row r="417">
      <c r="A417" s="15" t="n"/>
      <c r="B417" s="3" t="n"/>
      <c r="C417" s="17" t="n"/>
      <c r="D417" s="17" t="n"/>
      <c r="E417" s="13">
        <f>SE(OU(A417="";C417="";D417="");"";C417-D417)</f>
        <v/>
      </c>
      <c r="F417" s="4">
        <f>SE(OU(A417="";C417="";D417="");"";SE(C417=D417;"✅";"❌"))</f>
        <v/>
      </c>
    </row>
    <row r="418">
      <c r="A418" s="15" t="n"/>
      <c r="B418" s="3" t="n"/>
      <c r="C418" s="17" t="n"/>
      <c r="D418" s="17" t="n"/>
      <c r="E418" s="13">
        <f>SE(OU(A418="";C418="";D418="");"";C418-D418)</f>
        <v/>
      </c>
      <c r="F418" s="4">
        <f>SE(OU(A418="";C418="";D418="");"";SE(C418=D418;"✅";"❌"))</f>
        <v/>
      </c>
    </row>
    <row r="419">
      <c r="A419" s="15" t="n"/>
      <c r="B419" s="3" t="n"/>
      <c r="C419" s="17" t="n"/>
      <c r="D419" s="17" t="n"/>
      <c r="E419" s="13">
        <f>SE(OU(A419="";C419="";D419="");"";C419-D419)</f>
        <v/>
      </c>
      <c r="F419" s="4">
        <f>SE(OU(A419="";C419="";D419="");"";SE(C419=D419;"✅";"❌"))</f>
        <v/>
      </c>
    </row>
    <row r="420">
      <c r="A420" s="15" t="n"/>
      <c r="B420" s="3" t="n"/>
      <c r="C420" s="17" t="n"/>
      <c r="D420" s="17" t="n"/>
      <c r="E420" s="13">
        <f>SE(OU(A420="";C420="";D420="");"";C420-D420)</f>
        <v/>
      </c>
      <c r="F420" s="4">
        <f>SE(OU(A420="";C420="";D420="");"";SE(C420=D420;"✅";"❌"))</f>
        <v/>
      </c>
    </row>
    <row r="421">
      <c r="A421" s="15" t="n"/>
      <c r="B421" s="3" t="n"/>
      <c r="C421" s="17" t="n"/>
      <c r="D421" s="17" t="n"/>
      <c r="E421" s="13">
        <f>SE(OU(A421="";C421="";D421="");"";C421-D421)</f>
        <v/>
      </c>
      <c r="F421" s="4">
        <f>SE(OU(A421="";C421="";D421="");"";SE(C421=D421;"✅";"❌"))</f>
        <v/>
      </c>
    </row>
    <row r="422">
      <c r="A422" s="15" t="n"/>
      <c r="B422" s="3" t="n"/>
      <c r="C422" s="17" t="n"/>
      <c r="D422" s="17" t="n"/>
      <c r="E422" s="13">
        <f>SE(OU(A422="";C422="";D422="");"";C422-D422)</f>
        <v/>
      </c>
      <c r="F422" s="4">
        <f>SE(OU(A422="";C422="";D422="");"";SE(C422=D422;"✅";"❌"))</f>
        <v/>
      </c>
    </row>
    <row r="423">
      <c r="A423" s="15" t="n"/>
      <c r="B423" s="3" t="n"/>
      <c r="C423" s="17" t="n"/>
      <c r="D423" s="17" t="n"/>
      <c r="E423" s="13">
        <f>SE(OU(A423="";C423="";D423="");"";C423-D423)</f>
        <v/>
      </c>
      <c r="F423" s="4">
        <f>SE(OU(A423="";C423="";D423="");"";SE(C423=D423;"✅";"❌"))</f>
        <v/>
      </c>
    </row>
    <row r="424">
      <c r="A424" s="15" t="n"/>
      <c r="B424" s="3" t="n"/>
      <c r="C424" s="17" t="n"/>
      <c r="D424" s="17" t="n"/>
      <c r="E424" s="13">
        <f>SE(OU(A424="";C424="";D424="");"";C424-D424)</f>
        <v/>
      </c>
      <c r="F424" s="4">
        <f>SE(OU(A424="";C424="";D424="");"";SE(C424=D424;"✅";"❌"))</f>
        <v/>
      </c>
    </row>
    <row r="425">
      <c r="A425" s="15" t="n"/>
      <c r="B425" s="3" t="n"/>
      <c r="C425" s="17" t="n"/>
      <c r="D425" s="17" t="n"/>
      <c r="E425" s="13">
        <f>SE(OU(A425="";C425="";D425="");"";C425-D425)</f>
        <v/>
      </c>
      <c r="F425" s="4">
        <f>SE(OU(A425="";C425="";D425="");"";SE(C425=D425;"✅";"❌"))</f>
        <v/>
      </c>
    </row>
    <row r="426">
      <c r="A426" s="15" t="n"/>
      <c r="B426" s="3" t="n"/>
      <c r="C426" s="17" t="n"/>
      <c r="D426" s="17" t="n"/>
      <c r="E426" s="13">
        <f>SE(OU(A426="";C426="";D426="");"";C426-D426)</f>
        <v/>
      </c>
      <c r="F426" s="4">
        <f>SE(OU(A426="";C426="";D426="");"";SE(C426=D426;"✅";"❌"))</f>
        <v/>
      </c>
    </row>
    <row r="427">
      <c r="A427" s="15" t="n"/>
      <c r="B427" s="3" t="n"/>
      <c r="C427" s="17" t="n"/>
      <c r="D427" s="17" t="n"/>
      <c r="E427" s="13">
        <f>SE(OU(A427="";C427="";D427="");"";C427-D427)</f>
        <v/>
      </c>
      <c r="F427" s="4">
        <f>SE(OU(A427="";C427="";D427="");"";SE(C427=D427;"✅";"❌"))</f>
        <v/>
      </c>
    </row>
    <row r="428">
      <c r="A428" s="15" t="n"/>
      <c r="B428" s="3" t="n"/>
      <c r="C428" s="17" t="n"/>
      <c r="D428" s="17" t="n"/>
      <c r="E428" s="13">
        <f>SE(OU(A428="";C428="";D428="");"";C428-D428)</f>
        <v/>
      </c>
      <c r="F428" s="4">
        <f>SE(OU(A428="";C428="";D428="");"";SE(C428=D428;"✅";"❌"))</f>
        <v/>
      </c>
    </row>
    <row r="429">
      <c r="A429" s="15" t="n"/>
      <c r="B429" s="3" t="n"/>
      <c r="C429" s="17" t="n"/>
      <c r="D429" s="17" t="n"/>
      <c r="E429" s="13">
        <f>SE(OU(A429="";C429="";D429="");"";C429-D429)</f>
        <v/>
      </c>
      <c r="F429" s="4">
        <f>SE(OU(A429="";C429="";D429="");"";SE(C429=D429;"✅";"❌"))</f>
        <v/>
      </c>
    </row>
    <row r="430">
      <c r="A430" s="15" t="n"/>
      <c r="B430" s="3" t="n"/>
      <c r="C430" s="17" t="n"/>
      <c r="D430" s="17" t="n"/>
      <c r="E430" s="13">
        <f>SE(OU(A430="";C430="";D430="");"";C430-D430)</f>
        <v/>
      </c>
      <c r="F430" s="4">
        <f>SE(OU(A430="";C430="";D430="");"";SE(C430=D430;"✅";"❌"))</f>
        <v/>
      </c>
    </row>
    <row r="431">
      <c r="A431" s="15" t="n"/>
      <c r="B431" s="3" t="n"/>
      <c r="C431" s="17" t="n"/>
      <c r="D431" s="17" t="n"/>
      <c r="E431" s="13">
        <f>SE(OU(A431="";C431="";D431="");"";C431-D431)</f>
        <v/>
      </c>
      <c r="F431" s="4">
        <f>SE(OU(A431="";C431="";D431="");"";SE(C431=D431;"✅";"❌"))</f>
        <v/>
      </c>
    </row>
    <row r="432">
      <c r="A432" s="15" t="n"/>
      <c r="B432" s="3" t="n"/>
      <c r="C432" s="17" t="n"/>
      <c r="D432" s="17" t="n"/>
      <c r="E432" s="13">
        <f>SE(OU(A432="";C432="";D432="");"";C432-D432)</f>
        <v/>
      </c>
      <c r="F432" s="4">
        <f>SE(OU(A432="";C432="";D432="");"";SE(C432=D432;"✅";"❌"))</f>
        <v/>
      </c>
    </row>
    <row r="433">
      <c r="A433" s="15" t="n"/>
      <c r="B433" s="3" t="n"/>
      <c r="C433" s="17" t="n"/>
      <c r="D433" s="17" t="n"/>
      <c r="E433" s="13">
        <f>SE(OU(A433="";C433="";D433="");"";C433-D433)</f>
        <v/>
      </c>
      <c r="F433" s="4">
        <f>SE(OU(A433="";C433="";D433="");"";SE(C433=D433;"✅";"❌"))</f>
        <v/>
      </c>
    </row>
    <row r="434">
      <c r="A434" s="15" t="n"/>
      <c r="B434" s="3" t="n"/>
      <c r="C434" s="17" t="n"/>
      <c r="D434" s="17" t="n"/>
      <c r="E434" s="13">
        <f>SE(OU(A434="";C434="";D434="");"";C434-D434)</f>
        <v/>
      </c>
      <c r="F434" s="4">
        <f>SE(OU(A434="";C434="";D434="");"";SE(C434=D434;"✅";"❌"))</f>
        <v/>
      </c>
    </row>
    <row r="435">
      <c r="A435" s="15" t="n"/>
      <c r="B435" s="3" t="n"/>
      <c r="C435" s="17" t="n"/>
      <c r="D435" s="17" t="n"/>
      <c r="E435" s="13">
        <f>SE(OU(A435="";C435="";D435="");"";C435-D435)</f>
        <v/>
      </c>
      <c r="F435" s="4">
        <f>SE(OU(A435="";C435="";D435="");"";SE(C435=D435;"✅";"❌"))</f>
        <v/>
      </c>
    </row>
    <row r="436">
      <c r="A436" s="15" t="n"/>
      <c r="B436" s="3" t="n"/>
      <c r="C436" s="17" t="n"/>
      <c r="D436" s="17" t="n"/>
      <c r="E436" s="13">
        <f>SE(OU(A436="";C436="";D436="");"";C436-D436)</f>
        <v/>
      </c>
      <c r="F436" s="4">
        <f>SE(OU(A436="";C436="";D436="");"";SE(C436=D436;"✅";"❌"))</f>
        <v/>
      </c>
    </row>
    <row r="437">
      <c r="A437" s="15" t="n"/>
      <c r="B437" s="3" t="n"/>
      <c r="C437" s="17" t="n"/>
      <c r="D437" s="17" t="n"/>
      <c r="E437" s="13">
        <f>SE(OU(A437="";C437="";D437="");"";C437-D437)</f>
        <v/>
      </c>
      <c r="F437" s="4">
        <f>SE(OU(A437="";C437="";D437="");"";SE(C437=D437;"✅";"❌"))</f>
        <v/>
      </c>
    </row>
    <row r="438">
      <c r="A438" s="15" t="n"/>
      <c r="B438" s="3" t="n"/>
      <c r="C438" s="17" t="n"/>
      <c r="D438" s="17" t="n"/>
      <c r="E438" s="13">
        <f>SE(OU(A438="";C438="";D438="");"";C438-D438)</f>
        <v/>
      </c>
      <c r="F438" s="4">
        <f>SE(OU(A438="";C438="";D438="");"";SE(C438=D438;"✅";"❌"))</f>
        <v/>
      </c>
    </row>
    <row r="439">
      <c r="A439" s="15" t="n"/>
      <c r="B439" s="3" t="n"/>
      <c r="C439" s="17" t="n"/>
      <c r="D439" s="17" t="n"/>
      <c r="E439" s="13">
        <f>SE(OU(A439="";C439="";D439="");"";C439-D439)</f>
        <v/>
      </c>
      <c r="F439" s="4">
        <f>SE(OU(A439="";C439="";D439="");"";SE(C439=D439;"✅";"❌"))</f>
        <v/>
      </c>
    </row>
    <row r="440">
      <c r="A440" s="15" t="n"/>
      <c r="B440" s="3" t="n"/>
      <c r="C440" s="17" t="n"/>
      <c r="D440" s="17" t="n"/>
      <c r="E440" s="13">
        <f>SE(OU(A440="";C440="";D440="");"";C440-D440)</f>
        <v/>
      </c>
      <c r="F440" s="4">
        <f>SE(OU(A440="";C440="";D440="");"";SE(C440=D440;"✅";"❌"))</f>
        <v/>
      </c>
    </row>
    <row r="441">
      <c r="A441" s="15" t="n"/>
      <c r="B441" s="3" t="n"/>
      <c r="C441" s="17" t="n"/>
      <c r="D441" s="17" t="n"/>
      <c r="E441" s="13">
        <f>SE(OU(A441="";C441="";D441="");"";C441-D441)</f>
        <v/>
      </c>
      <c r="F441" s="4">
        <f>SE(OU(A441="";C441="";D441="");"";SE(C441=D441;"✅";"❌"))</f>
        <v/>
      </c>
    </row>
    <row r="442">
      <c r="A442" s="15" t="n"/>
      <c r="B442" s="3" t="n"/>
      <c r="C442" s="17" t="n"/>
      <c r="D442" s="17" t="n"/>
      <c r="E442" s="13">
        <f>SE(OU(A442="";C442="";D442="");"";C442-D442)</f>
        <v/>
      </c>
      <c r="F442" s="4">
        <f>SE(OU(A442="";C442="";D442="");"";SE(C442=D442;"✅";"❌"))</f>
        <v/>
      </c>
    </row>
    <row r="443">
      <c r="A443" s="15" t="n"/>
      <c r="B443" s="3" t="n"/>
      <c r="C443" s="17" t="n"/>
      <c r="D443" s="17" t="n"/>
      <c r="E443" s="13">
        <f>SE(OU(A443="";C443="";D443="");"";C443-D443)</f>
        <v/>
      </c>
      <c r="F443" s="4">
        <f>SE(OU(A443="";C443="";D443="");"";SE(C443=D443;"✅";"❌"))</f>
        <v/>
      </c>
    </row>
    <row r="444">
      <c r="A444" s="15" t="n"/>
      <c r="B444" s="3" t="n"/>
      <c r="C444" s="17" t="n"/>
      <c r="D444" s="17" t="n"/>
      <c r="E444" s="13">
        <f>SE(OU(A444="";C444="";D444="");"";C444-D444)</f>
        <v/>
      </c>
      <c r="F444" s="4">
        <f>SE(OU(A444="";C444="";D444="");"";SE(C444=D444;"✅";"❌"))</f>
        <v/>
      </c>
    </row>
    <row r="445">
      <c r="A445" s="15" t="n"/>
      <c r="B445" s="3" t="n"/>
      <c r="C445" s="17" t="n"/>
      <c r="D445" s="17" t="n"/>
      <c r="E445" s="13">
        <f>SE(OU(A445="";C445="";D445="");"";C445-D445)</f>
        <v/>
      </c>
      <c r="F445" s="4">
        <f>SE(OU(A445="";C445="";D445="");"";SE(C445=D445;"✅";"❌"))</f>
        <v/>
      </c>
    </row>
    <row r="446">
      <c r="A446" s="15" t="n"/>
      <c r="B446" s="3" t="n"/>
      <c r="C446" s="17" t="n"/>
      <c r="D446" s="17" t="n"/>
      <c r="E446" s="13">
        <f>SE(OU(A446="";C446="";D446="");"";C446-D446)</f>
        <v/>
      </c>
      <c r="F446" s="4">
        <f>SE(OU(A446="";C446="";D446="");"";SE(C446=D446;"✅";"❌"))</f>
        <v/>
      </c>
    </row>
    <row r="447">
      <c r="A447" s="15" t="n"/>
      <c r="B447" s="3" t="n"/>
      <c r="C447" s="17" t="n"/>
      <c r="D447" s="17" t="n"/>
      <c r="E447" s="13">
        <f>SE(OU(A447="";C447="";D447="");"";C447-D447)</f>
        <v/>
      </c>
      <c r="F447" s="4">
        <f>SE(OU(A447="";C447="";D447="");"";SE(C447=D447;"✅";"❌"))</f>
        <v/>
      </c>
    </row>
    <row r="448">
      <c r="A448" s="15" t="n"/>
      <c r="B448" s="3" t="n"/>
      <c r="C448" s="17" t="n"/>
      <c r="D448" s="17" t="n"/>
      <c r="E448" s="13">
        <f>SE(OU(A448="";C448="";D448="");"";C448-D448)</f>
        <v/>
      </c>
      <c r="F448" s="4">
        <f>SE(OU(A448="";C448="";D448="");"";SE(C448=D448;"✅";"❌"))</f>
        <v/>
      </c>
    </row>
    <row r="449">
      <c r="A449" s="15" t="n"/>
      <c r="B449" s="3" t="n"/>
      <c r="C449" s="17" t="n"/>
      <c r="D449" s="17" t="n"/>
      <c r="E449" s="13">
        <f>SE(OU(A449="";C449="";D449="");"";C449-D449)</f>
        <v/>
      </c>
      <c r="F449" s="4">
        <f>SE(OU(A449="";C449="";D449="");"";SE(C449=D449;"✅";"❌"))</f>
        <v/>
      </c>
    </row>
    <row r="450">
      <c r="A450" s="15" t="n"/>
      <c r="B450" s="3" t="n"/>
      <c r="C450" s="17" t="n"/>
      <c r="D450" s="17" t="n"/>
      <c r="E450" s="13">
        <f>SE(OU(A450="";C450="";D450="");"";C450-D450)</f>
        <v/>
      </c>
      <c r="F450" s="4">
        <f>SE(OU(A450="";C450="";D450="");"";SE(C450=D450;"✅";"❌"))</f>
        <v/>
      </c>
    </row>
    <row r="451">
      <c r="A451" s="15" t="n"/>
      <c r="B451" s="3" t="n"/>
      <c r="C451" s="17" t="n"/>
      <c r="D451" s="17" t="n"/>
      <c r="E451" s="13">
        <f>SE(OU(A451="";C451="";D451="");"";C451-D451)</f>
        <v/>
      </c>
      <c r="F451" s="4">
        <f>SE(OU(A451="";C451="";D451="");"";SE(C451=D451;"✅";"❌"))</f>
        <v/>
      </c>
    </row>
    <row r="452">
      <c r="A452" s="15" t="n"/>
      <c r="B452" s="3" t="n"/>
      <c r="C452" s="17" t="n"/>
      <c r="D452" s="17" t="n"/>
      <c r="E452" s="13">
        <f>SE(OU(A452="";C452="";D452="");"";C452-D452)</f>
        <v/>
      </c>
      <c r="F452" s="4">
        <f>SE(OU(A452="";C452="";D452="");"";SE(C452=D452;"✅";"❌"))</f>
        <v/>
      </c>
    </row>
    <row r="453">
      <c r="A453" s="15" t="n"/>
      <c r="B453" s="3" t="n"/>
      <c r="C453" s="17" t="n"/>
      <c r="D453" s="17" t="n"/>
      <c r="E453" s="13">
        <f>SE(OU(A453="";C453="";D453="");"";C453-D453)</f>
        <v/>
      </c>
      <c r="F453" s="4">
        <f>SE(OU(A453="";C453="";D453="");"";SE(C453=D453;"✅";"❌"))</f>
        <v/>
      </c>
    </row>
    <row r="454">
      <c r="A454" s="15" t="n"/>
      <c r="B454" s="3" t="n"/>
      <c r="C454" s="17" t="n"/>
      <c r="D454" s="17" t="n"/>
      <c r="E454" s="13">
        <f>SE(OU(A454="";C454="";D454="");"";C454-D454)</f>
        <v/>
      </c>
      <c r="F454" s="4">
        <f>SE(OU(A454="";C454="";D454="");"";SE(C454=D454;"✅";"❌"))</f>
        <v/>
      </c>
    </row>
    <row r="455">
      <c r="A455" s="15" t="n"/>
      <c r="B455" s="3" t="n"/>
      <c r="C455" s="17" t="n"/>
      <c r="D455" s="17" t="n"/>
      <c r="E455" s="13">
        <f>SE(OU(A455="";C455="";D455="");"";C455-D455)</f>
        <v/>
      </c>
      <c r="F455" s="4">
        <f>SE(OU(A455="";C455="";D455="");"";SE(C455=D455;"✅";"❌"))</f>
        <v/>
      </c>
    </row>
    <row r="456">
      <c r="A456" s="15" t="n"/>
      <c r="B456" s="3" t="n"/>
      <c r="C456" s="17" t="n"/>
      <c r="D456" s="17" t="n"/>
      <c r="E456" s="13">
        <f>SE(OU(A456="";C456="";D456="");"";C456-D456)</f>
        <v/>
      </c>
      <c r="F456" s="4">
        <f>SE(OU(A456="";C456="";D456="");"";SE(C456=D456;"✅";"❌"))</f>
        <v/>
      </c>
    </row>
    <row r="457">
      <c r="A457" s="15" t="n"/>
      <c r="B457" s="3" t="n"/>
      <c r="C457" s="17" t="n"/>
      <c r="D457" s="17" t="n"/>
      <c r="E457" s="13">
        <f>SE(OU(A457="";C457="";D457="");"";C457-D457)</f>
        <v/>
      </c>
      <c r="F457" s="4">
        <f>SE(OU(A457="";C457="";D457="");"";SE(C457=D457;"✅";"❌"))</f>
        <v/>
      </c>
    </row>
    <row r="458">
      <c r="A458" s="15" t="n"/>
      <c r="B458" s="3" t="n"/>
      <c r="C458" s="17" t="n"/>
      <c r="D458" s="17" t="n"/>
      <c r="E458" s="13">
        <f>SE(OU(A458="";C458="";D458="");"";C458-D458)</f>
        <v/>
      </c>
      <c r="F458" s="4">
        <f>SE(OU(A458="";C458="";D458="");"";SE(C458=D458;"✅";"❌"))</f>
        <v/>
      </c>
    </row>
    <row r="459">
      <c r="A459" s="15" t="n"/>
      <c r="B459" s="3" t="n"/>
      <c r="C459" s="17" t="n"/>
      <c r="D459" s="17" t="n"/>
      <c r="E459" s="13">
        <f>SE(OU(A459="";C459="";D459="");"";C459-D459)</f>
        <v/>
      </c>
      <c r="F459" s="4">
        <f>SE(OU(A459="";C459="";D459="");"";SE(C459=D459;"✅";"❌"))</f>
        <v/>
      </c>
    </row>
    <row r="460">
      <c r="A460" s="15" t="n"/>
      <c r="B460" s="3" t="n"/>
      <c r="C460" s="17" t="n"/>
      <c r="D460" s="17" t="n"/>
      <c r="E460" s="13">
        <f>SE(OU(A460="";C460="";D460="");"";C460-D460)</f>
        <v/>
      </c>
      <c r="F460" s="4">
        <f>SE(OU(A460="";C460="";D460="");"";SE(C460=D460;"✅";"❌"))</f>
        <v/>
      </c>
    </row>
    <row r="461">
      <c r="A461" s="15" t="n"/>
      <c r="B461" s="3" t="n"/>
      <c r="C461" s="17" t="n"/>
      <c r="D461" s="17" t="n"/>
      <c r="E461" s="13">
        <f>SE(OU(A461="";C461="";D461="");"";C461-D461)</f>
        <v/>
      </c>
      <c r="F461" s="4">
        <f>SE(OU(A461="";C461="";D461="");"";SE(C461=D461;"✅";"❌"))</f>
        <v/>
      </c>
    </row>
    <row r="462">
      <c r="A462" s="15" t="n"/>
      <c r="B462" s="3" t="n"/>
      <c r="C462" s="17" t="n"/>
      <c r="D462" s="17" t="n"/>
      <c r="E462" s="13">
        <f>SE(OU(A462="";C462="";D462="");"";C462-D462)</f>
        <v/>
      </c>
      <c r="F462" s="4">
        <f>SE(OU(A462="";C462="";D462="");"";SE(C462=D462;"✅";"❌"))</f>
        <v/>
      </c>
    </row>
    <row r="463">
      <c r="A463" s="15" t="n"/>
      <c r="B463" s="3" t="n"/>
      <c r="C463" s="17" t="n"/>
      <c r="D463" s="17" t="n"/>
      <c r="E463" s="13">
        <f>SE(OU(A463="";C463="";D463="");"";C463-D463)</f>
        <v/>
      </c>
      <c r="F463" s="4">
        <f>SE(OU(A463="";C463="";D463="");"";SE(C463=D463;"✅";"❌"))</f>
        <v/>
      </c>
    </row>
    <row r="464">
      <c r="A464" s="15" t="n"/>
      <c r="B464" s="3" t="n"/>
      <c r="C464" s="17" t="n"/>
      <c r="D464" s="17" t="n"/>
      <c r="E464" s="13">
        <f>SE(OU(A464="";C464="";D464="");"";C464-D464)</f>
        <v/>
      </c>
      <c r="F464" s="4">
        <f>SE(OU(A464="";C464="";D464="");"";SE(C464=D464;"✅";"❌"))</f>
        <v/>
      </c>
    </row>
    <row r="465">
      <c r="A465" s="15" t="n"/>
      <c r="B465" s="3" t="n"/>
      <c r="C465" s="17" t="n"/>
      <c r="D465" s="17" t="n"/>
      <c r="E465" s="13">
        <f>SE(OU(A465="";C465="";D465="");"";C465-D465)</f>
        <v/>
      </c>
      <c r="F465" s="4">
        <f>SE(OU(A465="";C465="";D465="");"";SE(C465=D465;"✅";"❌"))</f>
        <v/>
      </c>
    </row>
    <row r="466">
      <c r="A466" s="15" t="n"/>
      <c r="B466" s="3" t="n"/>
      <c r="C466" s="17" t="n"/>
      <c r="D466" s="17" t="n"/>
      <c r="E466" s="13">
        <f>SE(OU(A466="";C466="";D466="");"";C466-D466)</f>
        <v/>
      </c>
      <c r="F466" s="4">
        <f>SE(OU(A466="";C466="";D466="");"";SE(C466=D466;"✅";"❌"))</f>
        <v/>
      </c>
    </row>
    <row r="467">
      <c r="A467" s="15" t="n"/>
      <c r="B467" s="3" t="n"/>
      <c r="C467" s="17" t="n"/>
      <c r="D467" s="17" t="n"/>
      <c r="E467" s="13">
        <f>SE(OU(A467="";C467="";D467="");"";C467-D467)</f>
        <v/>
      </c>
      <c r="F467" s="4">
        <f>SE(OU(A467="";C467="";D467="");"";SE(C467=D467;"✅";"❌"))</f>
        <v/>
      </c>
    </row>
    <row r="468">
      <c r="A468" s="15" t="n"/>
      <c r="B468" s="3" t="n"/>
      <c r="C468" s="17" t="n"/>
      <c r="D468" s="17" t="n"/>
      <c r="E468" s="13">
        <f>SE(OU(A468="";C468="";D468="");"";C468-D468)</f>
        <v/>
      </c>
      <c r="F468" s="4">
        <f>SE(OU(A468="";C468="";D468="");"";SE(C468=D468;"✅";"❌"))</f>
        <v/>
      </c>
    </row>
    <row r="469">
      <c r="A469" s="15" t="n"/>
      <c r="B469" s="3" t="n"/>
      <c r="C469" s="17" t="n"/>
      <c r="D469" s="17" t="n"/>
      <c r="E469" s="13">
        <f>SE(OU(A469="";C469="";D469="");"";C469-D469)</f>
        <v/>
      </c>
      <c r="F469" s="4">
        <f>SE(OU(A469="";C469="";D469="");"";SE(C469=D469;"✅";"❌"))</f>
        <v/>
      </c>
    </row>
    <row r="470">
      <c r="A470" s="15" t="n"/>
      <c r="B470" s="3" t="n"/>
      <c r="C470" s="17" t="n"/>
      <c r="D470" s="17" t="n"/>
      <c r="E470" s="13">
        <f>SE(OU(A470="";C470="";D470="");"";C470-D470)</f>
        <v/>
      </c>
      <c r="F470" s="4">
        <f>SE(OU(A470="";C470="";D470="");"";SE(C470=D470;"✅";"❌"))</f>
        <v/>
      </c>
    </row>
    <row r="471">
      <c r="A471" s="15" t="n"/>
      <c r="B471" s="3" t="n"/>
      <c r="C471" s="17" t="n"/>
      <c r="D471" s="17" t="n"/>
      <c r="E471" s="13">
        <f>SE(OU(A471="";C471="";D471="");"";C471-D471)</f>
        <v/>
      </c>
      <c r="F471" s="4">
        <f>SE(OU(A471="";C471="";D471="");"";SE(C471=D471;"✅";"❌"))</f>
        <v/>
      </c>
    </row>
    <row r="472">
      <c r="A472" s="15" t="n"/>
      <c r="B472" s="3" t="n"/>
      <c r="C472" s="17" t="n"/>
      <c r="D472" s="17" t="n"/>
      <c r="E472" s="13">
        <f>SE(OU(A472="";C472="";D472="");"";C472-D472)</f>
        <v/>
      </c>
      <c r="F472" s="4">
        <f>SE(OU(A472="";C472="";D472="");"";SE(C472=D472;"✅";"❌"))</f>
        <v/>
      </c>
    </row>
    <row r="473">
      <c r="A473" s="15" t="n"/>
      <c r="B473" s="3" t="n"/>
      <c r="C473" s="17" t="n"/>
      <c r="D473" s="17" t="n"/>
      <c r="E473" s="13">
        <f>SE(OU(A473="";C473="";D473="");"";C473-D473)</f>
        <v/>
      </c>
      <c r="F473" s="4">
        <f>SE(OU(A473="";C473="";D473="");"";SE(C473=D473;"✅";"❌"))</f>
        <v/>
      </c>
    </row>
    <row r="474">
      <c r="A474" s="15" t="n"/>
      <c r="B474" s="3" t="n"/>
      <c r="C474" s="17" t="n"/>
      <c r="D474" s="17" t="n"/>
      <c r="E474" s="13">
        <f>SE(OU(A474="";C474="";D474="");"";C474-D474)</f>
        <v/>
      </c>
      <c r="F474" s="4">
        <f>SE(OU(A474="";C474="";D474="");"";SE(C474=D474;"✅";"❌"))</f>
        <v/>
      </c>
    </row>
    <row r="475">
      <c r="A475" s="15" t="n"/>
      <c r="B475" s="3" t="n"/>
      <c r="C475" s="17" t="n"/>
      <c r="D475" s="17" t="n"/>
      <c r="E475" s="13">
        <f>SE(OU(A475="";C475="";D475="");"";C475-D475)</f>
        <v/>
      </c>
      <c r="F475" s="4">
        <f>SE(OU(A475="";C475="";D475="");"";SE(C475=D475;"✅";"❌"))</f>
        <v/>
      </c>
    </row>
    <row r="476">
      <c r="A476" s="15" t="n"/>
      <c r="B476" s="3" t="n"/>
      <c r="C476" s="17" t="n"/>
      <c r="D476" s="17" t="n"/>
      <c r="E476" s="13">
        <f>SE(OU(A476="";C476="";D476="");"";C476-D476)</f>
        <v/>
      </c>
      <c r="F476" s="4">
        <f>SE(OU(A476="";C476="";D476="");"";SE(C476=D476;"✅";"❌"))</f>
        <v/>
      </c>
    </row>
    <row r="477">
      <c r="A477" s="15" t="n"/>
      <c r="B477" s="3" t="n"/>
      <c r="C477" s="17" t="n"/>
      <c r="D477" s="17" t="n"/>
      <c r="E477" s="13">
        <f>SE(OU(A477="";C477="";D477="");"";C477-D477)</f>
        <v/>
      </c>
      <c r="F477" s="4">
        <f>SE(OU(A477="";C477="";D477="");"";SE(C477=D477;"✅";"❌"))</f>
        <v/>
      </c>
    </row>
    <row r="478">
      <c r="A478" s="15" t="n"/>
      <c r="B478" s="3" t="n"/>
      <c r="C478" s="17" t="n"/>
      <c r="D478" s="17" t="n"/>
      <c r="E478" s="13">
        <f>SE(OU(A478="";C478="";D478="");"";C478-D478)</f>
        <v/>
      </c>
      <c r="F478" s="4">
        <f>SE(OU(A478="";C478="";D478="");"";SE(C478=D478;"✅";"❌"))</f>
        <v/>
      </c>
    </row>
    <row r="479">
      <c r="A479" s="15" t="n"/>
      <c r="B479" s="3" t="n"/>
      <c r="C479" s="17" t="n"/>
      <c r="D479" s="17" t="n"/>
      <c r="E479" s="13">
        <f>SE(OU(A479="";C479="";D479="");"";C479-D479)</f>
        <v/>
      </c>
      <c r="F479" s="4">
        <f>SE(OU(A479="";C479="";D479="");"";SE(C479=D479;"✅";"❌"))</f>
        <v/>
      </c>
    </row>
    <row r="480">
      <c r="A480" s="15" t="n"/>
      <c r="B480" s="3" t="n"/>
      <c r="C480" s="17" t="n"/>
      <c r="D480" s="17" t="n"/>
      <c r="E480" s="13">
        <f>SE(OU(A480="";C480="";D480="");"";C480-D480)</f>
        <v/>
      </c>
      <c r="F480" s="4">
        <f>SE(OU(A480="";C480="";D480="");"";SE(C480=D480;"✅";"❌"))</f>
        <v/>
      </c>
    </row>
    <row r="481">
      <c r="A481" s="15" t="n"/>
      <c r="B481" s="3" t="n"/>
      <c r="C481" s="17" t="n"/>
      <c r="D481" s="17" t="n"/>
      <c r="E481" s="13">
        <f>SE(OU(A481="";C481="";D481="");"";C481-D481)</f>
        <v/>
      </c>
      <c r="F481" s="4">
        <f>SE(OU(A481="";C481="";D481="");"";SE(C481=D481;"✅";"❌"))</f>
        <v/>
      </c>
    </row>
    <row r="482">
      <c r="A482" s="15" t="n"/>
      <c r="B482" s="3" t="n"/>
      <c r="C482" s="17" t="n"/>
      <c r="D482" s="17" t="n"/>
      <c r="E482" s="13">
        <f>SE(OU(A482="";C482="";D482="");"";C482-D482)</f>
        <v/>
      </c>
      <c r="F482" s="4">
        <f>SE(OU(A482="";C482="";D482="");"";SE(C482=D482;"✅";"❌"))</f>
        <v/>
      </c>
    </row>
    <row r="483">
      <c r="A483" s="15" t="n"/>
      <c r="B483" s="3" t="n"/>
      <c r="C483" s="17" t="n"/>
      <c r="D483" s="17" t="n"/>
      <c r="E483" s="13">
        <f>SE(OU(A483="";C483="";D483="");"";C483-D483)</f>
        <v/>
      </c>
      <c r="F483" s="4">
        <f>SE(OU(A483="";C483="";D483="");"";SE(C483=D483;"✅";"❌"))</f>
        <v/>
      </c>
    </row>
    <row r="484">
      <c r="A484" s="15" t="n"/>
      <c r="B484" s="3" t="n"/>
      <c r="C484" s="17" t="n"/>
      <c r="D484" s="17" t="n"/>
      <c r="E484" s="13">
        <f>SE(OU(A484="";C484="";D484="");"";C484-D484)</f>
        <v/>
      </c>
      <c r="F484" s="4">
        <f>SE(OU(A484="";C484="";D484="");"";SE(C484=D484;"✅";"❌"))</f>
        <v/>
      </c>
    </row>
    <row r="485">
      <c r="A485" s="15" t="n"/>
      <c r="B485" s="3" t="n"/>
      <c r="C485" s="17" t="n"/>
      <c r="D485" s="17" t="n"/>
      <c r="E485" s="13">
        <f>SE(OU(A485="";C485="";D485="");"";C485-D485)</f>
        <v/>
      </c>
      <c r="F485" s="4">
        <f>SE(OU(A485="";C485="";D485="");"";SE(C485=D485;"✅";"❌"))</f>
        <v/>
      </c>
    </row>
    <row r="486">
      <c r="A486" s="15" t="n"/>
      <c r="B486" s="3" t="n"/>
      <c r="C486" s="17" t="n"/>
      <c r="D486" s="17" t="n"/>
      <c r="E486" s="13">
        <f>SE(OU(A486="";C486="";D486="");"";C486-D486)</f>
        <v/>
      </c>
      <c r="F486" s="4">
        <f>SE(OU(A486="";C486="";D486="");"";SE(C486=D486;"✅";"❌"))</f>
        <v/>
      </c>
    </row>
    <row r="487">
      <c r="A487" s="15" t="n"/>
      <c r="B487" s="3" t="n"/>
      <c r="C487" s="17" t="n"/>
      <c r="D487" s="17" t="n"/>
      <c r="E487" s="13">
        <f>SE(OU(A487="";C487="";D487="");"";C487-D487)</f>
        <v/>
      </c>
      <c r="F487" s="4">
        <f>SE(OU(A487="";C487="";D487="");"";SE(C487=D487;"✅";"❌"))</f>
        <v/>
      </c>
    </row>
    <row r="488">
      <c r="A488" s="15" t="n"/>
      <c r="B488" s="3" t="n"/>
      <c r="C488" s="17" t="n"/>
      <c r="D488" s="17" t="n"/>
      <c r="E488" s="13">
        <f>SE(OU(A488="";C488="";D488="");"";C488-D488)</f>
        <v/>
      </c>
      <c r="F488" s="4">
        <f>SE(OU(A488="";C488="";D488="");"";SE(C488=D488;"✅";"❌"))</f>
        <v/>
      </c>
    </row>
    <row r="489">
      <c r="A489" s="15" t="n"/>
      <c r="B489" s="3" t="n"/>
      <c r="C489" s="17" t="n"/>
      <c r="D489" s="17" t="n"/>
      <c r="E489" s="13">
        <f>SE(OU(A489="";C489="";D489="");"";C489-D489)</f>
        <v/>
      </c>
      <c r="F489" s="4">
        <f>SE(OU(A489="";C489="";D489="");"";SE(C489=D489;"✅";"❌"))</f>
        <v/>
      </c>
    </row>
    <row r="490">
      <c r="A490" s="15" t="n"/>
      <c r="B490" s="3" t="n"/>
      <c r="C490" s="17" t="n"/>
      <c r="D490" s="17" t="n"/>
      <c r="E490" s="13">
        <f>SE(OU(A490="";C490="";D490="");"";C490-D490)</f>
        <v/>
      </c>
      <c r="F490" s="4">
        <f>SE(OU(A490="";C490="";D490="");"";SE(C490=D490;"✅";"❌"))</f>
        <v/>
      </c>
    </row>
    <row r="491">
      <c r="A491" s="15" t="n"/>
      <c r="B491" s="3" t="n"/>
      <c r="C491" s="17" t="n"/>
      <c r="D491" s="17" t="n"/>
      <c r="E491" s="13">
        <f>SE(OU(A491="";C491="";D491="");"";C491-D491)</f>
        <v/>
      </c>
      <c r="F491" s="4">
        <f>SE(OU(A491="";C491="";D491="");"";SE(C491=D491;"✅";"❌"))</f>
        <v/>
      </c>
    </row>
    <row r="492">
      <c r="A492" s="15" t="n"/>
      <c r="B492" s="3" t="n"/>
      <c r="C492" s="17" t="n"/>
      <c r="D492" s="17" t="n"/>
      <c r="E492" s="13">
        <f>SE(OU(A492="";C492="";D492="");"";C492-D492)</f>
        <v/>
      </c>
      <c r="F492" s="4">
        <f>SE(OU(A492="";C492="";D492="");"";SE(C492=D492;"✅";"❌"))</f>
        <v/>
      </c>
    </row>
    <row r="493">
      <c r="A493" s="15" t="n"/>
      <c r="B493" s="3" t="n"/>
      <c r="C493" s="17" t="n"/>
      <c r="D493" s="17" t="n"/>
      <c r="E493" s="13">
        <f>SE(OU(A493="";C493="";D493="");"";C493-D493)</f>
        <v/>
      </c>
      <c r="F493" s="4">
        <f>SE(OU(A493="";C493="";D493="");"";SE(C493=D493;"✅";"❌"))</f>
        <v/>
      </c>
    </row>
    <row r="494">
      <c r="A494" s="15" t="n"/>
      <c r="B494" s="3" t="n"/>
      <c r="C494" s="17" t="n"/>
      <c r="D494" s="17" t="n"/>
      <c r="E494" s="13">
        <f>SE(OU(A494="";C494="";D494="");"";C494-D494)</f>
        <v/>
      </c>
      <c r="F494" s="4">
        <f>SE(OU(A494="";C494="";D494="");"";SE(C494=D494;"✅";"❌"))</f>
        <v/>
      </c>
    </row>
    <row r="495">
      <c r="A495" s="15" t="n"/>
      <c r="B495" s="3" t="n"/>
      <c r="C495" s="17" t="n"/>
      <c r="D495" s="17" t="n"/>
      <c r="E495" s="13">
        <f>SE(OU(A495="";C495="";D495="");"";C495-D495)</f>
        <v/>
      </c>
      <c r="F495" s="4">
        <f>SE(OU(A495="";C495="";D495="");"";SE(C495=D495;"✅";"❌"))</f>
        <v/>
      </c>
    </row>
    <row r="496">
      <c r="A496" s="15" t="n"/>
      <c r="B496" s="3" t="n"/>
      <c r="C496" s="17" t="n"/>
      <c r="D496" s="17" t="n"/>
      <c r="E496" s="13">
        <f>SE(OU(A496="";C496="";D496="");"";C496-D496)</f>
        <v/>
      </c>
      <c r="F496" s="4">
        <f>SE(OU(A496="";C496="";D496="");"";SE(C496=D496;"✅";"❌"))</f>
        <v/>
      </c>
    </row>
    <row r="497">
      <c r="A497" s="15" t="n"/>
      <c r="B497" s="3" t="n"/>
      <c r="C497" s="17" t="n"/>
      <c r="D497" s="17" t="n"/>
      <c r="E497" s="13">
        <f>SE(OU(A497="";C497="";D497="");"";C497-D497)</f>
        <v/>
      </c>
      <c r="F497" s="4">
        <f>SE(OU(A497="";C497="";D497="");"";SE(C497=D497;"✅";"❌"))</f>
        <v/>
      </c>
    </row>
    <row r="498">
      <c r="A498" s="15" t="n"/>
      <c r="B498" s="3" t="n"/>
      <c r="C498" s="17" t="n"/>
      <c r="D498" s="17" t="n"/>
      <c r="E498" s="13">
        <f>SE(OU(A498="";C498="";D498="");"";C498-D498)</f>
        <v/>
      </c>
      <c r="F498" s="4">
        <f>SE(OU(A498="";C498="";D498="");"";SE(C498=D498;"✅";"❌"))</f>
        <v/>
      </c>
    </row>
    <row r="499">
      <c r="A499" s="15" t="n"/>
      <c r="B499" s="3" t="n"/>
      <c r="C499" s="17" t="n"/>
      <c r="D499" s="17" t="n"/>
      <c r="E499" s="13">
        <f>SE(OU(A499="";C499="";D499="");"";C499-D499)</f>
        <v/>
      </c>
      <c r="F499" s="4">
        <f>SE(OU(A499="";C499="";D499="");"";SE(C499=D499;"✅";"❌"))</f>
        <v/>
      </c>
    </row>
    <row r="500">
      <c r="A500" s="15" t="n"/>
      <c r="B500" s="3" t="n"/>
      <c r="C500" s="17" t="n"/>
      <c r="D500" s="17" t="n"/>
      <c r="E500" s="13">
        <f>SE(OU(A500="";C500="";D500="");"";C500-D500)</f>
        <v/>
      </c>
      <c r="F500" s="4">
        <f>SE(OU(A500="";C500="";D500="");"";SE(C500=D500;"✅";"❌"))</f>
        <v/>
      </c>
    </row>
    <row r="501">
      <c r="A501" s="15" t="n"/>
      <c r="B501" s="3" t="n"/>
      <c r="C501" s="17" t="n"/>
      <c r="D501" s="17" t="n"/>
      <c r="E501" s="13">
        <f>SE(OU(A501="";C501="";D501="");"";C501-D501)</f>
        <v/>
      </c>
      <c r="F501" s="4">
        <f>SE(OU(A501="";C501="";D501="");"";SE(C501=D501;"✅";"❌"))</f>
        <v/>
      </c>
    </row>
    <row r="502">
      <c r="A502" s="15" t="n"/>
      <c r="B502" s="3" t="n"/>
      <c r="C502" s="17" t="n"/>
      <c r="D502" s="17" t="n"/>
      <c r="E502" s="13">
        <f>SE(OU(A502="";C502="";D502="");"";C502-D502)</f>
        <v/>
      </c>
      <c r="F502" s="4">
        <f>SE(OU(A502="";C502="";D502="");"";SE(C502=D502;"✅";"❌"))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F2"/>
  <mergeCells count="1">
    <mergeCell ref="A1:F1"/>
  </mergeCells>
  <conditionalFormatting sqref="F3:F502">
    <cfRule type="expression" priority="1" dxfId="0">
      <formula>F3="❌"</formula>
    </cfRule>
  </conditionalFormatting>
  <dataValidations count="1">
    <dataValidation sqref="A3:A502" showDropDown="0" showInputMessage="0" showErrorMessage="0" allowBlank="1" error="Informe uma data válida (dd/mm/aaaa).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D3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40" customHeight="1">
      <c r="A1" s="1" t="inlineStr">
        <is>
          <t>📑  Relatório Anual — Prestação de Contas</t>
        </is>
      </c>
    </row>
    <row r="3">
      <c r="A3" s="23" t="inlineStr">
        <is>
          <t>RECEITAS</t>
        </is>
      </c>
    </row>
    <row r="4">
      <c r="A4" s="24" t="inlineStr">
        <is>
          <t>Total de Dízimos</t>
        </is>
      </c>
      <c r="B4" s="13">
        <f>'Resumo Financeiro'!B15</f>
        <v/>
      </c>
    </row>
    <row r="5">
      <c r="A5" s="24" t="inlineStr">
        <is>
          <t>Total de Doações</t>
        </is>
      </c>
      <c r="B5" s="13">
        <f>'Resumo Financeiro'!C15</f>
        <v/>
      </c>
    </row>
    <row r="6">
      <c r="A6" s="24" t="inlineStr">
        <is>
          <t>Total Coletas de Domingo (Missas)</t>
        </is>
      </c>
      <c r="B6" s="13">
        <f>'Resumo Financeiro'!D15</f>
        <v/>
      </c>
    </row>
    <row r="7">
      <c r="A7" s="24" t="inlineStr">
        <is>
          <t>Outras Receitas</t>
        </is>
      </c>
      <c r="B7" s="17" t="inlineStr">
        <is>
          <t>0</t>
        </is>
      </c>
    </row>
    <row r="8">
      <c r="A8" s="2" t="inlineStr">
        <is>
          <t>TOTAL DE RECEITAS</t>
        </is>
      </c>
      <c r="B8" s="13">
        <f>'Resumo Financeiro'!E15</f>
        <v/>
      </c>
    </row>
    <row r="10">
      <c r="A10" s="25" t="inlineStr">
        <is>
          <t>DESPESAS</t>
        </is>
      </c>
    </row>
    <row r="11">
      <c r="A11" t="inlineStr">
        <is>
          <t>Água</t>
        </is>
      </c>
      <c r="B11" s="13">
        <f>SOMASE(Gastos!$B$3:$B$502;A11;Gastos!$F$3:$F$502)</f>
        <v/>
      </c>
    </row>
    <row r="12">
      <c r="A12" t="inlineStr">
        <is>
          <t>Energia</t>
        </is>
      </c>
      <c r="B12" s="13">
        <f>SOMASE(Gastos!$B$3:$B$502;A12;Gastos!$F$3:$F$502)</f>
        <v/>
      </c>
    </row>
    <row r="13">
      <c r="A13" t="inlineStr">
        <is>
          <t>Limpeza</t>
        </is>
      </c>
      <c r="B13" s="13">
        <f>SOMASE(Gastos!$B$3:$B$502;A13;Gastos!$F$3:$F$502)</f>
        <v/>
      </c>
    </row>
    <row r="14">
      <c r="A14" t="inlineStr">
        <is>
          <t>Material Litúrgico</t>
        </is>
      </c>
      <c r="B14" s="13">
        <f>SOMASE(Gastos!$B$3:$B$502;A14;Gastos!$F$3:$F$502)</f>
        <v/>
      </c>
    </row>
    <row r="15">
      <c r="A15" t="inlineStr">
        <is>
          <t>Hóstias</t>
        </is>
      </c>
      <c r="B15" s="13">
        <f>SOMASE(Gastos!$B$3:$B$502;A15;Gastos!$F$3:$F$502)</f>
        <v/>
      </c>
    </row>
    <row r="16">
      <c r="A16" t="inlineStr">
        <is>
          <t>Vinho</t>
        </is>
      </c>
      <c r="B16" s="13">
        <f>SOMASE(Gastos!$B$3:$B$502;A16;Gastos!$F$3:$F$502)</f>
        <v/>
      </c>
    </row>
    <row r="17">
      <c r="A17" t="inlineStr">
        <is>
          <t>Flores</t>
        </is>
      </c>
      <c r="B17" s="13">
        <f>SOMASE(Gastos!$B$3:$B$502;A17;Gastos!$F$3:$F$502)</f>
        <v/>
      </c>
    </row>
    <row r="18">
      <c r="A18" t="inlineStr">
        <is>
          <t>Som</t>
        </is>
      </c>
      <c r="B18" s="13">
        <f>SOMASE(Gastos!$B$3:$B$502;A18;Gastos!$F$3:$F$502)</f>
        <v/>
      </c>
    </row>
    <row r="19">
      <c r="A19" t="inlineStr">
        <is>
          <t>Manutenção</t>
        </is>
      </c>
      <c r="B19" s="13">
        <f>SOMASE(Gastos!$B$3:$B$502;A19;Gastos!$F$3:$F$502)</f>
        <v/>
      </c>
    </row>
    <row r="20">
      <c r="A20" t="inlineStr">
        <is>
          <t>Obras</t>
        </is>
      </c>
      <c r="B20" s="13">
        <f>SOMASE(Gastos!$B$3:$B$502;A20;Gastos!$F$3:$F$502)</f>
        <v/>
      </c>
    </row>
    <row r="21">
      <c r="A21" t="inlineStr">
        <is>
          <t>Secretaria</t>
        </is>
      </c>
      <c r="B21" s="13">
        <f>SOMASE(Gastos!$B$3:$B$502;A21;Gastos!$F$3:$F$502)</f>
        <v/>
      </c>
    </row>
    <row r="22">
      <c r="A22" t="inlineStr">
        <is>
          <t>Eventos</t>
        </is>
      </c>
      <c r="B22" s="13">
        <f>SOMASE(Gastos!$B$3:$B$502;A22;Gastos!$F$3:$F$502)</f>
        <v/>
      </c>
    </row>
    <row r="23">
      <c r="A23" t="inlineStr">
        <is>
          <t>Alimentação</t>
        </is>
      </c>
      <c r="B23" s="13">
        <f>SOMASE(Gastos!$B$3:$B$502;A23;Gastos!$F$3:$F$502)</f>
        <v/>
      </c>
    </row>
    <row r="24">
      <c r="A24" t="inlineStr">
        <is>
          <t>Transporte</t>
        </is>
      </c>
      <c r="B24" s="13">
        <f>SOMASE(Gastos!$B$3:$B$502;A24;Gastos!$F$3:$F$502)</f>
        <v/>
      </c>
    </row>
    <row r="25">
      <c r="A25" t="inlineStr">
        <is>
          <t>Outros</t>
        </is>
      </c>
      <c r="B25" s="13">
        <f>SOMASE(Gastos!$B$3:$B$502;A25;Gastos!$F$3:$F$502)</f>
        <v/>
      </c>
    </row>
    <row r="26">
      <c r="A26" s="2" t="inlineStr">
        <is>
          <t>TOTAL DE DESPESAS</t>
        </is>
      </c>
      <c r="B26" s="13">
        <f>'Resumo Financeiro'!F15</f>
        <v/>
      </c>
    </row>
    <row r="28">
      <c r="A28" s="26" t="inlineStr">
        <is>
          <t>RESULTADO DO EXERCÍCIO</t>
        </is>
      </c>
    </row>
    <row r="29">
      <c r="A29" s="11" t="inlineStr">
        <is>
          <t>Saldo Inicial</t>
        </is>
      </c>
      <c r="B29" s="13">
        <f>Configurações!$B$10</f>
        <v/>
      </c>
    </row>
    <row r="30">
      <c r="A30" s="11" t="inlineStr">
        <is>
          <t>(+) Total Receitas</t>
        </is>
      </c>
      <c r="B30" s="13">
        <f>'Resumo Financeiro'!E15</f>
        <v/>
      </c>
    </row>
    <row r="31">
      <c r="A31" s="11" t="inlineStr">
        <is>
          <t>(-) Total Despesas</t>
        </is>
      </c>
      <c r="B31" s="13">
        <f>'Resumo Financeiro'!F15</f>
        <v/>
      </c>
    </row>
    <row r="32">
      <c r="A32" s="27" t="inlineStr">
        <is>
          <t>(=) Saldo Final</t>
        </is>
      </c>
      <c r="B32" s="13">
        <f>Configurações!$B$10+'Resumo Financeiro'!G15</f>
        <v/>
      </c>
    </row>
    <row r="34">
      <c r="A34" t="inlineStr">
        <is>
          <t>Ano de referência:</t>
        </is>
      </c>
      <c r="B34">
        <f>Configurações!$B$3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4">
    <mergeCell ref="A1:D1"/>
    <mergeCell ref="A3:B3"/>
    <mergeCell ref="A10:B10"/>
    <mergeCell ref="A28:B28"/>
  </mergeCells>
  <pageMargins left="0.75" right="0.75" top="1" bottom="1" header="0.5" footer="0.5"/>
  <pageSetup orientation="portrait" paperSize="9" fitToHeight="0" fitToWidth="1"/>
  <headerFooter>
    <oddHeader>&amp;CRelatório Anual</oddHeader>
    <oddFooter>&amp;CGerado pela Planilha de Tesouraria — 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O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14" max="14"/>
    <col width="10" customWidth="1" min="15" max="15"/>
  </cols>
  <sheetData>
    <row r="1" ht="40" customHeight="1">
      <c r="A1" s="1" t="inlineStr">
        <is>
          <t>📑  Relatório por Categoria de Despesas</t>
        </is>
      </c>
    </row>
    <row r="2" ht="28" customHeight="1">
      <c r="A2" s="14" t="inlineStr">
        <is>
          <t>Categoria</t>
        </is>
      </c>
      <c r="B2" s="14" t="inlineStr">
        <is>
          <t>Jan</t>
        </is>
      </c>
      <c r="C2" s="14" t="inlineStr">
        <is>
          <t>Fev</t>
        </is>
      </c>
      <c r="D2" s="14" t="inlineStr">
        <is>
          <t>Mar</t>
        </is>
      </c>
      <c r="E2" s="14" t="inlineStr">
        <is>
          <t>Abr</t>
        </is>
      </c>
      <c r="F2" s="14" t="inlineStr">
        <is>
          <t>Mai</t>
        </is>
      </c>
      <c r="G2" s="14" t="inlineStr">
        <is>
          <t>Jun</t>
        </is>
      </c>
      <c r="H2" s="14" t="inlineStr">
        <is>
          <t>Jul</t>
        </is>
      </c>
      <c r="I2" s="14" t="inlineStr">
        <is>
          <t>Ago</t>
        </is>
      </c>
      <c r="J2" s="14" t="inlineStr">
        <is>
          <t>Set</t>
        </is>
      </c>
      <c r="K2" s="14" t="inlineStr">
        <is>
          <t>Out</t>
        </is>
      </c>
      <c r="L2" s="14" t="inlineStr">
        <is>
          <t>Nov</t>
        </is>
      </c>
      <c r="M2" s="14" t="inlineStr">
        <is>
          <t>Dez</t>
        </is>
      </c>
      <c r="N2" s="14" t="inlineStr">
        <is>
          <t>Total Anual</t>
        </is>
      </c>
      <c r="O2" s="14" t="inlineStr">
        <is>
          <t>% do Total</t>
        </is>
      </c>
    </row>
    <row r="3">
      <c r="A3" s="2" t="inlineStr">
        <is>
          <t>Água</t>
        </is>
      </c>
      <c r="B3" s="13">
        <f>SOMASES(Gastos!$F$3:$F$502;Gastos!$B$3:$B$502;$A3;Gastos!$A$3:$A$502;"&gt;="&amp;DATA(Configurações!$B$3;1;1);Gastos!$A$3:$A$502;"&lt;="&amp;FIM.MÊS(DATA(Configurações!$B$3;1;1)))</f>
        <v/>
      </c>
      <c r="C3" s="13">
        <f>SOMASES(Gastos!$F$3:$F$502;Gastos!$B$3:$B$502;$A3;Gastos!$A$3:$A$502;"&gt;="&amp;DATA(Configurações!$B$3;2;1);Gastos!$A$3:$A$502;"&lt;="&amp;FIM.MÊS(DATA(Configurações!$B$3;2;1)))</f>
        <v/>
      </c>
      <c r="D3" s="13">
        <f>SOMASES(Gastos!$F$3:$F$502;Gastos!$B$3:$B$502;$A3;Gastos!$A$3:$A$502;"&gt;="&amp;DATA(Configurações!$B$3;3;1);Gastos!$A$3:$A$502;"&lt;="&amp;FIM.MÊS(DATA(Configurações!$B$3;3;1)))</f>
        <v/>
      </c>
      <c r="E3" s="13">
        <f>SOMASES(Gastos!$F$3:$F$502;Gastos!$B$3:$B$502;$A3;Gastos!$A$3:$A$502;"&gt;="&amp;DATA(Configurações!$B$3;4;1);Gastos!$A$3:$A$502;"&lt;="&amp;FIM.MÊS(DATA(Configurações!$B$3;4;1)))</f>
        <v/>
      </c>
      <c r="F3" s="13">
        <f>SOMASES(Gastos!$F$3:$F$502;Gastos!$B$3:$B$502;$A3;Gastos!$A$3:$A$502;"&gt;="&amp;DATA(Configurações!$B$3;5;1);Gastos!$A$3:$A$502;"&lt;="&amp;FIM.MÊS(DATA(Configurações!$B$3;5;1)))</f>
        <v/>
      </c>
      <c r="G3" s="13">
        <f>SOMASES(Gastos!$F$3:$F$502;Gastos!$B$3:$B$502;$A3;Gastos!$A$3:$A$502;"&gt;="&amp;DATA(Configurações!$B$3;6;1);Gastos!$A$3:$A$502;"&lt;="&amp;FIM.MÊS(DATA(Configurações!$B$3;6;1)))</f>
        <v/>
      </c>
      <c r="H3" s="13">
        <f>SOMASES(Gastos!$F$3:$F$502;Gastos!$B$3:$B$502;$A3;Gastos!$A$3:$A$502;"&gt;="&amp;DATA(Configurações!$B$3;7;1);Gastos!$A$3:$A$502;"&lt;="&amp;FIM.MÊS(DATA(Configurações!$B$3;7;1)))</f>
        <v/>
      </c>
      <c r="I3" s="13">
        <f>SOMASES(Gastos!$F$3:$F$502;Gastos!$B$3:$B$502;$A3;Gastos!$A$3:$A$502;"&gt;="&amp;DATA(Configurações!$B$3;8;1);Gastos!$A$3:$A$502;"&lt;="&amp;FIM.MÊS(DATA(Configurações!$B$3;8;1)))</f>
        <v/>
      </c>
      <c r="J3" s="13">
        <f>SOMASES(Gastos!$F$3:$F$502;Gastos!$B$3:$B$502;$A3;Gastos!$A$3:$A$502;"&gt;="&amp;DATA(Configurações!$B$3;9;1);Gastos!$A$3:$A$502;"&lt;="&amp;FIM.MÊS(DATA(Configurações!$B$3;9;1)))</f>
        <v/>
      </c>
      <c r="K3" s="13">
        <f>SOMASES(Gastos!$F$3:$F$502;Gastos!$B$3:$B$502;$A3;Gastos!$A$3:$A$502;"&gt;="&amp;DATA(Configurações!$B$3;10;1);Gastos!$A$3:$A$502;"&lt;="&amp;FIM.MÊS(DATA(Configurações!$B$3;10;1)))</f>
        <v/>
      </c>
      <c r="L3" s="13">
        <f>SOMASES(Gastos!$F$3:$F$502;Gastos!$B$3:$B$502;$A3;Gastos!$A$3:$A$502;"&gt;="&amp;DATA(Configurações!$B$3;11;1);Gastos!$A$3:$A$502;"&lt;="&amp;FIM.MÊS(DATA(Configurações!$B$3;11;1)))</f>
        <v/>
      </c>
      <c r="M3" s="13">
        <f>SOMASES(Gastos!$F$3:$F$502;Gastos!$B$3:$B$502;$A3;Gastos!$A$3:$A$502;"&gt;="&amp;DATA(Configurações!$B$3;12;1);Gastos!$A$3:$A$502;"&lt;="&amp;FIM.MÊS(DATA(Configurações!$B$3;12;1)))</f>
        <v/>
      </c>
      <c r="N3" s="13">
        <f>SOMA(B3:M3)</f>
        <v/>
      </c>
      <c r="O3" s="28">
        <f>SE(N$18=0;"";N3/N$18)</f>
        <v/>
      </c>
    </row>
    <row r="4">
      <c r="A4" s="2" t="inlineStr">
        <is>
          <t>Energia</t>
        </is>
      </c>
      <c r="B4" s="13">
        <f>SOMASES(Gastos!$F$3:$F$502;Gastos!$B$3:$B$502;$A4;Gastos!$A$3:$A$502;"&gt;="&amp;DATA(Configurações!$B$3;1;1);Gastos!$A$3:$A$502;"&lt;="&amp;FIM.MÊS(DATA(Configurações!$B$3;1;1)))</f>
        <v/>
      </c>
      <c r="C4" s="13">
        <f>SOMASES(Gastos!$F$3:$F$502;Gastos!$B$3:$B$502;$A4;Gastos!$A$3:$A$502;"&gt;="&amp;DATA(Configurações!$B$3;2;1);Gastos!$A$3:$A$502;"&lt;="&amp;FIM.MÊS(DATA(Configurações!$B$3;2;1)))</f>
        <v/>
      </c>
      <c r="D4" s="13">
        <f>SOMASES(Gastos!$F$3:$F$502;Gastos!$B$3:$B$502;$A4;Gastos!$A$3:$A$502;"&gt;="&amp;DATA(Configurações!$B$3;3;1);Gastos!$A$3:$A$502;"&lt;="&amp;FIM.MÊS(DATA(Configurações!$B$3;3;1)))</f>
        <v/>
      </c>
      <c r="E4" s="13">
        <f>SOMASES(Gastos!$F$3:$F$502;Gastos!$B$3:$B$502;$A4;Gastos!$A$3:$A$502;"&gt;="&amp;DATA(Configurações!$B$3;4;1);Gastos!$A$3:$A$502;"&lt;="&amp;FIM.MÊS(DATA(Configurações!$B$3;4;1)))</f>
        <v/>
      </c>
      <c r="F4" s="13">
        <f>SOMASES(Gastos!$F$3:$F$502;Gastos!$B$3:$B$502;$A4;Gastos!$A$3:$A$502;"&gt;="&amp;DATA(Configurações!$B$3;5;1);Gastos!$A$3:$A$502;"&lt;="&amp;FIM.MÊS(DATA(Configurações!$B$3;5;1)))</f>
        <v/>
      </c>
      <c r="G4" s="13">
        <f>SOMASES(Gastos!$F$3:$F$502;Gastos!$B$3:$B$502;$A4;Gastos!$A$3:$A$502;"&gt;="&amp;DATA(Configurações!$B$3;6;1);Gastos!$A$3:$A$502;"&lt;="&amp;FIM.MÊS(DATA(Configurações!$B$3;6;1)))</f>
        <v/>
      </c>
      <c r="H4" s="13">
        <f>SOMASES(Gastos!$F$3:$F$502;Gastos!$B$3:$B$502;$A4;Gastos!$A$3:$A$502;"&gt;="&amp;DATA(Configurações!$B$3;7;1);Gastos!$A$3:$A$502;"&lt;="&amp;FIM.MÊS(DATA(Configurações!$B$3;7;1)))</f>
        <v/>
      </c>
      <c r="I4" s="13">
        <f>SOMASES(Gastos!$F$3:$F$502;Gastos!$B$3:$B$502;$A4;Gastos!$A$3:$A$502;"&gt;="&amp;DATA(Configurações!$B$3;8;1);Gastos!$A$3:$A$502;"&lt;="&amp;FIM.MÊS(DATA(Configurações!$B$3;8;1)))</f>
        <v/>
      </c>
      <c r="J4" s="13">
        <f>SOMASES(Gastos!$F$3:$F$502;Gastos!$B$3:$B$502;$A4;Gastos!$A$3:$A$502;"&gt;="&amp;DATA(Configurações!$B$3;9;1);Gastos!$A$3:$A$502;"&lt;="&amp;FIM.MÊS(DATA(Configurações!$B$3;9;1)))</f>
        <v/>
      </c>
      <c r="K4" s="13">
        <f>SOMASES(Gastos!$F$3:$F$502;Gastos!$B$3:$B$502;$A4;Gastos!$A$3:$A$502;"&gt;="&amp;DATA(Configurações!$B$3;10;1);Gastos!$A$3:$A$502;"&lt;="&amp;FIM.MÊS(DATA(Configurações!$B$3;10;1)))</f>
        <v/>
      </c>
      <c r="L4" s="13">
        <f>SOMASES(Gastos!$F$3:$F$502;Gastos!$B$3:$B$502;$A4;Gastos!$A$3:$A$502;"&gt;="&amp;DATA(Configurações!$B$3;11;1);Gastos!$A$3:$A$502;"&lt;="&amp;FIM.MÊS(DATA(Configurações!$B$3;11;1)))</f>
        <v/>
      </c>
      <c r="M4" s="13">
        <f>SOMASES(Gastos!$F$3:$F$502;Gastos!$B$3:$B$502;$A4;Gastos!$A$3:$A$502;"&gt;="&amp;DATA(Configurações!$B$3;12;1);Gastos!$A$3:$A$502;"&lt;="&amp;FIM.MÊS(DATA(Configurações!$B$3;12;1)))</f>
        <v/>
      </c>
      <c r="N4" s="13">
        <f>SOMA(B4:M4)</f>
        <v/>
      </c>
      <c r="O4" s="28">
        <f>SE(N$18=0;"";N4/N$18)</f>
        <v/>
      </c>
    </row>
    <row r="5">
      <c r="A5" s="2" t="inlineStr">
        <is>
          <t>Limpeza</t>
        </is>
      </c>
      <c r="B5" s="13">
        <f>SOMASES(Gastos!$F$3:$F$502;Gastos!$B$3:$B$502;$A5;Gastos!$A$3:$A$502;"&gt;="&amp;DATA(Configurações!$B$3;1;1);Gastos!$A$3:$A$502;"&lt;="&amp;FIM.MÊS(DATA(Configurações!$B$3;1;1)))</f>
        <v/>
      </c>
      <c r="C5" s="13">
        <f>SOMASES(Gastos!$F$3:$F$502;Gastos!$B$3:$B$502;$A5;Gastos!$A$3:$A$502;"&gt;="&amp;DATA(Configurações!$B$3;2;1);Gastos!$A$3:$A$502;"&lt;="&amp;FIM.MÊS(DATA(Configurações!$B$3;2;1)))</f>
        <v/>
      </c>
      <c r="D5" s="13">
        <f>SOMASES(Gastos!$F$3:$F$502;Gastos!$B$3:$B$502;$A5;Gastos!$A$3:$A$502;"&gt;="&amp;DATA(Configurações!$B$3;3;1);Gastos!$A$3:$A$502;"&lt;="&amp;FIM.MÊS(DATA(Configurações!$B$3;3;1)))</f>
        <v/>
      </c>
      <c r="E5" s="13">
        <f>SOMASES(Gastos!$F$3:$F$502;Gastos!$B$3:$B$502;$A5;Gastos!$A$3:$A$502;"&gt;="&amp;DATA(Configurações!$B$3;4;1);Gastos!$A$3:$A$502;"&lt;="&amp;FIM.MÊS(DATA(Configurações!$B$3;4;1)))</f>
        <v/>
      </c>
      <c r="F5" s="13">
        <f>SOMASES(Gastos!$F$3:$F$502;Gastos!$B$3:$B$502;$A5;Gastos!$A$3:$A$502;"&gt;="&amp;DATA(Configurações!$B$3;5;1);Gastos!$A$3:$A$502;"&lt;="&amp;FIM.MÊS(DATA(Configurações!$B$3;5;1)))</f>
        <v/>
      </c>
      <c r="G5" s="13">
        <f>SOMASES(Gastos!$F$3:$F$502;Gastos!$B$3:$B$502;$A5;Gastos!$A$3:$A$502;"&gt;="&amp;DATA(Configurações!$B$3;6;1);Gastos!$A$3:$A$502;"&lt;="&amp;FIM.MÊS(DATA(Configurações!$B$3;6;1)))</f>
        <v/>
      </c>
      <c r="H5" s="13">
        <f>SOMASES(Gastos!$F$3:$F$502;Gastos!$B$3:$B$502;$A5;Gastos!$A$3:$A$502;"&gt;="&amp;DATA(Configurações!$B$3;7;1);Gastos!$A$3:$A$502;"&lt;="&amp;FIM.MÊS(DATA(Configurações!$B$3;7;1)))</f>
        <v/>
      </c>
      <c r="I5" s="13">
        <f>SOMASES(Gastos!$F$3:$F$502;Gastos!$B$3:$B$502;$A5;Gastos!$A$3:$A$502;"&gt;="&amp;DATA(Configurações!$B$3;8;1);Gastos!$A$3:$A$502;"&lt;="&amp;FIM.MÊS(DATA(Configurações!$B$3;8;1)))</f>
        <v/>
      </c>
      <c r="J5" s="13">
        <f>SOMASES(Gastos!$F$3:$F$502;Gastos!$B$3:$B$502;$A5;Gastos!$A$3:$A$502;"&gt;="&amp;DATA(Configurações!$B$3;9;1);Gastos!$A$3:$A$502;"&lt;="&amp;FIM.MÊS(DATA(Configurações!$B$3;9;1)))</f>
        <v/>
      </c>
      <c r="K5" s="13">
        <f>SOMASES(Gastos!$F$3:$F$502;Gastos!$B$3:$B$502;$A5;Gastos!$A$3:$A$502;"&gt;="&amp;DATA(Configurações!$B$3;10;1);Gastos!$A$3:$A$502;"&lt;="&amp;FIM.MÊS(DATA(Configurações!$B$3;10;1)))</f>
        <v/>
      </c>
      <c r="L5" s="13">
        <f>SOMASES(Gastos!$F$3:$F$502;Gastos!$B$3:$B$502;$A5;Gastos!$A$3:$A$502;"&gt;="&amp;DATA(Configurações!$B$3;11;1);Gastos!$A$3:$A$502;"&lt;="&amp;FIM.MÊS(DATA(Configurações!$B$3;11;1)))</f>
        <v/>
      </c>
      <c r="M5" s="13">
        <f>SOMASES(Gastos!$F$3:$F$502;Gastos!$B$3:$B$502;$A5;Gastos!$A$3:$A$502;"&gt;="&amp;DATA(Configurações!$B$3;12;1);Gastos!$A$3:$A$502;"&lt;="&amp;FIM.MÊS(DATA(Configurações!$B$3;12;1)))</f>
        <v/>
      </c>
      <c r="N5" s="13">
        <f>SOMA(B5:M5)</f>
        <v/>
      </c>
      <c r="O5" s="28">
        <f>SE(N$18=0;"";N5/N$18)</f>
        <v/>
      </c>
    </row>
    <row r="6">
      <c r="A6" s="2" t="inlineStr">
        <is>
          <t>Material Litúrgico</t>
        </is>
      </c>
      <c r="B6" s="13">
        <f>SOMASES(Gastos!$F$3:$F$502;Gastos!$B$3:$B$502;$A6;Gastos!$A$3:$A$502;"&gt;="&amp;DATA(Configurações!$B$3;1;1);Gastos!$A$3:$A$502;"&lt;="&amp;FIM.MÊS(DATA(Configurações!$B$3;1;1)))</f>
        <v/>
      </c>
      <c r="C6" s="13">
        <f>SOMASES(Gastos!$F$3:$F$502;Gastos!$B$3:$B$502;$A6;Gastos!$A$3:$A$502;"&gt;="&amp;DATA(Configurações!$B$3;2;1);Gastos!$A$3:$A$502;"&lt;="&amp;FIM.MÊS(DATA(Configurações!$B$3;2;1)))</f>
        <v/>
      </c>
      <c r="D6" s="13">
        <f>SOMASES(Gastos!$F$3:$F$502;Gastos!$B$3:$B$502;$A6;Gastos!$A$3:$A$502;"&gt;="&amp;DATA(Configurações!$B$3;3;1);Gastos!$A$3:$A$502;"&lt;="&amp;FIM.MÊS(DATA(Configurações!$B$3;3;1)))</f>
        <v/>
      </c>
      <c r="E6" s="13">
        <f>SOMASES(Gastos!$F$3:$F$502;Gastos!$B$3:$B$502;$A6;Gastos!$A$3:$A$502;"&gt;="&amp;DATA(Configurações!$B$3;4;1);Gastos!$A$3:$A$502;"&lt;="&amp;FIM.MÊS(DATA(Configurações!$B$3;4;1)))</f>
        <v/>
      </c>
      <c r="F6" s="13">
        <f>SOMASES(Gastos!$F$3:$F$502;Gastos!$B$3:$B$502;$A6;Gastos!$A$3:$A$502;"&gt;="&amp;DATA(Configurações!$B$3;5;1);Gastos!$A$3:$A$502;"&lt;="&amp;FIM.MÊS(DATA(Configurações!$B$3;5;1)))</f>
        <v/>
      </c>
      <c r="G6" s="13">
        <f>SOMASES(Gastos!$F$3:$F$502;Gastos!$B$3:$B$502;$A6;Gastos!$A$3:$A$502;"&gt;="&amp;DATA(Configurações!$B$3;6;1);Gastos!$A$3:$A$502;"&lt;="&amp;FIM.MÊS(DATA(Configurações!$B$3;6;1)))</f>
        <v/>
      </c>
      <c r="H6" s="13">
        <f>SOMASES(Gastos!$F$3:$F$502;Gastos!$B$3:$B$502;$A6;Gastos!$A$3:$A$502;"&gt;="&amp;DATA(Configurações!$B$3;7;1);Gastos!$A$3:$A$502;"&lt;="&amp;FIM.MÊS(DATA(Configurações!$B$3;7;1)))</f>
        <v/>
      </c>
      <c r="I6" s="13">
        <f>SOMASES(Gastos!$F$3:$F$502;Gastos!$B$3:$B$502;$A6;Gastos!$A$3:$A$502;"&gt;="&amp;DATA(Configurações!$B$3;8;1);Gastos!$A$3:$A$502;"&lt;="&amp;FIM.MÊS(DATA(Configurações!$B$3;8;1)))</f>
        <v/>
      </c>
      <c r="J6" s="13">
        <f>SOMASES(Gastos!$F$3:$F$502;Gastos!$B$3:$B$502;$A6;Gastos!$A$3:$A$502;"&gt;="&amp;DATA(Configurações!$B$3;9;1);Gastos!$A$3:$A$502;"&lt;="&amp;FIM.MÊS(DATA(Configurações!$B$3;9;1)))</f>
        <v/>
      </c>
      <c r="K6" s="13">
        <f>SOMASES(Gastos!$F$3:$F$502;Gastos!$B$3:$B$502;$A6;Gastos!$A$3:$A$502;"&gt;="&amp;DATA(Configurações!$B$3;10;1);Gastos!$A$3:$A$502;"&lt;="&amp;FIM.MÊS(DATA(Configurações!$B$3;10;1)))</f>
        <v/>
      </c>
      <c r="L6" s="13">
        <f>SOMASES(Gastos!$F$3:$F$502;Gastos!$B$3:$B$502;$A6;Gastos!$A$3:$A$502;"&gt;="&amp;DATA(Configurações!$B$3;11;1);Gastos!$A$3:$A$502;"&lt;="&amp;FIM.MÊS(DATA(Configurações!$B$3;11;1)))</f>
        <v/>
      </c>
      <c r="M6" s="13">
        <f>SOMASES(Gastos!$F$3:$F$502;Gastos!$B$3:$B$502;$A6;Gastos!$A$3:$A$502;"&gt;="&amp;DATA(Configurações!$B$3;12;1);Gastos!$A$3:$A$502;"&lt;="&amp;FIM.MÊS(DATA(Configurações!$B$3;12;1)))</f>
        <v/>
      </c>
      <c r="N6" s="13">
        <f>SOMA(B6:M6)</f>
        <v/>
      </c>
      <c r="O6" s="28">
        <f>SE(N$18=0;"";N6/N$18)</f>
        <v/>
      </c>
    </row>
    <row r="7">
      <c r="A7" s="2" t="inlineStr">
        <is>
          <t>Hóstias</t>
        </is>
      </c>
      <c r="B7" s="13">
        <f>SOMASES(Gastos!$F$3:$F$502;Gastos!$B$3:$B$502;$A7;Gastos!$A$3:$A$502;"&gt;="&amp;DATA(Configurações!$B$3;1;1);Gastos!$A$3:$A$502;"&lt;="&amp;FIM.MÊS(DATA(Configurações!$B$3;1;1)))</f>
        <v/>
      </c>
      <c r="C7" s="13">
        <f>SOMASES(Gastos!$F$3:$F$502;Gastos!$B$3:$B$502;$A7;Gastos!$A$3:$A$502;"&gt;="&amp;DATA(Configurações!$B$3;2;1);Gastos!$A$3:$A$502;"&lt;="&amp;FIM.MÊS(DATA(Configurações!$B$3;2;1)))</f>
        <v/>
      </c>
      <c r="D7" s="13">
        <f>SOMASES(Gastos!$F$3:$F$502;Gastos!$B$3:$B$502;$A7;Gastos!$A$3:$A$502;"&gt;="&amp;DATA(Configurações!$B$3;3;1);Gastos!$A$3:$A$502;"&lt;="&amp;FIM.MÊS(DATA(Configurações!$B$3;3;1)))</f>
        <v/>
      </c>
      <c r="E7" s="13">
        <f>SOMASES(Gastos!$F$3:$F$502;Gastos!$B$3:$B$502;$A7;Gastos!$A$3:$A$502;"&gt;="&amp;DATA(Configurações!$B$3;4;1);Gastos!$A$3:$A$502;"&lt;="&amp;FIM.MÊS(DATA(Configurações!$B$3;4;1)))</f>
        <v/>
      </c>
      <c r="F7" s="13">
        <f>SOMASES(Gastos!$F$3:$F$502;Gastos!$B$3:$B$502;$A7;Gastos!$A$3:$A$502;"&gt;="&amp;DATA(Configurações!$B$3;5;1);Gastos!$A$3:$A$502;"&lt;="&amp;FIM.MÊS(DATA(Configurações!$B$3;5;1)))</f>
        <v/>
      </c>
      <c r="G7" s="13">
        <f>SOMASES(Gastos!$F$3:$F$502;Gastos!$B$3:$B$502;$A7;Gastos!$A$3:$A$502;"&gt;="&amp;DATA(Configurações!$B$3;6;1);Gastos!$A$3:$A$502;"&lt;="&amp;FIM.MÊS(DATA(Configurações!$B$3;6;1)))</f>
        <v/>
      </c>
      <c r="H7" s="13">
        <f>SOMASES(Gastos!$F$3:$F$502;Gastos!$B$3:$B$502;$A7;Gastos!$A$3:$A$502;"&gt;="&amp;DATA(Configurações!$B$3;7;1);Gastos!$A$3:$A$502;"&lt;="&amp;FIM.MÊS(DATA(Configurações!$B$3;7;1)))</f>
        <v/>
      </c>
      <c r="I7" s="13">
        <f>SOMASES(Gastos!$F$3:$F$502;Gastos!$B$3:$B$502;$A7;Gastos!$A$3:$A$502;"&gt;="&amp;DATA(Configurações!$B$3;8;1);Gastos!$A$3:$A$502;"&lt;="&amp;FIM.MÊS(DATA(Configurações!$B$3;8;1)))</f>
        <v/>
      </c>
      <c r="J7" s="13">
        <f>SOMASES(Gastos!$F$3:$F$502;Gastos!$B$3:$B$502;$A7;Gastos!$A$3:$A$502;"&gt;="&amp;DATA(Configurações!$B$3;9;1);Gastos!$A$3:$A$502;"&lt;="&amp;FIM.MÊS(DATA(Configurações!$B$3;9;1)))</f>
        <v/>
      </c>
      <c r="K7" s="13">
        <f>SOMASES(Gastos!$F$3:$F$502;Gastos!$B$3:$B$502;$A7;Gastos!$A$3:$A$502;"&gt;="&amp;DATA(Configurações!$B$3;10;1);Gastos!$A$3:$A$502;"&lt;="&amp;FIM.MÊS(DATA(Configurações!$B$3;10;1)))</f>
        <v/>
      </c>
      <c r="L7" s="13">
        <f>SOMASES(Gastos!$F$3:$F$502;Gastos!$B$3:$B$502;$A7;Gastos!$A$3:$A$502;"&gt;="&amp;DATA(Configurações!$B$3;11;1);Gastos!$A$3:$A$502;"&lt;="&amp;FIM.MÊS(DATA(Configurações!$B$3;11;1)))</f>
        <v/>
      </c>
      <c r="M7" s="13">
        <f>SOMASES(Gastos!$F$3:$F$502;Gastos!$B$3:$B$502;$A7;Gastos!$A$3:$A$502;"&gt;="&amp;DATA(Configurações!$B$3;12;1);Gastos!$A$3:$A$502;"&lt;="&amp;FIM.MÊS(DATA(Configurações!$B$3;12;1)))</f>
        <v/>
      </c>
      <c r="N7" s="13">
        <f>SOMA(B7:M7)</f>
        <v/>
      </c>
      <c r="O7" s="28">
        <f>SE(N$18=0;"";N7/N$18)</f>
        <v/>
      </c>
    </row>
    <row r="8">
      <c r="A8" s="2" t="inlineStr">
        <is>
          <t>Vinho</t>
        </is>
      </c>
      <c r="B8" s="13">
        <f>SOMASES(Gastos!$F$3:$F$502;Gastos!$B$3:$B$502;$A8;Gastos!$A$3:$A$502;"&gt;="&amp;DATA(Configurações!$B$3;1;1);Gastos!$A$3:$A$502;"&lt;="&amp;FIM.MÊS(DATA(Configurações!$B$3;1;1)))</f>
        <v/>
      </c>
      <c r="C8" s="13">
        <f>SOMASES(Gastos!$F$3:$F$502;Gastos!$B$3:$B$502;$A8;Gastos!$A$3:$A$502;"&gt;="&amp;DATA(Configurações!$B$3;2;1);Gastos!$A$3:$A$502;"&lt;="&amp;FIM.MÊS(DATA(Configurações!$B$3;2;1)))</f>
        <v/>
      </c>
      <c r="D8" s="13">
        <f>SOMASES(Gastos!$F$3:$F$502;Gastos!$B$3:$B$502;$A8;Gastos!$A$3:$A$502;"&gt;="&amp;DATA(Configurações!$B$3;3;1);Gastos!$A$3:$A$502;"&lt;="&amp;FIM.MÊS(DATA(Configurações!$B$3;3;1)))</f>
        <v/>
      </c>
      <c r="E8" s="13">
        <f>SOMASES(Gastos!$F$3:$F$502;Gastos!$B$3:$B$502;$A8;Gastos!$A$3:$A$502;"&gt;="&amp;DATA(Configurações!$B$3;4;1);Gastos!$A$3:$A$502;"&lt;="&amp;FIM.MÊS(DATA(Configurações!$B$3;4;1)))</f>
        <v/>
      </c>
      <c r="F8" s="13">
        <f>SOMASES(Gastos!$F$3:$F$502;Gastos!$B$3:$B$502;$A8;Gastos!$A$3:$A$502;"&gt;="&amp;DATA(Configurações!$B$3;5;1);Gastos!$A$3:$A$502;"&lt;="&amp;FIM.MÊS(DATA(Configurações!$B$3;5;1)))</f>
        <v/>
      </c>
      <c r="G8" s="13">
        <f>SOMASES(Gastos!$F$3:$F$502;Gastos!$B$3:$B$502;$A8;Gastos!$A$3:$A$502;"&gt;="&amp;DATA(Configurações!$B$3;6;1);Gastos!$A$3:$A$502;"&lt;="&amp;FIM.MÊS(DATA(Configurações!$B$3;6;1)))</f>
        <v/>
      </c>
      <c r="H8" s="13">
        <f>SOMASES(Gastos!$F$3:$F$502;Gastos!$B$3:$B$502;$A8;Gastos!$A$3:$A$502;"&gt;="&amp;DATA(Configurações!$B$3;7;1);Gastos!$A$3:$A$502;"&lt;="&amp;FIM.MÊS(DATA(Configurações!$B$3;7;1)))</f>
        <v/>
      </c>
      <c r="I8" s="13">
        <f>SOMASES(Gastos!$F$3:$F$502;Gastos!$B$3:$B$502;$A8;Gastos!$A$3:$A$502;"&gt;="&amp;DATA(Configurações!$B$3;8;1);Gastos!$A$3:$A$502;"&lt;="&amp;FIM.MÊS(DATA(Configurações!$B$3;8;1)))</f>
        <v/>
      </c>
      <c r="J8" s="13">
        <f>SOMASES(Gastos!$F$3:$F$502;Gastos!$B$3:$B$502;$A8;Gastos!$A$3:$A$502;"&gt;="&amp;DATA(Configurações!$B$3;9;1);Gastos!$A$3:$A$502;"&lt;="&amp;FIM.MÊS(DATA(Configurações!$B$3;9;1)))</f>
        <v/>
      </c>
      <c r="K8" s="13">
        <f>SOMASES(Gastos!$F$3:$F$502;Gastos!$B$3:$B$502;$A8;Gastos!$A$3:$A$502;"&gt;="&amp;DATA(Configurações!$B$3;10;1);Gastos!$A$3:$A$502;"&lt;="&amp;FIM.MÊS(DATA(Configurações!$B$3;10;1)))</f>
        <v/>
      </c>
      <c r="L8" s="13">
        <f>SOMASES(Gastos!$F$3:$F$502;Gastos!$B$3:$B$502;$A8;Gastos!$A$3:$A$502;"&gt;="&amp;DATA(Configurações!$B$3;11;1);Gastos!$A$3:$A$502;"&lt;="&amp;FIM.MÊS(DATA(Configurações!$B$3;11;1)))</f>
        <v/>
      </c>
      <c r="M8" s="13">
        <f>SOMASES(Gastos!$F$3:$F$502;Gastos!$B$3:$B$502;$A8;Gastos!$A$3:$A$502;"&gt;="&amp;DATA(Configurações!$B$3;12;1);Gastos!$A$3:$A$502;"&lt;="&amp;FIM.MÊS(DATA(Configurações!$B$3;12;1)))</f>
        <v/>
      </c>
      <c r="N8" s="13">
        <f>SOMA(B8:M8)</f>
        <v/>
      </c>
      <c r="O8" s="28">
        <f>SE(N$18=0;"";N8/N$18)</f>
        <v/>
      </c>
    </row>
    <row r="9">
      <c r="A9" s="2" t="inlineStr">
        <is>
          <t>Flores</t>
        </is>
      </c>
      <c r="B9" s="13">
        <f>SOMASES(Gastos!$F$3:$F$502;Gastos!$B$3:$B$502;$A9;Gastos!$A$3:$A$502;"&gt;="&amp;DATA(Configurações!$B$3;1;1);Gastos!$A$3:$A$502;"&lt;="&amp;FIM.MÊS(DATA(Configurações!$B$3;1;1)))</f>
        <v/>
      </c>
      <c r="C9" s="13">
        <f>SOMASES(Gastos!$F$3:$F$502;Gastos!$B$3:$B$502;$A9;Gastos!$A$3:$A$502;"&gt;="&amp;DATA(Configurações!$B$3;2;1);Gastos!$A$3:$A$502;"&lt;="&amp;FIM.MÊS(DATA(Configurações!$B$3;2;1)))</f>
        <v/>
      </c>
      <c r="D9" s="13">
        <f>SOMASES(Gastos!$F$3:$F$502;Gastos!$B$3:$B$502;$A9;Gastos!$A$3:$A$502;"&gt;="&amp;DATA(Configurações!$B$3;3;1);Gastos!$A$3:$A$502;"&lt;="&amp;FIM.MÊS(DATA(Configurações!$B$3;3;1)))</f>
        <v/>
      </c>
      <c r="E9" s="13">
        <f>SOMASES(Gastos!$F$3:$F$502;Gastos!$B$3:$B$502;$A9;Gastos!$A$3:$A$502;"&gt;="&amp;DATA(Configurações!$B$3;4;1);Gastos!$A$3:$A$502;"&lt;="&amp;FIM.MÊS(DATA(Configurações!$B$3;4;1)))</f>
        <v/>
      </c>
      <c r="F9" s="13">
        <f>SOMASES(Gastos!$F$3:$F$502;Gastos!$B$3:$B$502;$A9;Gastos!$A$3:$A$502;"&gt;="&amp;DATA(Configurações!$B$3;5;1);Gastos!$A$3:$A$502;"&lt;="&amp;FIM.MÊS(DATA(Configurações!$B$3;5;1)))</f>
        <v/>
      </c>
      <c r="G9" s="13">
        <f>SOMASES(Gastos!$F$3:$F$502;Gastos!$B$3:$B$502;$A9;Gastos!$A$3:$A$502;"&gt;="&amp;DATA(Configurações!$B$3;6;1);Gastos!$A$3:$A$502;"&lt;="&amp;FIM.MÊS(DATA(Configurações!$B$3;6;1)))</f>
        <v/>
      </c>
      <c r="H9" s="13">
        <f>SOMASES(Gastos!$F$3:$F$502;Gastos!$B$3:$B$502;$A9;Gastos!$A$3:$A$502;"&gt;="&amp;DATA(Configurações!$B$3;7;1);Gastos!$A$3:$A$502;"&lt;="&amp;FIM.MÊS(DATA(Configurações!$B$3;7;1)))</f>
        <v/>
      </c>
      <c r="I9" s="13">
        <f>SOMASES(Gastos!$F$3:$F$502;Gastos!$B$3:$B$502;$A9;Gastos!$A$3:$A$502;"&gt;="&amp;DATA(Configurações!$B$3;8;1);Gastos!$A$3:$A$502;"&lt;="&amp;FIM.MÊS(DATA(Configurações!$B$3;8;1)))</f>
        <v/>
      </c>
      <c r="J9" s="13">
        <f>SOMASES(Gastos!$F$3:$F$502;Gastos!$B$3:$B$502;$A9;Gastos!$A$3:$A$502;"&gt;="&amp;DATA(Configurações!$B$3;9;1);Gastos!$A$3:$A$502;"&lt;="&amp;FIM.MÊS(DATA(Configurações!$B$3;9;1)))</f>
        <v/>
      </c>
      <c r="K9" s="13">
        <f>SOMASES(Gastos!$F$3:$F$502;Gastos!$B$3:$B$502;$A9;Gastos!$A$3:$A$502;"&gt;="&amp;DATA(Configurações!$B$3;10;1);Gastos!$A$3:$A$502;"&lt;="&amp;FIM.MÊS(DATA(Configurações!$B$3;10;1)))</f>
        <v/>
      </c>
      <c r="L9" s="13">
        <f>SOMASES(Gastos!$F$3:$F$502;Gastos!$B$3:$B$502;$A9;Gastos!$A$3:$A$502;"&gt;="&amp;DATA(Configurações!$B$3;11;1);Gastos!$A$3:$A$502;"&lt;="&amp;FIM.MÊS(DATA(Configurações!$B$3;11;1)))</f>
        <v/>
      </c>
      <c r="M9" s="13">
        <f>SOMASES(Gastos!$F$3:$F$502;Gastos!$B$3:$B$502;$A9;Gastos!$A$3:$A$502;"&gt;="&amp;DATA(Configurações!$B$3;12;1);Gastos!$A$3:$A$502;"&lt;="&amp;FIM.MÊS(DATA(Configurações!$B$3;12;1)))</f>
        <v/>
      </c>
      <c r="N9" s="13">
        <f>SOMA(B9:M9)</f>
        <v/>
      </c>
      <c r="O9" s="28">
        <f>SE(N$18=0;"";N9/N$18)</f>
        <v/>
      </c>
    </row>
    <row r="10">
      <c r="A10" s="2" t="inlineStr">
        <is>
          <t>Som</t>
        </is>
      </c>
      <c r="B10" s="13">
        <f>SOMASES(Gastos!$F$3:$F$502;Gastos!$B$3:$B$502;$A10;Gastos!$A$3:$A$502;"&gt;="&amp;DATA(Configurações!$B$3;1;1);Gastos!$A$3:$A$502;"&lt;="&amp;FIM.MÊS(DATA(Configurações!$B$3;1;1)))</f>
        <v/>
      </c>
      <c r="C10" s="13">
        <f>SOMASES(Gastos!$F$3:$F$502;Gastos!$B$3:$B$502;$A10;Gastos!$A$3:$A$502;"&gt;="&amp;DATA(Configurações!$B$3;2;1);Gastos!$A$3:$A$502;"&lt;="&amp;FIM.MÊS(DATA(Configurações!$B$3;2;1)))</f>
        <v/>
      </c>
      <c r="D10" s="13">
        <f>SOMASES(Gastos!$F$3:$F$502;Gastos!$B$3:$B$502;$A10;Gastos!$A$3:$A$502;"&gt;="&amp;DATA(Configurações!$B$3;3;1);Gastos!$A$3:$A$502;"&lt;="&amp;FIM.MÊS(DATA(Configurações!$B$3;3;1)))</f>
        <v/>
      </c>
      <c r="E10" s="13">
        <f>SOMASES(Gastos!$F$3:$F$502;Gastos!$B$3:$B$502;$A10;Gastos!$A$3:$A$502;"&gt;="&amp;DATA(Configurações!$B$3;4;1);Gastos!$A$3:$A$502;"&lt;="&amp;FIM.MÊS(DATA(Configurações!$B$3;4;1)))</f>
        <v/>
      </c>
      <c r="F10" s="13">
        <f>SOMASES(Gastos!$F$3:$F$502;Gastos!$B$3:$B$502;$A10;Gastos!$A$3:$A$502;"&gt;="&amp;DATA(Configurações!$B$3;5;1);Gastos!$A$3:$A$502;"&lt;="&amp;FIM.MÊS(DATA(Configurações!$B$3;5;1)))</f>
        <v/>
      </c>
      <c r="G10" s="13">
        <f>SOMASES(Gastos!$F$3:$F$502;Gastos!$B$3:$B$502;$A10;Gastos!$A$3:$A$502;"&gt;="&amp;DATA(Configurações!$B$3;6;1);Gastos!$A$3:$A$502;"&lt;="&amp;FIM.MÊS(DATA(Configurações!$B$3;6;1)))</f>
        <v/>
      </c>
      <c r="H10" s="13">
        <f>SOMASES(Gastos!$F$3:$F$502;Gastos!$B$3:$B$502;$A10;Gastos!$A$3:$A$502;"&gt;="&amp;DATA(Configurações!$B$3;7;1);Gastos!$A$3:$A$502;"&lt;="&amp;FIM.MÊS(DATA(Configurações!$B$3;7;1)))</f>
        <v/>
      </c>
      <c r="I10" s="13">
        <f>SOMASES(Gastos!$F$3:$F$502;Gastos!$B$3:$B$502;$A10;Gastos!$A$3:$A$502;"&gt;="&amp;DATA(Configurações!$B$3;8;1);Gastos!$A$3:$A$502;"&lt;="&amp;FIM.MÊS(DATA(Configurações!$B$3;8;1)))</f>
        <v/>
      </c>
      <c r="J10" s="13">
        <f>SOMASES(Gastos!$F$3:$F$502;Gastos!$B$3:$B$502;$A10;Gastos!$A$3:$A$502;"&gt;="&amp;DATA(Configurações!$B$3;9;1);Gastos!$A$3:$A$502;"&lt;="&amp;FIM.MÊS(DATA(Configurações!$B$3;9;1)))</f>
        <v/>
      </c>
      <c r="K10" s="13">
        <f>SOMASES(Gastos!$F$3:$F$502;Gastos!$B$3:$B$502;$A10;Gastos!$A$3:$A$502;"&gt;="&amp;DATA(Configurações!$B$3;10;1);Gastos!$A$3:$A$502;"&lt;="&amp;FIM.MÊS(DATA(Configurações!$B$3;10;1)))</f>
        <v/>
      </c>
      <c r="L10" s="13">
        <f>SOMASES(Gastos!$F$3:$F$502;Gastos!$B$3:$B$502;$A10;Gastos!$A$3:$A$502;"&gt;="&amp;DATA(Configurações!$B$3;11;1);Gastos!$A$3:$A$502;"&lt;="&amp;FIM.MÊS(DATA(Configurações!$B$3;11;1)))</f>
        <v/>
      </c>
      <c r="M10" s="13">
        <f>SOMASES(Gastos!$F$3:$F$502;Gastos!$B$3:$B$502;$A10;Gastos!$A$3:$A$502;"&gt;="&amp;DATA(Configurações!$B$3;12;1);Gastos!$A$3:$A$502;"&lt;="&amp;FIM.MÊS(DATA(Configurações!$B$3;12;1)))</f>
        <v/>
      </c>
      <c r="N10" s="13">
        <f>SOMA(B10:M10)</f>
        <v/>
      </c>
      <c r="O10" s="28">
        <f>SE(N$18=0;"";N10/N$18)</f>
        <v/>
      </c>
    </row>
    <row r="11">
      <c r="A11" s="2" t="inlineStr">
        <is>
          <t>Manutenção</t>
        </is>
      </c>
      <c r="B11" s="13">
        <f>SOMASES(Gastos!$F$3:$F$502;Gastos!$B$3:$B$502;$A11;Gastos!$A$3:$A$502;"&gt;="&amp;DATA(Configurações!$B$3;1;1);Gastos!$A$3:$A$502;"&lt;="&amp;FIM.MÊS(DATA(Configurações!$B$3;1;1)))</f>
        <v/>
      </c>
      <c r="C11" s="13">
        <f>SOMASES(Gastos!$F$3:$F$502;Gastos!$B$3:$B$502;$A11;Gastos!$A$3:$A$502;"&gt;="&amp;DATA(Configurações!$B$3;2;1);Gastos!$A$3:$A$502;"&lt;="&amp;FIM.MÊS(DATA(Configurações!$B$3;2;1)))</f>
        <v/>
      </c>
      <c r="D11" s="13">
        <f>SOMASES(Gastos!$F$3:$F$502;Gastos!$B$3:$B$502;$A11;Gastos!$A$3:$A$502;"&gt;="&amp;DATA(Configurações!$B$3;3;1);Gastos!$A$3:$A$502;"&lt;="&amp;FIM.MÊS(DATA(Configurações!$B$3;3;1)))</f>
        <v/>
      </c>
      <c r="E11" s="13">
        <f>SOMASES(Gastos!$F$3:$F$502;Gastos!$B$3:$B$502;$A11;Gastos!$A$3:$A$502;"&gt;="&amp;DATA(Configurações!$B$3;4;1);Gastos!$A$3:$A$502;"&lt;="&amp;FIM.MÊS(DATA(Configurações!$B$3;4;1)))</f>
        <v/>
      </c>
      <c r="F11" s="13">
        <f>SOMASES(Gastos!$F$3:$F$502;Gastos!$B$3:$B$502;$A11;Gastos!$A$3:$A$502;"&gt;="&amp;DATA(Configurações!$B$3;5;1);Gastos!$A$3:$A$502;"&lt;="&amp;FIM.MÊS(DATA(Configurações!$B$3;5;1)))</f>
        <v/>
      </c>
      <c r="G11" s="13">
        <f>SOMASES(Gastos!$F$3:$F$502;Gastos!$B$3:$B$502;$A11;Gastos!$A$3:$A$502;"&gt;="&amp;DATA(Configurações!$B$3;6;1);Gastos!$A$3:$A$502;"&lt;="&amp;FIM.MÊS(DATA(Configurações!$B$3;6;1)))</f>
        <v/>
      </c>
      <c r="H11" s="13">
        <f>SOMASES(Gastos!$F$3:$F$502;Gastos!$B$3:$B$502;$A11;Gastos!$A$3:$A$502;"&gt;="&amp;DATA(Configurações!$B$3;7;1);Gastos!$A$3:$A$502;"&lt;="&amp;FIM.MÊS(DATA(Configurações!$B$3;7;1)))</f>
        <v/>
      </c>
      <c r="I11" s="13">
        <f>SOMASES(Gastos!$F$3:$F$502;Gastos!$B$3:$B$502;$A11;Gastos!$A$3:$A$502;"&gt;="&amp;DATA(Configurações!$B$3;8;1);Gastos!$A$3:$A$502;"&lt;="&amp;FIM.MÊS(DATA(Configurações!$B$3;8;1)))</f>
        <v/>
      </c>
      <c r="J11" s="13">
        <f>SOMASES(Gastos!$F$3:$F$502;Gastos!$B$3:$B$502;$A11;Gastos!$A$3:$A$502;"&gt;="&amp;DATA(Configurações!$B$3;9;1);Gastos!$A$3:$A$502;"&lt;="&amp;FIM.MÊS(DATA(Configurações!$B$3;9;1)))</f>
        <v/>
      </c>
      <c r="K11" s="13">
        <f>SOMASES(Gastos!$F$3:$F$502;Gastos!$B$3:$B$502;$A11;Gastos!$A$3:$A$502;"&gt;="&amp;DATA(Configurações!$B$3;10;1);Gastos!$A$3:$A$502;"&lt;="&amp;FIM.MÊS(DATA(Configurações!$B$3;10;1)))</f>
        <v/>
      </c>
      <c r="L11" s="13">
        <f>SOMASES(Gastos!$F$3:$F$502;Gastos!$B$3:$B$502;$A11;Gastos!$A$3:$A$502;"&gt;="&amp;DATA(Configurações!$B$3;11;1);Gastos!$A$3:$A$502;"&lt;="&amp;FIM.MÊS(DATA(Configurações!$B$3;11;1)))</f>
        <v/>
      </c>
      <c r="M11" s="13">
        <f>SOMASES(Gastos!$F$3:$F$502;Gastos!$B$3:$B$502;$A11;Gastos!$A$3:$A$502;"&gt;="&amp;DATA(Configurações!$B$3;12;1);Gastos!$A$3:$A$502;"&lt;="&amp;FIM.MÊS(DATA(Configurações!$B$3;12;1)))</f>
        <v/>
      </c>
      <c r="N11" s="13">
        <f>SOMA(B11:M11)</f>
        <v/>
      </c>
      <c r="O11" s="28">
        <f>SE(N$18=0;"";N11/N$18)</f>
        <v/>
      </c>
    </row>
    <row r="12">
      <c r="A12" s="2" t="inlineStr">
        <is>
          <t>Obras</t>
        </is>
      </c>
      <c r="B12" s="13">
        <f>SOMASES(Gastos!$F$3:$F$502;Gastos!$B$3:$B$502;$A12;Gastos!$A$3:$A$502;"&gt;="&amp;DATA(Configurações!$B$3;1;1);Gastos!$A$3:$A$502;"&lt;="&amp;FIM.MÊS(DATA(Configurações!$B$3;1;1)))</f>
        <v/>
      </c>
      <c r="C12" s="13">
        <f>SOMASES(Gastos!$F$3:$F$502;Gastos!$B$3:$B$502;$A12;Gastos!$A$3:$A$502;"&gt;="&amp;DATA(Configurações!$B$3;2;1);Gastos!$A$3:$A$502;"&lt;="&amp;FIM.MÊS(DATA(Configurações!$B$3;2;1)))</f>
        <v/>
      </c>
      <c r="D12" s="13">
        <f>SOMASES(Gastos!$F$3:$F$502;Gastos!$B$3:$B$502;$A12;Gastos!$A$3:$A$502;"&gt;="&amp;DATA(Configurações!$B$3;3;1);Gastos!$A$3:$A$502;"&lt;="&amp;FIM.MÊS(DATA(Configurações!$B$3;3;1)))</f>
        <v/>
      </c>
      <c r="E12" s="13">
        <f>SOMASES(Gastos!$F$3:$F$502;Gastos!$B$3:$B$502;$A12;Gastos!$A$3:$A$502;"&gt;="&amp;DATA(Configurações!$B$3;4;1);Gastos!$A$3:$A$502;"&lt;="&amp;FIM.MÊS(DATA(Configurações!$B$3;4;1)))</f>
        <v/>
      </c>
      <c r="F12" s="13">
        <f>SOMASES(Gastos!$F$3:$F$502;Gastos!$B$3:$B$502;$A12;Gastos!$A$3:$A$502;"&gt;="&amp;DATA(Configurações!$B$3;5;1);Gastos!$A$3:$A$502;"&lt;="&amp;FIM.MÊS(DATA(Configurações!$B$3;5;1)))</f>
        <v/>
      </c>
      <c r="G12" s="13">
        <f>SOMASES(Gastos!$F$3:$F$502;Gastos!$B$3:$B$502;$A12;Gastos!$A$3:$A$502;"&gt;="&amp;DATA(Configurações!$B$3;6;1);Gastos!$A$3:$A$502;"&lt;="&amp;FIM.MÊS(DATA(Configurações!$B$3;6;1)))</f>
        <v/>
      </c>
      <c r="H12" s="13">
        <f>SOMASES(Gastos!$F$3:$F$502;Gastos!$B$3:$B$502;$A12;Gastos!$A$3:$A$502;"&gt;="&amp;DATA(Configurações!$B$3;7;1);Gastos!$A$3:$A$502;"&lt;="&amp;FIM.MÊS(DATA(Configurações!$B$3;7;1)))</f>
        <v/>
      </c>
      <c r="I12" s="13">
        <f>SOMASES(Gastos!$F$3:$F$502;Gastos!$B$3:$B$502;$A12;Gastos!$A$3:$A$502;"&gt;="&amp;DATA(Configurações!$B$3;8;1);Gastos!$A$3:$A$502;"&lt;="&amp;FIM.MÊS(DATA(Configurações!$B$3;8;1)))</f>
        <v/>
      </c>
      <c r="J12" s="13">
        <f>SOMASES(Gastos!$F$3:$F$502;Gastos!$B$3:$B$502;$A12;Gastos!$A$3:$A$502;"&gt;="&amp;DATA(Configurações!$B$3;9;1);Gastos!$A$3:$A$502;"&lt;="&amp;FIM.MÊS(DATA(Configurações!$B$3;9;1)))</f>
        <v/>
      </c>
      <c r="K12" s="13">
        <f>SOMASES(Gastos!$F$3:$F$502;Gastos!$B$3:$B$502;$A12;Gastos!$A$3:$A$502;"&gt;="&amp;DATA(Configurações!$B$3;10;1);Gastos!$A$3:$A$502;"&lt;="&amp;FIM.MÊS(DATA(Configurações!$B$3;10;1)))</f>
        <v/>
      </c>
      <c r="L12" s="13">
        <f>SOMASES(Gastos!$F$3:$F$502;Gastos!$B$3:$B$502;$A12;Gastos!$A$3:$A$502;"&gt;="&amp;DATA(Configurações!$B$3;11;1);Gastos!$A$3:$A$502;"&lt;="&amp;FIM.MÊS(DATA(Configurações!$B$3;11;1)))</f>
        <v/>
      </c>
      <c r="M12" s="13">
        <f>SOMASES(Gastos!$F$3:$F$502;Gastos!$B$3:$B$502;$A12;Gastos!$A$3:$A$502;"&gt;="&amp;DATA(Configurações!$B$3;12;1);Gastos!$A$3:$A$502;"&lt;="&amp;FIM.MÊS(DATA(Configurações!$B$3;12;1)))</f>
        <v/>
      </c>
      <c r="N12" s="13">
        <f>SOMA(B12:M12)</f>
        <v/>
      </c>
      <c r="O12" s="28">
        <f>SE(N$18=0;"";N12/N$18)</f>
        <v/>
      </c>
    </row>
    <row r="13">
      <c r="A13" s="2" t="inlineStr">
        <is>
          <t>Secretaria</t>
        </is>
      </c>
      <c r="B13" s="13">
        <f>SOMASES(Gastos!$F$3:$F$502;Gastos!$B$3:$B$502;$A13;Gastos!$A$3:$A$502;"&gt;="&amp;DATA(Configurações!$B$3;1;1);Gastos!$A$3:$A$502;"&lt;="&amp;FIM.MÊS(DATA(Configurações!$B$3;1;1)))</f>
        <v/>
      </c>
      <c r="C13" s="13">
        <f>SOMASES(Gastos!$F$3:$F$502;Gastos!$B$3:$B$502;$A13;Gastos!$A$3:$A$502;"&gt;="&amp;DATA(Configurações!$B$3;2;1);Gastos!$A$3:$A$502;"&lt;="&amp;FIM.MÊS(DATA(Configurações!$B$3;2;1)))</f>
        <v/>
      </c>
      <c r="D13" s="13">
        <f>SOMASES(Gastos!$F$3:$F$502;Gastos!$B$3:$B$502;$A13;Gastos!$A$3:$A$502;"&gt;="&amp;DATA(Configurações!$B$3;3;1);Gastos!$A$3:$A$502;"&lt;="&amp;FIM.MÊS(DATA(Configurações!$B$3;3;1)))</f>
        <v/>
      </c>
      <c r="E13" s="13">
        <f>SOMASES(Gastos!$F$3:$F$502;Gastos!$B$3:$B$502;$A13;Gastos!$A$3:$A$502;"&gt;="&amp;DATA(Configurações!$B$3;4;1);Gastos!$A$3:$A$502;"&lt;="&amp;FIM.MÊS(DATA(Configurações!$B$3;4;1)))</f>
        <v/>
      </c>
      <c r="F13" s="13">
        <f>SOMASES(Gastos!$F$3:$F$502;Gastos!$B$3:$B$502;$A13;Gastos!$A$3:$A$502;"&gt;="&amp;DATA(Configurações!$B$3;5;1);Gastos!$A$3:$A$502;"&lt;="&amp;FIM.MÊS(DATA(Configurações!$B$3;5;1)))</f>
        <v/>
      </c>
      <c r="G13" s="13">
        <f>SOMASES(Gastos!$F$3:$F$502;Gastos!$B$3:$B$502;$A13;Gastos!$A$3:$A$502;"&gt;="&amp;DATA(Configurações!$B$3;6;1);Gastos!$A$3:$A$502;"&lt;="&amp;FIM.MÊS(DATA(Configurações!$B$3;6;1)))</f>
        <v/>
      </c>
      <c r="H13" s="13">
        <f>SOMASES(Gastos!$F$3:$F$502;Gastos!$B$3:$B$502;$A13;Gastos!$A$3:$A$502;"&gt;="&amp;DATA(Configurações!$B$3;7;1);Gastos!$A$3:$A$502;"&lt;="&amp;FIM.MÊS(DATA(Configurações!$B$3;7;1)))</f>
        <v/>
      </c>
      <c r="I13" s="13">
        <f>SOMASES(Gastos!$F$3:$F$502;Gastos!$B$3:$B$502;$A13;Gastos!$A$3:$A$502;"&gt;="&amp;DATA(Configurações!$B$3;8;1);Gastos!$A$3:$A$502;"&lt;="&amp;FIM.MÊS(DATA(Configurações!$B$3;8;1)))</f>
        <v/>
      </c>
      <c r="J13" s="13">
        <f>SOMASES(Gastos!$F$3:$F$502;Gastos!$B$3:$B$502;$A13;Gastos!$A$3:$A$502;"&gt;="&amp;DATA(Configurações!$B$3;9;1);Gastos!$A$3:$A$502;"&lt;="&amp;FIM.MÊS(DATA(Configurações!$B$3;9;1)))</f>
        <v/>
      </c>
      <c r="K13" s="13">
        <f>SOMASES(Gastos!$F$3:$F$502;Gastos!$B$3:$B$502;$A13;Gastos!$A$3:$A$502;"&gt;="&amp;DATA(Configurações!$B$3;10;1);Gastos!$A$3:$A$502;"&lt;="&amp;FIM.MÊS(DATA(Configurações!$B$3;10;1)))</f>
        <v/>
      </c>
      <c r="L13" s="13">
        <f>SOMASES(Gastos!$F$3:$F$502;Gastos!$B$3:$B$502;$A13;Gastos!$A$3:$A$502;"&gt;="&amp;DATA(Configurações!$B$3;11;1);Gastos!$A$3:$A$502;"&lt;="&amp;FIM.MÊS(DATA(Configurações!$B$3;11;1)))</f>
        <v/>
      </c>
      <c r="M13" s="13">
        <f>SOMASES(Gastos!$F$3:$F$502;Gastos!$B$3:$B$502;$A13;Gastos!$A$3:$A$502;"&gt;="&amp;DATA(Configurações!$B$3;12;1);Gastos!$A$3:$A$502;"&lt;="&amp;FIM.MÊS(DATA(Configurações!$B$3;12;1)))</f>
        <v/>
      </c>
      <c r="N13" s="13">
        <f>SOMA(B13:M13)</f>
        <v/>
      </c>
      <c r="O13" s="28">
        <f>SE(N$18=0;"";N13/N$18)</f>
        <v/>
      </c>
    </row>
    <row r="14">
      <c r="A14" s="2" t="inlineStr">
        <is>
          <t>Eventos</t>
        </is>
      </c>
      <c r="B14" s="13">
        <f>SOMASES(Gastos!$F$3:$F$502;Gastos!$B$3:$B$502;$A14;Gastos!$A$3:$A$502;"&gt;="&amp;DATA(Configurações!$B$3;1;1);Gastos!$A$3:$A$502;"&lt;="&amp;FIM.MÊS(DATA(Configurações!$B$3;1;1)))</f>
        <v/>
      </c>
      <c r="C14" s="13">
        <f>SOMASES(Gastos!$F$3:$F$502;Gastos!$B$3:$B$502;$A14;Gastos!$A$3:$A$502;"&gt;="&amp;DATA(Configurações!$B$3;2;1);Gastos!$A$3:$A$502;"&lt;="&amp;FIM.MÊS(DATA(Configurações!$B$3;2;1)))</f>
        <v/>
      </c>
      <c r="D14" s="13">
        <f>SOMASES(Gastos!$F$3:$F$502;Gastos!$B$3:$B$502;$A14;Gastos!$A$3:$A$502;"&gt;="&amp;DATA(Configurações!$B$3;3;1);Gastos!$A$3:$A$502;"&lt;="&amp;FIM.MÊS(DATA(Configurações!$B$3;3;1)))</f>
        <v/>
      </c>
      <c r="E14" s="13">
        <f>SOMASES(Gastos!$F$3:$F$502;Gastos!$B$3:$B$502;$A14;Gastos!$A$3:$A$502;"&gt;="&amp;DATA(Configurações!$B$3;4;1);Gastos!$A$3:$A$502;"&lt;="&amp;FIM.MÊS(DATA(Configurações!$B$3;4;1)))</f>
        <v/>
      </c>
      <c r="F14" s="13">
        <f>SOMASES(Gastos!$F$3:$F$502;Gastos!$B$3:$B$502;$A14;Gastos!$A$3:$A$502;"&gt;="&amp;DATA(Configurações!$B$3;5;1);Gastos!$A$3:$A$502;"&lt;="&amp;FIM.MÊS(DATA(Configurações!$B$3;5;1)))</f>
        <v/>
      </c>
      <c r="G14" s="13">
        <f>SOMASES(Gastos!$F$3:$F$502;Gastos!$B$3:$B$502;$A14;Gastos!$A$3:$A$502;"&gt;="&amp;DATA(Configurações!$B$3;6;1);Gastos!$A$3:$A$502;"&lt;="&amp;FIM.MÊS(DATA(Configurações!$B$3;6;1)))</f>
        <v/>
      </c>
      <c r="H14" s="13">
        <f>SOMASES(Gastos!$F$3:$F$502;Gastos!$B$3:$B$502;$A14;Gastos!$A$3:$A$502;"&gt;="&amp;DATA(Configurações!$B$3;7;1);Gastos!$A$3:$A$502;"&lt;="&amp;FIM.MÊS(DATA(Configurações!$B$3;7;1)))</f>
        <v/>
      </c>
      <c r="I14" s="13">
        <f>SOMASES(Gastos!$F$3:$F$502;Gastos!$B$3:$B$502;$A14;Gastos!$A$3:$A$502;"&gt;="&amp;DATA(Configurações!$B$3;8;1);Gastos!$A$3:$A$502;"&lt;="&amp;FIM.MÊS(DATA(Configurações!$B$3;8;1)))</f>
        <v/>
      </c>
      <c r="J14" s="13">
        <f>SOMASES(Gastos!$F$3:$F$502;Gastos!$B$3:$B$502;$A14;Gastos!$A$3:$A$502;"&gt;="&amp;DATA(Configurações!$B$3;9;1);Gastos!$A$3:$A$502;"&lt;="&amp;FIM.MÊS(DATA(Configurações!$B$3;9;1)))</f>
        <v/>
      </c>
      <c r="K14" s="13">
        <f>SOMASES(Gastos!$F$3:$F$502;Gastos!$B$3:$B$502;$A14;Gastos!$A$3:$A$502;"&gt;="&amp;DATA(Configurações!$B$3;10;1);Gastos!$A$3:$A$502;"&lt;="&amp;FIM.MÊS(DATA(Configurações!$B$3;10;1)))</f>
        <v/>
      </c>
      <c r="L14" s="13">
        <f>SOMASES(Gastos!$F$3:$F$502;Gastos!$B$3:$B$502;$A14;Gastos!$A$3:$A$502;"&gt;="&amp;DATA(Configurações!$B$3;11;1);Gastos!$A$3:$A$502;"&lt;="&amp;FIM.MÊS(DATA(Configurações!$B$3;11;1)))</f>
        <v/>
      </c>
      <c r="M14" s="13">
        <f>SOMASES(Gastos!$F$3:$F$502;Gastos!$B$3:$B$502;$A14;Gastos!$A$3:$A$502;"&gt;="&amp;DATA(Configurações!$B$3;12;1);Gastos!$A$3:$A$502;"&lt;="&amp;FIM.MÊS(DATA(Configurações!$B$3;12;1)))</f>
        <v/>
      </c>
      <c r="N14" s="13">
        <f>SOMA(B14:M14)</f>
        <v/>
      </c>
      <c r="O14" s="28">
        <f>SE(N$18=0;"";N14/N$18)</f>
        <v/>
      </c>
    </row>
    <row r="15">
      <c r="A15" s="2" t="inlineStr">
        <is>
          <t>Alimentação</t>
        </is>
      </c>
      <c r="B15" s="13">
        <f>SOMASES(Gastos!$F$3:$F$502;Gastos!$B$3:$B$502;$A15;Gastos!$A$3:$A$502;"&gt;="&amp;DATA(Configurações!$B$3;1;1);Gastos!$A$3:$A$502;"&lt;="&amp;FIM.MÊS(DATA(Configurações!$B$3;1;1)))</f>
        <v/>
      </c>
      <c r="C15" s="13">
        <f>SOMASES(Gastos!$F$3:$F$502;Gastos!$B$3:$B$502;$A15;Gastos!$A$3:$A$502;"&gt;="&amp;DATA(Configurações!$B$3;2;1);Gastos!$A$3:$A$502;"&lt;="&amp;FIM.MÊS(DATA(Configurações!$B$3;2;1)))</f>
        <v/>
      </c>
      <c r="D15" s="13">
        <f>SOMASES(Gastos!$F$3:$F$502;Gastos!$B$3:$B$502;$A15;Gastos!$A$3:$A$502;"&gt;="&amp;DATA(Configurações!$B$3;3;1);Gastos!$A$3:$A$502;"&lt;="&amp;FIM.MÊS(DATA(Configurações!$B$3;3;1)))</f>
        <v/>
      </c>
      <c r="E15" s="13">
        <f>SOMASES(Gastos!$F$3:$F$502;Gastos!$B$3:$B$502;$A15;Gastos!$A$3:$A$502;"&gt;="&amp;DATA(Configurações!$B$3;4;1);Gastos!$A$3:$A$502;"&lt;="&amp;FIM.MÊS(DATA(Configurações!$B$3;4;1)))</f>
        <v/>
      </c>
      <c r="F15" s="13">
        <f>SOMASES(Gastos!$F$3:$F$502;Gastos!$B$3:$B$502;$A15;Gastos!$A$3:$A$502;"&gt;="&amp;DATA(Configurações!$B$3;5;1);Gastos!$A$3:$A$502;"&lt;="&amp;FIM.MÊS(DATA(Configurações!$B$3;5;1)))</f>
        <v/>
      </c>
      <c r="G15" s="13">
        <f>SOMASES(Gastos!$F$3:$F$502;Gastos!$B$3:$B$502;$A15;Gastos!$A$3:$A$502;"&gt;="&amp;DATA(Configurações!$B$3;6;1);Gastos!$A$3:$A$502;"&lt;="&amp;FIM.MÊS(DATA(Configurações!$B$3;6;1)))</f>
        <v/>
      </c>
      <c r="H15" s="13">
        <f>SOMASES(Gastos!$F$3:$F$502;Gastos!$B$3:$B$502;$A15;Gastos!$A$3:$A$502;"&gt;="&amp;DATA(Configurações!$B$3;7;1);Gastos!$A$3:$A$502;"&lt;="&amp;FIM.MÊS(DATA(Configurações!$B$3;7;1)))</f>
        <v/>
      </c>
      <c r="I15" s="13">
        <f>SOMASES(Gastos!$F$3:$F$502;Gastos!$B$3:$B$502;$A15;Gastos!$A$3:$A$502;"&gt;="&amp;DATA(Configurações!$B$3;8;1);Gastos!$A$3:$A$502;"&lt;="&amp;FIM.MÊS(DATA(Configurações!$B$3;8;1)))</f>
        <v/>
      </c>
      <c r="J15" s="13">
        <f>SOMASES(Gastos!$F$3:$F$502;Gastos!$B$3:$B$502;$A15;Gastos!$A$3:$A$502;"&gt;="&amp;DATA(Configurações!$B$3;9;1);Gastos!$A$3:$A$502;"&lt;="&amp;FIM.MÊS(DATA(Configurações!$B$3;9;1)))</f>
        <v/>
      </c>
      <c r="K15" s="13">
        <f>SOMASES(Gastos!$F$3:$F$502;Gastos!$B$3:$B$502;$A15;Gastos!$A$3:$A$502;"&gt;="&amp;DATA(Configurações!$B$3;10;1);Gastos!$A$3:$A$502;"&lt;="&amp;FIM.MÊS(DATA(Configurações!$B$3;10;1)))</f>
        <v/>
      </c>
      <c r="L15" s="13">
        <f>SOMASES(Gastos!$F$3:$F$502;Gastos!$B$3:$B$502;$A15;Gastos!$A$3:$A$502;"&gt;="&amp;DATA(Configurações!$B$3;11;1);Gastos!$A$3:$A$502;"&lt;="&amp;FIM.MÊS(DATA(Configurações!$B$3;11;1)))</f>
        <v/>
      </c>
      <c r="M15" s="13">
        <f>SOMASES(Gastos!$F$3:$F$502;Gastos!$B$3:$B$502;$A15;Gastos!$A$3:$A$502;"&gt;="&amp;DATA(Configurações!$B$3;12;1);Gastos!$A$3:$A$502;"&lt;="&amp;FIM.MÊS(DATA(Configurações!$B$3;12;1)))</f>
        <v/>
      </c>
      <c r="N15" s="13">
        <f>SOMA(B15:M15)</f>
        <v/>
      </c>
      <c r="O15" s="28">
        <f>SE(N$18=0;"";N15/N$18)</f>
        <v/>
      </c>
    </row>
    <row r="16">
      <c r="A16" s="2" t="inlineStr">
        <is>
          <t>Transporte</t>
        </is>
      </c>
      <c r="B16" s="13">
        <f>SOMASES(Gastos!$F$3:$F$502;Gastos!$B$3:$B$502;$A16;Gastos!$A$3:$A$502;"&gt;="&amp;DATA(Configurações!$B$3;1;1);Gastos!$A$3:$A$502;"&lt;="&amp;FIM.MÊS(DATA(Configurações!$B$3;1;1)))</f>
        <v/>
      </c>
      <c r="C16" s="13">
        <f>SOMASES(Gastos!$F$3:$F$502;Gastos!$B$3:$B$502;$A16;Gastos!$A$3:$A$502;"&gt;="&amp;DATA(Configurações!$B$3;2;1);Gastos!$A$3:$A$502;"&lt;="&amp;FIM.MÊS(DATA(Configurações!$B$3;2;1)))</f>
        <v/>
      </c>
      <c r="D16" s="13">
        <f>SOMASES(Gastos!$F$3:$F$502;Gastos!$B$3:$B$502;$A16;Gastos!$A$3:$A$502;"&gt;="&amp;DATA(Configurações!$B$3;3;1);Gastos!$A$3:$A$502;"&lt;="&amp;FIM.MÊS(DATA(Configurações!$B$3;3;1)))</f>
        <v/>
      </c>
      <c r="E16" s="13">
        <f>SOMASES(Gastos!$F$3:$F$502;Gastos!$B$3:$B$502;$A16;Gastos!$A$3:$A$502;"&gt;="&amp;DATA(Configurações!$B$3;4;1);Gastos!$A$3:$A$502;"&lt;="&amp;FIM.MÊS(DATA(Configurações!$B$3;4;1)))</f>
        <v/>
      </c>
      <c r="F16" s="13">
        <f>SOMASES(Gastos!$F$3:$F$502;Gastos!$B$3:$B$502;$A16;Gastos!$A$3:$A$502;"&gt;="&amp;DATA(Configurações!$B$3;5;1);Gastos!$A$3:$A$502;"&lt;="&amp;FIM.MÊS(DATA(Configurações!$B$3;5;1)))</f>
        <v/>
      </c>
      <c r="G16" s="13">
        <f>SOMASES(Gastos!$F$3:$F$502;Gastos!$B$3:$B$502;$A16;Gastos!$A$3:$A$502;"&gt;="&amp;DATA(Configurações!$B$3;6;1);Gastos!$A$3:$A$502;"&lt;="&amp;FIM.MÊS(DATA(Configurações!$B$3;6;1)))</f>
        <v/>
      </c>
      <c r="H16" s="13">
        <f>SOMASES(Gastos!$F$3:$F$502;Gastos!$B$3:$B$502;$A16;Gastos!$A$3:$A$502;"&gt;="&amp;DATA(Configurações!$B$3;7;1);Gastos!$A$3:$A$502;"&lt;="&amp;FIM.MÊS(DATA(Configurações!$B$3;7;1)))</f>
        <v/>
      </c>
      <c r="I16" s="13">
        <f>SOMASES(Gastos!$F$3:$F$502;Gastos!$B$3:$B$502;$A16;Gastos!$A$3:$A$502;"&gt;="&amp;DATA(Configurações!$B$3;8;1);Gastos!$A$3:$A$502;"&lt;="&amp;FIM.MÊS(DATA(Configurações!$B$3;8;1)))</f>
        <v/>
      </c>
      <c r="J16" s="13">
        <f>SOMASES(Gastos!$F$3:$F$502;Gastos!$B$3:$B$502;$A16;Gastos!$A$3:$A$502;"&gt;="&amp;DATA(Configurações!$B$3;9;1);Gastos!$A$3:$A$502;"&lt;="&amp;FIM.MÊS(DATA(Configurações!$B$3;9;1)))</f>
        <v/>
      </c>
      <c r="K16" s="13">
        <f>SOMASES(Gastos!$F$3:$F$502;Gastos!$B$3:$B$502;$A16;Gastos!$A$3:$A$502;"&gt;="&amp;DATA(Configurações!$B$3;10;1);Gastos!$A$3:$A$502;"&lt;="&amp;FIM.MÊS(DATA(Configurações!$B$3;10;1)))</f>
        <v/>
      </c>
      <c r="L16" s="13">
        <f>SOMASES(Gastos!$F$3:$F$502;Gastos!$B$3:$B$502;$A16;Gastos!$A$3:$A$502;"&gt;="&amp;DATA(Configurações!$B$3;11;1);Gastos!$A$3:$A$502;"&lt;="&amp;FIM.MÊS(DATA(Configurações!$B$3;11;1)))</f>
        <v/>
      </c>
      <c r="M16" s="13">
        <f>SOMASES(Gastos!$F$3:$F$502;Gastos!$B$3:$B$502;$A16;Gastos!$A$3:$A$502;"&gt;="&amp;DATA(Configurações!$B$3;12;1);Gastos!$A$3:$A$502;"&lt;="&amp;FIM.MÊS(DATA(Configurações!$B$3;12;1)))</f>
        <v/>
      </c>
      <c r="N16" s="13">
        <f>SOMA(B16:M16)</f>
        <v/>
      </c>
      <c r="O16" s="28">
        <f>SE(N$18=0;"";N16/N$18)</f>
        <v/>
      </c>
    </row>
    <row r="17">
      <c r="A17" s="2" t="inlineStr">
        <is>
          <t>Outros</t>
        </is>
      </c>
      <c r="B17" s="13">
        <f>SOMASES(Gastos!$F$3:$F$502;Gastos!$B$3:$B$502;$A17;Gastos!$A$3:$A$502;"&gt;="&amp;DATA(Configurações!$B$3;1;1);Gastos!$A$3:$A$502;"&lt;="&amp;FIM.MÊS(DATA(Configurações!$B$3;1;1)))</f>
        <v/>
      </c>
      <c r="C17" s="13">
        <f>SOMASES(Gastos!$F$3:$F$502;Gastos!$B$3:$B$502;$A17;Gastos!$A$3:$A$502;"&gt;="&amp;DATA(Configurações!$B$3;2;1);Gastos!$A$3:$A$502;"&lt;="&amp;FIM.MÊS(DATA(Configurações!$B$3;2;1)))</f>
        <v/>
      </c>
      <c r="D17" s="13">
        <f>SOMASES(Gastos!$F$3:$F$502;Gastos!$B$3:$B$502;$A17;Gastos!$A$3:$A$502;"&gt;="&amp;DATA(Configurações!$B$3;3;1);Gastos!$A$3:$A$502;"&lt;="&amp;FIM.MÊS(DATA(Configurações!$B$3;3;1)))</f>
        <v/>
      </c>
      <c r="E17" s="13">
        <f>SOMASES(Gastos!$F$3:$F$502;Gastos!$B$3:$B$502;$A17;Gastos!$A$3:$A$502;"&gt;="&amp;DATA(Configurações!$B$3;4;1);Gastos!$A$3:$A$502;"&lt;="&amp;FIM.MÊS(DATA(Configurações!$B$3;4;1)))</f>
        <v/>
      </c>
      <c r="F17" s="13">
        <f>SOMASES(Gastos!$F$3:$F$502;Gastos!$B$3:$B$502;$A17;Gastos!$A$3:$A$502;"&gt;="&amp;DATA(Configurações!$B$3;5;1);Gastos!$A$3:$A$502;"&lt;="&amp;FIM.MÊS(DATA(Configurações!$B$3;5;1)))</f>
        <v/>
      </c>
      <c r="G17" s="13">
        <f>SOMASES(Gastos!$F$3:$F$502;Gastos!$B$3:$B$502;$A17;Gastos!$A$3:$A$502;"&gt;="&amp;DATA(Configurações!$B$3;6;1);Gastos!$A$3:$A$502;"&lt;="&amp;FIM.MÊS(DATA(Configurações!$B$3;6;1)))</f>
        <v/>
      </c>
      <c r="H17" s="13">
        <f>SOMASES(Gastos!$F$3:$F$502;Gastos!$B$3:$B$502;$A17;Gastos!$A$3:$A$502;"&gt;="&amp;DATA(Configurações!$B$3;7;1);Gastos!$A$3:$A$502;"&lt;="&amp;FIM.MÊS(DATA(Configurações!$B$3;7;1)))</f>
        <v/>
      </c>
      <c r="I17" s="13">
        <f>SOMASES(Gastos!$F$3:$F$502;Gastos!$B$3:$B$502;$A17;Gastos!$A$3:$A$502;"&gt;="&amp;DATA(Configurações!$B$3;8;1);Gastos!$A$3:$A$502;"&lt;="&amp;FIM.MÊS(DATA(Configurações!$B$3;8;1)))</f>
        <v/>
      </c>
      <c r="J17" s="13">
        <f>SOMASES(Gastos!$F$3:$F$502;Gastos!$B$3:$B$502;$A17;Gastos!$A$3:$A$502;"&gt;="&amp;DATA(Configurações!$B$3;9;1);Gastos!$A$3:$A$502;"&lt;="&amp;FIM.MÊS(DATA(Configurações!$B$3;9;1)))</f>
        <v/>
      </c>
      <c r="K17" s="13">
        <f>SOMASES(Gastos!$F$3:$F$502;Gastos!$B$3:$B$502;$A17;Gastos!$A$3:$A$502;"&gt;="&amp;DATA(Configurações!$B$3;10;1);Gastos!$A$3:$A$502;"&lt;="&amp;FIM.MÊS(DATA(Configurações!$B$3;10;1)))</f>
        <v/>
      </c>
      <c r="L17" s="13">
        <f>SOMASES(Gastos!$F$3:$F$502;Gastos!$B$3:$B$502;$A17;Gastos!$A$3:$A$502;"&gt;="&amp;DATA(Configurações!$B$3;11;1);Gastos!$A$3:$A$502;"&lt;="&amp;FIM.MÊS(DATA(Configurações!$B$3;11;1)))</f>
        <v/>
      </c>
      <c r="M17" s="13">
        <f>SOMASES(Gastos!$F$3:$F$502;Gastos!$B$3:$B$502;$A17;Gastos!$A$3:$A$502;"&gt;="&amp;DATA(Configurações!$B$3;12;1);Gastos!$A$3:$A$502;"&lt;="&amp;FIM.MÊS(DATA(Configurações!$B$3;12;1)))</f>
        <v/>
      </c>
      <c r="N17" s="13">
        <f>SOMA(B17:M17)</f>
        <v/>
      </c>
      <c r="O17" s="28">
        <f>SE(N$18=0;"";N17/N$18)</f>
        <v/>
      </c>
    </row>
    <row r="18">
      <c r="A18" s="18" t="inlineStr">
        <is>
          <t>TOTAL</t>
        </is>
      </c>
      <c r="B18" s="19">
        <f>SOMA(B3:B17)</f>
        <v/>
      </c>
      <c r="C18" s="19">
        <f>SOMA(C3:C17)</f>
        <v/>
      </c>
      <c r="D18" s="19">
        <f>SOMA(D3:D17)</f>
        <v/>
      </c>
      <c r="E18" s="19">
        <f>SOMA(E3:E17)</f>
        <v/>
      </c>
      <c r="F18" s="19">
        <f>SOMA(F3:F17)</f>
        <v/>
      </c>
      <c r="G18" s="19">
        <f>SOMA(G3:G17)</f>
        <v/>
      </c>
      <c r="H18" s="19">
        <f>SOMA(H3:H17)</f>
        <v/>
      </c>
      <c r="I18" s="19">
        <f>SOMA(I3:I17)</f>
        <v/>
      </c>
      <c r="J18" s="19">
        <f>SOMA(J3:J17)</f>
        <v/>
      </c>
      <c r="K18" s="19">
        <f>SOMA(K3:K17)</f>
        <v/>
      </c>
      <c r="L18" s="19">
        <f>SOMA(L3:L17)</f>
        <v/>
      </c>
      <c r="M18" s="19">
        <f>SOMA(M3:M17)</f>
        <v/>
      </c>
      <c r="N18" s="19">
        <f>SOMA(N3:N17)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E1"/>
  </mergeCells>
  <pageMargins left="0.75" right="0.75" top="1" bottom="1" header="0.5" footer="0.5"/>
  <pageSetup orientation="portrait" paperSize="9" fitToHeight="0" fitToWidth="1"/>
  <headerFooter>
    <oddHeader/>
    <oddFooter>&amp;CGerado pela Planilha de Tesouraria — 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B2A4A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" t="inlineStr">
        <is>
          <t>📈  Comparativo entre Anos</t>
        </is>
      </c>
    </row>
    <row r="2" ht="28" customHeight="1">
      <c r="A2" s="14" t="inlineStr">
        <is>
          <t>Indicador</t>
        </is>
      </c>
      <c r="B2" s="14" t="inlineStr">
        <is>
          <t>2024</t>
        </is>
      </c>
      <c r="C2" s="14" t="inlineStr">
        <is>
          <t>2025</t>
        </is>
      </c>
      <c r="D2" s="14" t="inlineStr">
        <is>
          <t>2026</t>
        </is>
      </c>
      <c r="E2" s="14" t="inlineStr">
        <is>
          <t>Variação %</t>
        </is>
      </c>
    </row>
    <row r="3">
      <c r="A3" s="2" t="inlineStr">
        <is>
          <t>Dízimos</t>
        </is>
      </c>
      <c r="B3" s="17" t="n">
        <v>0</v>
      </c>
      <c r="C3" s="17" t="n">
        <v>0</v>
      </c>
      <c r="D3" s="13">
        <f>'Resumo Financeiro'!B15</f>
        <v/>
      </c>
      <c r="E3" s="28">
        <f>SE(C3=0;"";(D3-C3)/ABS(C3))</f>
        <v/>
      </c>
    </row>
    <row r="4">
      <c r="A4" s="2" t="inlineStr">
        <is>
          <t>Doações</t>
        </is>
      </c>
      <c r="B4" s="17" t="n">
        <v>0</v>
      </c>
      <c r="C4" s="17" t="n">
        <v>0</v>
      </c>
      <c r="D4" s="13">
        <f>'Resumo Financeiro'!C15</f>
        <v/>
      </c>
      <c r="E4" s="28">
        <f>SE(C4=0;"";(D4-C4)/ABS(C4))</f>
        <v/>
      </c>
    </row>
    <row r="5">
      <c r="A5" s="2" t="inlineStr">
        <is>
          <t>Missas</t>
        </is>
      </c>
      <c r="B5" s="17" t="n">
        <v>0</v>
      </c>
      <c r="C5" s="17" t="n">
        <v>0</v>
      </c>
      <c r="D5" s="13">
        <f>'Resumo Financeiro'!D15</f>
        <v/>
      </c>
      <c r="E5" s="28">
        <f>SE(C5=0;"";(D5-C5)/ABS(C5))</f>
        <v/>
      </c>
    </row>
    <row r="6">
      <c r="A6" s="2" t="inlineStr">
        <is>
          <t>Total Entradas</t>
        </is>
      </c>
      <c r="B6" s="17" t="n">
        <v>0</v>
      </c>
      <c r="C6" s="17" t="n">
        <v>0</v>
      </c>
      <c r="D6" s="13">
        <f>'Resumo Financeiro'!E15</f>
        <v/>
      </c>
      <c r="E6" s="28">
        <f>SE(C6=0;"";(D6-C6)/ABS(C6))</f>
        <v/>
      </c>
    </row>
    <row r="7">
      <c r="A7" s="2" t="inlineStr">
        <is>
          <t>Total Gastos</t>
        </is>
      </c>
      <c r="B7" s="17" t="n">
        <v>0</v>
      </c>
      <c r="C7" s="17" t="n">
        <v>0</v>
      </c>
      <c r="D7" s="13">
        <f>'Resumo Financeiro'!F15</f>
        <v/>
      </c>
      <c r="E7" s="28">
        <f>SE(C7=0;"";(D7-C7)/ABS(C7))</f>
        <v/>
      </c>
    </row>
    <row r="8">
      <c r="A8" s="2" t="inlineStr">
        <is>
          <t>Resultado</t>
        </is>
      </c>
      <c r="B8" s="17" t="n">
        <v>0</v>
      </c>
      <c r="C8" s="17" t="n">
        <v>0</v>
      </c>
      <c r="D8" s="13">
        <f>'Resumo Financeiro'!G15</f>
        <v/>
      </c>
      <c r="E8" s="28">
        <f>SE(C8=0;"";(D8-C8)/ABS(C8))</f>
        <v/>
      </c>
    </row>
    <row r="11">
      <c r="A11" s="16" t="inlineStr">
        <is>
          <t>ℹ️ Preencha manualmente os anos anteriores. O ano atual é calculado automaticamente.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A11:E11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B2A4A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4" max="4"/>
    <col width="24" customWidth="1" min="5" max="5"/>
  </cols>
  <sheetData>
    <row r="1" ht="40" customHeight="1">
      <c r="A1" s="1" t="inlineStr">
        <is>
          <t>📋  Plano de Contas</t>
        </is>
      </c>
    </row>
    <row r="3">
      <c r="A3" s="29" t="inlineStr">
        <is>
          <t>RECEITAS</t>
        </is>
      </c>
      <c r="D3" s="30" t="inlineStr">
        <is>
          <t>DESPESAS</t>
        </is>
      </c>
    </row>
    <row r="5">
      <c r="A5" t="inlineStr">
        <is>
          <t>R01</t>
        </is>
      </c>
      <c r="B5" t="inlineStr">
        <is>
          <t>Dízimos</t>
        </is>
      </c>
      <c r="D5" t="inlineStr">
        <is>
          <t>D01</t>
        </is>
      </c>
      <c r="E5" t="inlineStr">
        <is>
          <t>Água</t>
        </is>
      </c>
    </row>
    <row r="6">
      <c r="A6" t="inlineStr">
        <is>
          <t>R02</t>
        </is>
      </c>
      <c r="B6" t="inlineStr">
        <is>
          <t>Doações</t>
        </is>
      </c>
      <c r="D6" t="inlineStr">
        <is>
          <t>D02</t>
        </is>
      </c>
      <c r="E6" t="inlineStr">
        <is>
          <t>Energia</t>
        </is>
      </c>
    </row>
    <row r="7">
      <c r="A7" t="inlineStr">
        <is>
          <t>R03</t>
        </is>
      </c>
      <c r="B7" t="inlineStr">
        <is>
          <t>Missas</t>
        </is>
      </c>
      <c r="D7" t="inlineStr">
        <is>
          <t>D03</t>
        </is>
      </c>
      <c r="E7" t="inlineStr">
        <is>
          <t>Internet</t>
        </is>
      </c>
    </row>
    <row r="8">
      <c r="A8" t="inlineStr">
        <is>
          <t>R04</t>
        </is>
      </c>
      <c r="B8" t="inlineStr">
        <is>
          <t>Campanhas</t>
        </is>
      </c>
      <c r="D8" t="inlineStr">
        <is>
          <t>D04</t>
        </is>
      </c>
      <c r="E8" t="inlineStr">
        <is>
          <t>Limpeza</t>
        </is>
      </c>
    </row>
    <row r="9">
      <c r="A9" t="inlineStr">
        <is>
          <t>R05</t>
        </is>
      </c>
      <c r="B9" t="inlineStr">
        <is>
          <t>Festas</t>
        </is>
      </c>
      <c r="D9" t="inlineStr">
        <is>
          <t>D05</t>
        </is>
      </c>
      <c r="E9" t="inlineStr">
        <is>
          <t>Material Litúrgico</t>
        </is>
      </c>
    </row>
    <row r="10">
      <c r="A10" t="inlineStr">
        <is>
          <t>R06</t>
        </is>
      </c>
      <c r="B10" t="inlineStr">
        <is>
          <t>Eventos</t>
        </is>
      </c>
      <c r="D10" t="inlineStr">
        <is>
          <t>D06</t>
        </is>
      </c>
      <c r="E10" t="inlineStr">
        <is>
          <t>Flores</t>
        </is>
      </c>
    </row>
    <row r="11">
      <c r="A11" t="inlineStr">
        <is>
          <t>R07</t>
        </is>
      </c>
      <c r="B11" t="inlineStr">
        <is>
          <t>Rifas</t>
        </is>
      </c>
      <c r="D11" t="inlineStr">
        <is>
          <t>D07</t>
        </is>
      </c>
      <c r="E11" t="inlineStr">
        <is>
          <t>Manutenção</t>
        </is>
      </c>
    </row>
    <row r="12">
      <c r="A12" t="inlineStr">
        <is>
          <t>R08</t>
        </is>
      </c>
      <c r="B12" t="inlineStr">
        <is>
          <t>Outros</t>
        </is>
      </c>
      <c r="D12" t="inlineStr">
        <is>
          <t>D08</t>
        </is>
      </c>
      <c r="E12" t="inlineStr">
        <is>
          <t>Construção</t>
        </is>
      </c>
    </row>
    <row r="13">
      <c r="D13" t="inlineStr">
        <is>
          <t>D09</t>
        </is>
      </c>
      <c r="E13" t="inlineStr">
        <is>
          <t>Equipamentos</t>
        </is>
      </c>
    </row>
    <row r="14">
      <c r="D14" t="inlineStr">
        <is>
          <t>D10</t>
        </is>
      </c>
      <c r="E14" t="inlineStr">
        <is>
          <t>Secretaria</t>
        </is>
      </c>
    </row>
    <row r="15">
      <c r="D15" t="inlineStr">
        <is>
          <t>D11</t>
        </is>
      </c>
      <c r="E15" t="inlineStr">
        <is>
          <t>Eventos</t>
        </is>
      </c>
    </row>
    <row r="16">
      <c r="D16" t="inlineStr">
        <is>
          <t>D12</t>
        </is>
      </c>
      <c r="E16" t="inlineStr">
        <is>
          <t>Transporte</t>
        </is>
      </c>
    </row>
    <row r="17">
      <c r="D17" t="inlineStr">
        <is>
          <t>D13</t>
        </is>
      </c>
      <c r="E17" t="inlineStr">
        <is>
          <t>Outros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D3:E3"/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E50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6" customWidth="1" min="5" max="5"/>
  </cols>
  <sheetData>
    <row r="1" ht="40" customHeight="1">
      <c r="A1" s="1" t="inlineStr">
        <is>
          <t>💵  Fluxo de Caixa</t>
        </is>
      </c>
    </row>
    <row r="2" ht="28" customHeight="1">
      <c r="A2" s="14" t="inlineStr">
        <is>
          <t>Data</t>
        </is>
      </c>
      <c r="B2" s="14" t="inlineStr">
        <is>
          <t>Descrição</t>
        </is>
      </c>
      <c r="C2" s="14" t="inlineStr">
        <is>
          <t>Entrada</t>
        </is>
      </c>
      <c r="D2" s="14" t="inlineStr">
        <is>
          <t>Saída</t>
        </is>
      </c>
      <c r="E2" s="14" t="inlineStr">
        <is>
          <t>Saldo</t>
        </is>
      </c>
    </row>
    <row r="3">
      <c r="B3" s="2" t="inlineStr">
        <is>
          <t>Saldo Inicial (Caixa + Banco)</t>
        </is>
      </c>
      <c r="E3" s="13">
        <f>Configurações!$B$10</f>
        <v/>
      </c>
    </row>
    <row r="4">
      <c r="A4" s="31">
        <f>_Consolidado!A2</f>
        <v/>
      </c>
      <c r="B4" s="4">
        <f>_Consolidado!B2</f>
        <v/>
      </c>
      <c r="C4" s="13">
        <f>_Consolidado!C2</f>
        <v/>
      </c>
      <c r="D4" s="13">
        <f>_Consolidado!D2</f>
        <v/>
      </c>
      <c r="E4" s="13">
        <f>SE(A4="";E3;E3+SEERRO(C4;0)-SEERRO(D4;0))</f>
        <v/>
      </c>
    </row>
    <row r="5">
      <c r="A5" s="31">
        <f>_Consolidado!A3</f>
        <v/>
      </c>
      <c r="B5" s="4">
        <f>_Consolidado!B3</f>
        <v/>
      </c>
      <c r="C5" s="13">
        <f>_Consolidado!C3</f>
        <v/>
      </c>
      <c r="D5" s="13">
        <f>_Consolidado!D3</f>
        <v/>
      </c>
      <c r="E5" s="13">
        <f>SE(A5="";E4;E4+SEERRO(C5;0)-SEERRO(D5;0))</f>
        <v/>
      </c>
    </row>
    <row r="6">
      <c r="A6" s="31">
        <f>_Consolidado!A4</f>
        <v/>
      </c>
      <c r="B6" s="4">
        <f>_Consolidado!B4</f>
        <v/>
      </c>
      <c r="C6" s="13">
        <f>_Consolidado!C4</f>
        <v/>
      </c>
      <c r="D6" s="13">
        <f>_Consolidado!D4</f>
        <v/>
      </c>
      <c r="E6" s="13">
        <f>SE(A6="";E5;E5+SEERRO(C6;0)-SEERRO(D6;0))</f>
        <v/>
      </c>
    </row>
    <row r="7">
      <c r="A7" s="31">
        <f>_Consolidado!A5</f>
        <v/>
      </c>
      <c r="B7" s="4">
        <f>_Consolidado!B5</f>
        <v/>
      </c>
      <c r="C7" s="13">
        <f>_Consolidado!C5</f>
        <v/>
      </c>
      <c r="D7" s="13">
        <f>_Consolidado!D5</f>
        <v/>
      </c>
      <c r="E7" s="13">
        <f>SE(A7="";E6;E6+SEERRO(C7;0)-SEERRO(D7;0))</f>
        <v/>
      </c>
    </row>
    <row r="8">
      <c r="A8" s="31">
        <f>_Consolidado!A6</f>
        <v/>
      </c>
      <c r="B8" s="4">
        <f>_Consolidado!B6</f>
        <v/>
      </c>
      <c r="C8" s="13">
        <f>_Consolidado!C6</f>
        <v/>
      </c>
      <c r="D8" s="13">
        <f>_Consolidado!D6</f>
        <v/>
      </c>
      <c r="E8" s="13">
        <f>SE(A8="";E7;E7+SEERRO(C8;0)-SEERRO(D8;0))</f>
        <v/>
      </c>
    </row>
    <row r="9">
      <c r="A9" s="31">
        <f>_Consolidado!A7</f>
        <v/>
      </c>
      <c r="B9" s="4">
        <f>_Consolidado!B7</f>
        <v/>
      </c>
      <c r="C9" s="13">
        <f>_Consolidado!C7</f>
        <v/>
      </c>
      <c r="D9" s="13">
        <f>_Consolidado!D7</f>
        <v/>
      </c>
      <c r="E9" s="13">
        <f>SE(A9="";E8;E8+SEERRO(C9;0)-SEERRO(D9;0))</f>
        <v/>
      </c>
    </row>
    <row r="10">
      <c r="A10" s="31">
        <f>_Consolidado!A8</f>
        <v/>
      </c>
      <c r="B10" s="4">
        <f>_Consolidado!B8</f>
        <v/>
      </c>
      <c r="C10" s="13">
        <f>_Consolidado!C8</f>
        <v/>
      </c>
      <c r="D10" s="13">
        <f>_Consolidado!D8</f>
        <v/>
      </c>
      <c r="E10" s="13">
        <f>SE(A10="";E9;E9+SEERRO(C10;0)-SEERRO(D10;0))</f>
        <v/>
      </c>
    </row>
    <row r="11">
      <c r="A11" s="31">
        <f>_Consolidado!A9</f>
        <v/>
      </c>
      <c r="B11" s="4">
        <f>_Consolidado!B9</f>
        <v/>
      </c>
      <c r="C11" s="13">
        <f>_Consolidado!C9</f>
        <v/>
      </c>
      <c r="D11" s="13">
        <f>_Consolidado!D9</f>
        <v/>
      </c>
      <c r="E11" s="13">
        <f>SE(A11="";E10;E10+SEERRO(C11;0)-SEERRO(D11;0))</f>
        <v/>
      </c>
    </row>
    <row r="12">
      <c r="A12" s="31">
        <f>_Consolidado!A10</f>
        <v/>
      </c>
      <c r="B12" s="4">
        <f>_Consolidado!B10</f>
        <v/>
      </c>
      <c r="C12" s="13">
        <f>_Consolidado!C10</f>
        <v/>
      </c>
      <c r="D12" s="13">
        <f>_Consolidado!D10</f>
        <v/>
      </c>
      <c r="E12" s="13">
        <f>SE(A12="";E11;E11+SEERRO(C12;0)-SEERRO(D12;0))</f>
        <v/>
      </c>
    </row>
    <row r="13">
      <c r="A13" s="31">
        <f>_Consolidado!A11</f>
        <v/>
      </c>
      <c r="B13" s="4">
        <f>_Consolidado!B11</f>
        <v/>
      </c>
      <c r="C13" s="13">
        <f>_Consolidado!C11</f>
        <v/>
      </c>
      <c r="D13" s="13">
        <f>_Consolidado!D11</f>
        <v/>
      </c>
      <c r="E13" s="13">
        <f>SE(A13="";E12;E12+SEERRO(C13;0)-SEERRO(D13;0))</f>
        <v/>
      </c>
    </row>
    <row r="14">
      <c r="A14" s="31">
        <f>_Consolidado!A12</f>
        <v/>
      </c>
      <c r="B14" s="4">
        <f>_Consolidado!B12</f>
        <v/>
      </c>
      <c r="C14" s="13">
        <f>_Consolidado!C12</f>
        <v/>
      </c>
      <c r="D14" s="13">
        <f>_Consolidado!D12</f>
        <v/>
      </c>
      <c r="E14" s="13">
        <f>SE(A14="";E13;E13+SEERRO(C14;0)-SEERRO(D14;0))</f>
        <v/>
      </c>
    </row>
    <row r="15">
      <c r="A15" s="31">
        <f>_Consolidado!A13</f>
        <v/>
      </c>
      <c r="B15" s="4">
        <f>_Consolidado!B13</f>
        <v/>
      </c>
      <c r="C15" s="13">
        <f>_Consolidado!C13</f>
        <v/>
      </c>
      <c r="D15" s="13">
        <f>_Consolidado!D13</f>
        <v/>
      </c>
      <c r="E15" s="13">
        <f>SE(A15="";E14;E14+SEERRO(C15;0)-SEERRO(D15;0))</f>
        <v/>
      </c>
    </row>
    <row r="16">
      <c r="A16" s="31">
        <f>_Consolidado!A14</f>
        <v/>
      </c>
      <c r="B16" s="4">
        <f>_Consolidado!B14</f>
        <v/>
      </c>
      <c r="C16" s="13">
        <f>_Consolidado!C14</f>
        <v/>
      </c>
      <c r="D16" s="13">
        <f>_Consolidado!D14</f>
        <v/>
      </c>
      <c r="E16" s="13">
        <f>SE(A16="";E15;E15+SEERRO(C16;0)-SEERRO(D16;0))</f>
        <v/>
      </c>
    </row>
    <row r="17">
      <c r="A17" s="31">
        <f>_Consolidado!A15</f>
        <v/>
      </c>
      <c r="B17" s="4">
        <f>_Consolidado!B15</f>
        <v/>
      </c>
      <c r="C17" s="13">
        <f>_Consolidado!C15</f>
        <v/>
      </c>
      <c r="D17" s="13">
        <f>_Consolidado!D15</f>
        <v/>
      </c>
      <c r="E17" s="13">
        <f>SE(A17="";E16;E16+SEERRO(C17;0)-SEERRO(D17;0))</f>
        <v/>
      </c>
    </row>
    <row r="18">
      <c r="A18" s="31">
        <f>_Consolidado!A16</f>
        <v/>
      </c>
      <c r="B18" s="4">
        <f>_Consolidado!B16</f>
        <v/>
      </c>
      <c r="C18" s="13">
        <f>_Consolidado!C16</f>
        <v/>
      </c>
      <c r="D18" s="13">
        <f>_Consolidado!D16</f>
        <v/>
      </c>
      <c r="E18" s="13">
        <f>SE(A18="";E17;E17+SEERRO(C18;0)-SEERRO(D18;0))</f>
        <v/>
      </c>
    </row>
    <row r="19">
      <c r="A19" s="31">
        <f>_Consolidado!A17</f>
        <v/>
      </c>
      <c r="B19" s="4">
        <f>_Consolidado!B17</f>
        <v/>
      </c>
      <c r="C19" s="13">
        <f>_Consolidado!C17</f>
        <v/>
      </c>
      <c r="D19" s="13">
        <f>_Consolidado!D17</f>
        <v/>
      </c>
      <c r="E19" s="13">
        <f>SE(A19="";E18;E18+SEERRO(C19;0)-SEERRO(D19;0))</f>
        <v/>
      </c>
    </row>
    <row r="20">
      <c r="A20" s="31">
        <f>_Consolidado!A18</f>
        <v/>
      </c>
      <c r="B20" s="4">
        <f>_Consolidado!B18</f>
        <v/>
      </c>
      <c r="C20" s="13">
        <f>_Consolidado!C18</f>
        <v/>
      </c>
      <c r="D20" s="13">
        <f>_Consolidado!D18</f>
        <v/>
      </c>
      <c r="E20" s="13">
        <f>SE(A20="";E19;E19+SEERRO(C20;0)-SEERRO(D20;0))</f>
        <v/>
      </c>
    </row>
    <row r="21">
      <c r="A21" s="31">
        <f>_Consolidado!A19</f>
        <v/>
      </c>
      <c r="B21" s="4">
        <f>_Consolidado!B19</f>
        <v/>
      </c>
      <c r="C21" s="13">
        <f>_Consolidado!C19</f>
        <v/>
      </c>
      <c r="D21" s="13">
        <f>_Consolidado!D19</f>
        <v/>
      </c>
      <c r="E21" s="13">
        <f>SE(A21="";E20;E20+SEERRO(C21;0)-SEERRO(D21;0))</f>
        <v/>
      </c>
    </row>
    <row r="22">
      <c r="A22" s="31">
        <f>_Consolidado!A20</f>
        <v/>
      </c>
      <c r="B22" s="4">
        <f>_Consolidado!B20</f>
        <v/>
      </c>
      <c r="C22" s="13">
        <f>_Consolidado!C20</f>
        <v/>
      </c>
      <c r="D22" s="13">
        <f>_Consolidado!D20</f>
        <v/>
      </c>
      <c r="E22" s="13">
        <f>SE(A22="";E21;E21+SEERRO(C22;0)-SEERRO(D22;0))</f>
        <v/>
      </c>
    </row>
    <row r="23">
      <c r="A23" s="31">
        <f>_Consolidado!A21</f>
        <v/>
      </c>
      <c r="B23" s="4">
        <f>_Consolidado!B21</f>
        <v/>
      </c>
      <c r="C23" s="13">
        <f>_Consolidado!C21</f>
        <v/>
      </c>
      <c r="D23" s="13">
        <f>_Consolidado!D21</f>
        <v/>
      </c>
      <c r="E23" s="13">
        <f>SE(A23="";E22;E22+SEERRO(C23;0)-SEERRO(D23;0))</f>
        <v/>
      </c>
    </row>
    <row r="24">
      <c r="A24" s="31">
        <f>_Consolidado!A22</f>
        <v/>
      </c>
      <c r="B24" s="4">
        <f>_Consolidado!B22</f>
        <v/>
      </c>
      <c r="C24" s="13">
        <f>_Consolidado!C22</f>
        <v/>
      </c>
      <c r="D24" s="13">
        <f>_Consolidado!D22</f>
        <v/>
      </c>
      <c r="E24" s="13">
        <f>SE(A24="";E23;E23+SEERRO(C24;0)-SEERRO(D24;0))</f>
        <v/>
      </c>
    </row>
    <row r="25">
      <c r="A25" s="31">
        <f>_Consolidado!A23</f>
        <v/>
      </c>
      <c r="B25" s="4">
        <f>_Consolidado!B23</f>
        <v/>
      </c>
      <c r="C25" s="13">
        <f>_Consolidado!C23</f>
        <v/>
      </c>
      <c r="D25" s="13">
        <f>_Consolidado!D23</f>
        <v/>
      </c>
      <c r="E25" s="13">
        <f>SE(A25="";E24;E24+SEERRO(C25;0)-SEERRO(D25;0))</f>
        <v/>
      </c>
    </row>
    <row r="26">
      <c r="A26" s="31">
        <f>_Consolidado!A24</f>
        <v/>
      </c>
      <c r="B26" s="4">
        <f>_Consolidado!B24</f>
        <v/>
      </c>
      <c r="C26" s="13">
        <f>_Consolidado!C24</f>
        <v/>
      </c>
      <c r="D26" s="13">
        <f>_Consolidado!D24</f>
        <v/>
      </c>
      <c r="E26" s="13">
        <f>SE(A26="";E25;E25+SEERRO(C26;0)-SEERRO(D26;0))</f>
        <v/>
      </c>
    </row>
    <row r="27">
      <c r="A27" s="31">
        <f>_Consolidado!A25</f>
        <v/>
      </c>
      <c r="B27" s="4">
        <f>_Consolidado!B25</f>
        <v/>
      </c>
      <c r="C27" s="13">
        <f>_Consolidado!C25</f>
        <v/>
      </c>
      <c r="D27" s="13">
        <f>_Consolidado!D25</f>
        <v/>
      </c>
      <c r="E27" s="13">
        <f>SE(A27="";E26;E26+SEERRO(C27;0)-SEERRO(D27;0))</f>
        <v/>
      </c>
    </row>
    <row r="28">
      <c r="A28" s="31">
        <f>_Consolidado!A26</f>
        <v/>
      </c>
      <c r="B28" s="4">
        <f>_Consolidado!B26</f>
        <v/>
      </c>
      <c r="C28" s="13">
        <f>_Consolidado!C26</f>
        <v/>
      </c>
      <c r="D28" s="13">
        <f>_Consolidado!D26</f>
        <v/>
      </c>
      <c r="E28" s="13">
        <f>SE(A28="";E27;E27+SEERRO(C28;0)-SEERRO(D28;0))</f>
        <v/>
      </c>
    </row>
    <row r="29">
      <c r="A29" s="31">
        <f>_Consolidado!A27</f>
        <v/>
      </c>
      <c r="B29" s="4">
        <f>_Consolidado!B27</f>
        <v/>
      </c>
      <c r="C29" s="13">
        <f>_Consolidado!C27</f>
        <v/>
      </c>
      <c r="D29" s="13">
        <f>_Consolidado!D27</f>
        <v/>
      </c>
      <c r="E29" s="13">
        <f>SE(A29="";E28;E28+SEERRO(C29;0)-SEERRO(D29;0))</f>
        <v/>
      </c>
    </row>
    <row r="30">
      <c r="A30" s="31">
        <f>_Consolidado!A28</f>
        <v/>
      </c>
      <c r="B30" s="4">
        <f>_Consolidado!B28</f>
        <v/>
      </c>
      <c r="C30" s="13">
        <f>_Consolidado!C28</f>
        <v/>
      </c>
      <c r="D30" s="13">
        <f>_Consolidado!D28</f>
        <v/>
      </c>
      <c r="E30" s="13">
        <f>SE(A30="";E29;E29+SEERRO(C30;0)-SEERRO(D30;0))</f>
        <v/>
      </c>
    </row>
    <row r="31">
      <c r="A31" s="31">
        <f>_Consolidado!A29</f>
        <v/>
      </c>
      <c r="B31" s="4">
        <f>_Consolidado!B29</f>
        <v/>
      </c>
      <c r="C31" s="13">
        <f>_Consolidado!C29</f>
        <v/>
      </c>
      <c r="D31" s="13">
        <f>_Consolidado!D29</f>
        <v/>
      </c>
      <c r="E31" s="13">
        <f>SE(A31="";E30;E30+SEERRO(C31;0)-SEERRO(D31;0))</f>
        <v/>
      </c>
    </row>
    <row r="32">
      <c r="A32" s="31">
        <f>_Consolidado!A30</f>
        <v/>
      </c>
      <c r="B32" s="4">
        <f>_Consolidado!B30</f>
        <v/>
      </c>
      <c r="C32" s="13">
        <f>_Consolidado!C30</f>
        <v/>
      </c>
      <c r="D32" s="13">
        <f>_Consolidado!D30</f>
        <v/>
      </c>
      <c r="E32" s="13">
        <f>SE(A32="";E31;E31+SEERRO(C32;0)-SEERRO(D32;0))</f>
        <v/>
      </c>
    </row>
    <row r="33">
      <c r="A33" s="31">
        <f>_Consolidado!A31</f>
        <v/>
      </c>
      <c r="B33" s="4">
        <f>_Consolidado!B31</f>
        <v/>
      </c>
      <c r="C33" s="13">
        <f>_Consolidado!C31</f>
        <v/>
      </c>
      <c r="D33" s="13">
        <f>_Consolidado!D31</f>
        <v/>
      </c>
      <c r="E33" s="13">
        <f>SE(A33="";E32;E32+SEERRO(C33;0)-SEERRO(D33;0))</f>
        <v/>
      </c>
    </row>
    <row r="34">
      <c r="A34" s="31">
        <f>_Consolidado!A32</f>
        <v/>
      </c>
      <c r="B34" s="4">
        <f>_Consolidado!B32</f>
        <v/>
      </c>
      <c r="C34" s="13">
        <f>_Consolidado!C32</f>
        <v/>
      </c>
      <c r="D34" s="13">
        <f>_Consolidado!D32</f>
        <v/>
      </c>
      <c r="E34" s="13">
        <f>SE(A34="";E33;E33+SEERRO(C34;0)-SEERRO(D34;0))</f>
        <v/>
      </c>
    </row>
    <row r="35">
      <c r="A35" s="31">
        <f>_Consolidado!A33</f>
        <v/>
      </c>
      <c r="B35" s="4">
        <f>_Consolidado!B33</f>
        <v/>
      </c>
      <c r="C35" s="13">
        <f>_Consolidado!C33</f>
        <v/>
      </c>
      <c r="D35" s="13">
        <f>_Consolidado!D33</f>
        <v/>
      </c>
      <c r="E35" s="13">
        <f>SE(A35="";E34;E34+SEERRO(C35;0)-SEERRO(D35;0))</f>
        <v/>
      </c>
    </row>
    <row r="36">
      <c r="A36" s="31">
        <f>_Consolidado!A34</f>
        <v/>
      </c>
      <c r="B36" s="4">
        <f>_Consolidado!B34</f>
        <v/>
      </c>
      <c r="C36" s="13">
        <f>_Consolidado!C34</f>
        <v/>
      </c>
      <c r="D36" s="13">
        <f>_Consolidado!D34</f>
        <v/>
      </c>
      <c r="E36" s="13">
        <f>SE(A36="";E35;E35+SEERRO(C36;0)-SEERRO(D36;0))</f>
        <v/>
      </c>
    </row>
    <row r="37">
      <c r="A37" s="31">
        <f>_Consolidado!A35</f>
        <v/>
      </c>
      <c r="B37" s="4">
        <f>_Consolidado!B35</f>
        <v/>
      </c>
      <c r="C37" s="13">
        <f>_Consolidado!C35</f>
        <v/>
      </c>
      <c r="D37" s="13">
        <f>_Consolidado!D35</f>
        <v/>
      </c>
      <c r="E37" s="13">
        <f>SE(A37="";E36;E36+SEERRO(C37;0)-SEERRO(D37;0))</f>
        <v/>
      </c>
    </row>
    <row r="38">
      <c r="A38" s="31">
        <f>_Consolidado!A36</f>
        <v/>
      </c>
      <c r="B38" s="4">
        <f>_Consolidado!B36</f>
        <v/>
      </c>
      <c r="C38" s="13">
        <f>_Consolidado!C36</f>
        <v/>
      </c>
      <c r="D38" s="13">
        <f>_Consolidado!D36</f>
        <v/>
      </c>
      <c r="E38" s="13">
        <f>SE(A38="";E37;E37+SEERRO(C38;0)-SEERRO(D38;0))</f>
        <v/>
      </c>
    </row>
    <row r="39">
      <c r="A39" s="31">
        <f>_Consolidado!A37</f>
        <v/>
      </c>
      <c r="B39" s="4">
        <f>_Consolidado!B37</f>
        <v/>
      </c>
      <c r="C39" s="13">
        <f>_Consolidado!C37</f>
        <v/>
      </c>
      <c r="D39" s="13">
        <f>_Consolidado!D37</f>
        <v/>
      </c>
      <c r="E39" s="13">
        <f>SE(A39="";E38;E38+SEERRO(C39;0)-SEERRO(D39;0))</f>
        <v/>
      </c>
    </row>
    <row r="40">
      <c r="A40" s="31">
        <f>_Consolidado!A38</f>
        <v/>
      </c>
      <c r="B40" s="4">
        <f>_Consolidado!B38</f>
        <v/>
      </c>
      <c r="C40" s="13">
        <f>_Consolidado!C38</f>
        <v/>
      </c>
      <c r="D40" s="13">
        <f>_Consolidado!D38</f>
        <v/>
      </c>
      <c r="E40" s="13">
        <f>SE(A40="";E39;E39+SEERRO(C40;0)-SEERRO(D40;0))</f>
        <v/>
      </c>
    </row>
    <row r="41">
      <c r="A41" s="31">
        <f>_Consolidado!A39</f>
        <v/>
      </c>
      <c r="B41" s="4">
        <f>_Consolidado!B39</f>
        <v/>
      </c>
      <c r="C41" s="13">
        <f>_Consolidado!C39</f>
        <v/>
      </c>
      <c r="D41" s="13">
        <f>_Consolidado!D39</f>
        <v/>
      </c>
      <c r="E41" s="13">
        <f>SE(A41="";E40;E40+SEERRO(C41;0)-SEERRO(D41;0))</f>
        <v/>
      </c>
    </row>
    <row r="42">
      <c r="A42" s="31">
        <f>_Consolidado!A40</f>
        <v/>
      </c>
      <c r="B42" s="4">
        <f>_Consolidado!B40</f>
        <v/>
      </c>
      <c r="C42" s="13">
        <f>_Consolidado!C40</f>
        <v/>
      </c>
      <c r="D42" s="13">
        <f>_Consolidado!D40</f>
        <v/>
      </c>
      <c r="E42" s="13">
        <f>SE(A42="";E41;E41+SEERRO(C42;0)-SEERRO(D42;0))</f>
        <v/>
      </c>
    </row>
    <row r="43">
      <c r="A43" s="31">
        <f>_Consolidado!A41</f>
        <v/>
      </c>
      <c r="B43" s="4">
        <f>_Consolidado!B41</f>
        <v/>
      </c>
      <c r="C43" s="13">
        <f>_Consolidado!C41</f>
        <v/>
      </c>
      <c r="D43" s="13">
        <f>_Consolidado!D41</f>
        <v/>
      </c>
      <c r="E43" s="13">
        <f>SE(A43="";E42;E42+SEERRO(C43;0)-SEERRO(D43;0))</f>
        <v/>
      </c>
    </row>
    <row r="44">
      <c r="A44" s="31">
        <f>_Consolidado!A42</f>
        <v/>
      </c>
      <c r="B44" s="4">
        <f>_Consolidado!B42</f>
        <v/>
      </c>
      <c r="C44" s="13">
        <f>_Consolidado!C42</f>
        <v/>
      </c>
      <c r="D44" s="13">
        <f>_Consolidado!D42</f>
        <v/>
      </c>
      <c r="E44" s="13">
        <f>SE(A44="";E43;E43+SEERRO(C44;0)-SEERRO(D44;0))</f>
        <v/>
      </c>
    </row>
    <row r="45">
      <c r="A45" s="31">
        <f>_Consolidado!A43</f>
        <v/>
      </c>
      <c r="B45" s="4">
        <f>_Consolidado!B43</f>
        <v/>
      </c>
      <c r="C45" s="13">
        <f>_Consolidado!C43</f>
        <v/>
      </c>
      <c r="D45" s="13">
        <f>_Consolidado!D43</f>
        <v/>
      </c>
      <c r="E45" s="13">
        <f>SE(A45="";E44;E44+SEERRO(C45;0)-SEERRO(D45;0))</f>
        <v/>
      </c>
    </row>
    <row r="46">
      <c r="A46" s="31">
        <f>_Consolidado!A44</f>
        <v/>
      </c>
      <c r="B46" s="4">
        <f>_Consolidado!B44</f>
        <v/>
      </c>
      <c r="C46" s="13">
        <f>_Consolidado!C44</f>
        <v/>
      </c>
      <c r="D46" s="13">
        <f>_Consolidado!D44</f>
        <v/>
      </c>
      <c r="E46" s="13">
        <f>SE(A46="";E45;E45+SEERRO(C46;0)-SEERRO(D46;0))</f>
        <v/>
      </c>
    </row>
    <row r="47">
      <c r="A47" s="31">
        <f>_Consolidado!A45</f>
        <v/>
      </c>
      <c r="B47" s="4">
        <f>_Consolidado!B45</f>
        <v/>
      </c>
      <c r="C47" s="13">
        <f>_Consolidado!C45</f>
        <v/>
      </c>
      <c r="D47" s="13">
        <f>_Consolidado!D45</f>
        <v/>
      </c>
      <c r="E47" s="13">
        <f>SE(A47="";E46;E46+SEERRO(C47;0)-SEERRO(D47;0))</f>
        <v/>
      </c>
    </row>
    <row r="48">
      <c r="A48" s="31">
        <f>_Consolidado!A46</f>
        <v/>
      </c>
      <c r="B48" s="4">
        <f>_Consolidado!B46</f>
        <v/>
      </c>
      <c r="C48" s="13">
        <f>_Consolidado!C46</f>
        <v/>
      </c>
      <c r="D48" s="13">
        <f>_Consolidado!D46</f>
        <v/>
      </c>
      <c r="E48" s="13">
        <f>SE(A48="";E47;E47+SEERRO(C48;0)-SEERRO(D48;0))</f>
        <v/>
      </c>
    </row>
    <row r="49">
      <c r="A49" s="31">
        <f>_Consolidado!A47</f>
        <v/>
      </c>
      <c r="B49" s="4">
        <f>_Consolidado!B47</f>
        <v/>
      </c>
      <c r="C49" s="13">
        <f>_Consolidado!C47</f>
        <v/>
      </c>
      <c r="D49" s="13">
        <f>_Consolidado!D47</f>
        <v/>
      </c>
      <c r="E49" s="13">
        <f>SE(A49="";E48;E48+SEERRO(C49;0)-SEERRO(D49;0))</f>
        <v/>
      </c>
    </row>
    <row r="50">
      <c r="A50" s="31">
        <f>_Consolidado!A48</f>
        <v/>
      </c>
      <c r="B50" s="4">
        <f>_Consolidado!B48</f>
        <v/>
      </c>
      <c r="C50" s="13">
        <f>_Consolidado!C48</f>
        <v/>
      </c>
      <c r="D50" s="13">
        <f>_Consolidado!D48</f>
        <v/>
      </c>
      <c r="E50" s="13">
        <f>SE(A50="";E49;E49+SEERRO(C50;0)-SEERRO(D50;0))</f>
        <v/>
      </c>
    </row>
    <row r="51">
      <c r="A51" s="31">
        <f>_Consolidado!A49</f>
        <v/>
      </c>
      <c r="B51" s="4">
        <f>_Consolidado!B49</f>
        <v/>
      </c>
      <c r="C51" s="13">
        <f>_Consolidado!C49</f>
        <v/>
      </c>
      <c r="D51" s="13">
        <f>_Consolidado!D49</f>
        <v/>
      </c>
      <c r="E51" s="13">
        <f>SE(A51="";E50;E50+SEERRO(C51;0)-SEERRO(D51;0))</f>
        <v/>
      </c>
    </row>
    <row r="52">
      <c r="A52" s="31">
        <f>_Consolidado!A50</f>
        <v/>
      </c>
      <c r="B52" s="4">
        <f>_Consolidado!B50</f>
        <v/>
      </c>
      <c r="C52" s="13">
        <f>_Consolidado!C50</f>
        <v/>
      </c>
      <c r="D52" s="13">
        <f>_Consolidado!D50</f>
        <v/>
      </c>
      <c r="E52" s="13">
        <f>SE(A52="";E51;E51+SEERRO(C52;0)-SEERRO(D52;0))</f>
        <v/>
      </c>
    </row>
    <row r="53">
      <c r="A53" s="31">
        <f>_Consolidado!A51</f>
        <v/>
      </c>
      <c r="B53" s="4">
        <f>_Consolidado!B51</f>
        <v/>
      </c>
      <c r="C53" s="13">
        <f>_Consolidado!C51</f>
        <v/>
      </c>
      <c r="D53" s="13">
        <f>_Consolidado!D51</f>
        <v/>
      </c>
      <c r="E53" s="13">
        <f>SE(A53="";E52;E52+SEERRO(C53;0)-SEERRO(D53;0))</f>
        <v/>
      </c>
    </row>
    <row r="54">
      <c r="A54" s="31">
        <f>_Consolidado!A52</f>
        <v/>
      </c>
      <c r="B54" s="4">
        <f>_Consolidado!B52</f>
        <v/>
      </c>
      <c r="C54" s="13">
        <f>_Consolidado!C52</f>
        <v/>
      </c>
      <c r="D54" s="13">
        <f>_Consolidado!D52</f>
        <v/>
      </c>
      <c r="E54" s="13">
        <f>SE(A54="";E53;E53+SEERRO(C54;0)-SEERRO(D54;0))</f>
        <v/>
      </c>
    </row>
    <row r="55">
      <c r="A55" s="31">
        <f>_Consolidado!A53</f>
        <v/>
      </c>
      <c r="B55" s="4">
        <f>_Consolidado!B53</f>
        <v/>
      </c>
      <c r="C55" s="13">
        <f>_Consolidado!C53</f>
        <v/>
      </c>
      <c r="D55" s="13">
        <f>_Consolidado!D53</f>
        <v/>
      </c>
      <c r="E55" s="13">
        <f>SE(A55="";E54;E54+SEERRO(C55;0)-SEERRO(D55;0))</f>
        <v/>
      </c>
    </row>
    <row r="56">
      <c r="A56" s="31">
        <f>_Consolidado!A54</f>
        <v/>
      </c>
      <c r="B56" s="4">
        <f>_Consolidado!B54</f>
        <v/>
      </c>
      <c r="C56" s="13">
        <f>_Consolidado!C54</f>
        <v/>
      </c>
      <c r="D56" s="13">
        <f>_Consolidado!D54</f>
        <v/>
      </c>
      <c r="E56" s="13">
        <f>SE(A56="";E55;E55+SEERRO(C56;0)-SEERRO(D56;0))</f>
        <v/>
      </c>
    </row>
    <row r="57">
      <c r="A57" s="31">
        <f>_Consolidado!A55</f>
        <v/>
      </c>
      <c r="B57" s="4">
        <f>_Consolidado!B55</f>
        <v/>
      </c>
      <c r="C57" s="13">
        <f>_Consolidado!C55</f>
        <v/>
      </c>
      <c r="D57" s="13">
        <f>_Consolidado!D55</f>
        <v/>
      </c>
      <c r="E57" s="13">
        <f>SE(A57="";E56;E56+SEERRO(C57;0)-SEERRO(D57;0))</f>
        <v/>
      </c>
    </row>
    <row r="58">
      <c r="A58" s="31">
        <f>_Consolidado!A56</f>
        <v/>
      </c>
      <c r="B58" s="4">
        <f>_Consolidado!B56</f>
        <v/>
      </c>
      <c r="C58" s="13">
        <f>_Consolidado!C56</f>
        <v/>
      </c>
      <c r="D58" s="13">
        <f>_Consolidado!D56</f>
        <v/>
      </c>
      <c r="E58" s="13">
        <f>SE(A58="";E57;E57+SEERRO(C58;0)-SEERRO(D58;0))</f>
        <v/>
      </c>
    </row>
    <row r="59">
      <c r="A59" s="31">
        <f>_Consolidado!A57</f>
        <v/>
      </c>
      <c r="B59" s="4">
        <f>_Consolidado!B57</f>
        <v/>
      </c>
      <c r="C59" s="13">
        <f>_Consolidado!C57</f>
        <v/>
      </c>
      <c r="D59" s="13">
        <f>_Consolidado!D57</f>
        <v/>
      </c>
      <c r="E59" s="13">
        <f>SE(A59="";E58;E58+SEERRO(C59;0)-SEERRO(D59;0))</f>
        <v/>
      </c>
    </row>
    <row r="60">
      <c r="A60" s="31">
        <f>_Consolidado!A58</f>
        <v/>
      </c>
      <c r="B60" s="4">
        <f>_Consolidado!B58</f>
        <v/>
      </c>
      <c r="C60" s="13">
        <f>_Consolidado!C58</f>
        <v/>
      </c>
      <c r="D60" s="13">
        <f>_Consolidado!D58</f>
        <v/>
      </c>
      <c r="E60" s="13">
        <f>SE(A60="";E59;E59+SEERRO(C60;0)-SEERRO(D60;0))</f>
        <v/>
      </c>
    </row>
    <row r="61">
      <c r="A61" s="31">
        <f>_Consolidado!A59</f>
        <v/>
      </c>
      <c r="B61" s="4">
        <f>_Consolidado!B59</f>
        <v/>
      </c>
      <c r="C61" s="13">
        <f>_Consolidado!C59</f>
        <v/>
      </c>
      <c r="D61" s="13">
        <f>_Consolidado!D59</f>
        <v/>
      </c>
      <c r="E61" s="13">
        <f>SE(A61="";E60;E60+SEERRO(C61;0)-SEERRO(D61;0))</f>
        <v/>
      </c>
    </row>
    <row r="62">
      <c r="A62" s="31">
        <f>_Consolidado!A60</f>
        <v/>
      </c>
      <c r="B62" s="4">
        <f>_Consolidado!B60</f>
        <v/>
      </c>
      <c r="C62" s="13">
        <f>_Consolidado!C60</f>
        <v/>
      </c>
      <c r="D62" s="13">
        <f>_Consolidado!D60</f>
        <v/>
      </c>
      <c r="E62" s="13">
        <f>SE(A62="";E61;E61+SEERRO(C62;0)-SEERRO(D62;0))</f>
        <v/>
      </c>
    </row>
    <row r="63">
      <c r="A63" s="31">
        <f>_Consolidado!A61</f>
        <v/>
      </c>
      <c r="B63" s="4">
        <f>_Consolidado!B61</f>
        <v/>
      </c>
      <c r="C63" s="13">
        <f>_Consolidado!C61</f>
        <v/>
      </c>
      <c r="D63" s="13">
        <f>_Consolidado!D61</f>
        <v/>
      </c>
      <c r="E63" s="13">
        <f>SE(A63="";E62;E62+SEERRO(C63;0)-SEERRO(D63;0))</f>
        <v/>
      </c>
    </row>
    <row r="64">
      <c r="A64" s="31">
        <f>_Consolidado!A62</f>
        <v/>
      </c>
      <c r="B64" s="4">
        <f>_Consolidado!B62</f>
        <v/>
      </c>
      <c r="C64" s="13">
        <f>_Consolidado!C62</f>
        <v/>
      </c>
      <c r="D64" s="13">
        <f>_Consolidado!D62</f>
        <v/>
      </c>
      <c r="E64" s="13">
        <f>SE(A64="";E63;E63+SEERRO(C64;0)-SEERRO(D64;0))</f>
        <v/>
      </c>
    </row>
    <row r="65">
      <c r="A65" s="31">
        <f>_Consolidado!A63</f>
        <v/>
      </c>
      <c r="B65" s="4">
        <f>_Consolidado!B63</f>
        <v/>
      </c>
      <c r="C65" s="13">
        <f>_Consolidado!C63</f>
        <v/>
      </c>
      <c r="D65" s="13">
        <f>_Consolidado!D63</f>
        <v/>
      </c>
      <c r="E65" s="13">
        <f>SE(A65="";E64;E64+SEERRO(C65;0)-SEERRO(D65;0))</f>
        <v/>
      </c>
    </row>
    <row r="66">
      <c r="A66" s="31">
        <f>_Consolidado!A64</f>
        <v/>
      </c>
      <c r="B66" s="4">
        <f>_Consolidado!B64</f>
        <v/>
      </c>
      <c r="C66" s="13">
        <f>_Consolidado!C64</f>
        <v/>
      </c>
      <c r="D66" s="13">
        <f>_Consolidado!D64</f>
        <v/>
      </c>
      <c r="E66" s="13">
        <f>SE(A66="";E65;E65+SEERRO(C66;0)-SEERRO(D66;0))</f>
        <v/>
      </c>
    </row>
    <row r="67">
      <c r="A67" s="31">
        <f>_Consolidado!A65</f>
        <v/>
      </c>
      <c r="B67" s="4">
        <f>_Consolidado!B65</f>
        <v/>
      </c>
      <c r="C67" s="13">
        <f>_Consolidado!C65</f>
        <v/>
      </c>
      <c r="D67" s="13">
        <f>_Consolidado!D65</f>
        <v/>
      </c>
      <c r="E67" s="13">
        <f>SE(A67="";E66;E66+SEERRO(C67;0)-SEERRO(D67;0))</f>
        <v/>
      </c>
    </row>
    <row r="68">
      <c r="A68" s="31">
        <f>_Consolidado!A66</f>
        <v/>
      </c>
      <c r="B68" s="4">
        <f>_Consolidado!B66</f>
        <v/>
      </c>
      <c r="C68" s="13">
        <f>_Consolidado!C66</f>
        <v/>
      </c>
      <c r="D68" s="13">
        <f>_Consolidado!D66</f>
        <v/>
      </c>
      <c r="E68" s="13">
        <f>SE(A68="";E67;E67+SEERRO(C68;0)-SEERRO(D68;0))</f>
        <v/>
      </c>
    </row>
    <row r="69">
      <c r="A69" s="31">
        <f>_Consolidado!A67</f>
        <v/>
      </c>
      <c r="B69" s="4">
        <f>_Consolidado!B67</f>
        <v/>
      </c>
      <c r="C69" s="13">
        <f>_Consolidado!C67</f>
        <v/>
      </c>
      <c r="D69" s="13">
        <f>_Consolidado!D67</f>
        <v/>
      </c>
      <c r="E69" s="13">
        <f>SE(A69="";E68;E68+SEERRO(C69;0)-SEERRO(D69;0))</f>
        <v/>
      </c>
    </row>
    <row r="70">
      <c r="A70" s="31">
        <f>_Consolidado!A68</f>
        <v/>
      </c>
      <c r="B70" s="4">
        <f>_Consolidado!B68</f>
        <v/>
      </c>
      <c r="C70" s="13">
        <f>_Consolidado!C68</f>
        <v/>
      </c>
      <c r="D70" s="13">
        <f>_Consolidado!D68</f>
        <v/>
      </c>
      <c r="E70" s="13">
        <f>SE(A70="";E69;E69+SEERRO(C70;0)-SEERRO(D70;0))</f>
        <v/>
      </c>
    </row>
    <row r="71">
      <c r="A71" s="31">
        <f>_Consolidado!A69</f>
        <v/>
      </c>
      <c r="B71" s="4">
        <f>_Consolidado!B69</f>
        <v/>
      </c>
      <c r="C71" s="13">
        <f>_Consolidado!C69</f>
        <v/>
      </c>
      <c r="D71" s="13">
        <f>_Consolidado!D69</f>
        <v/>
      </c>
      <c r="E71" s="13">
        <f>SE(A71="";E70;E70+SEERRO(C71;0)-SEERRO(D71;0))</f>
        <v/>
      </c>
    </row>
    <row r="72">
      <c r="A72" s="31">
        <f>_Consolidado!A70</f>
        <v/>
      </c>
      <c r="B72" s="4">
        <f>_Consolidado!B70</f>
        <v/>
      </c>
      <c r="C72" s="13">
        <f>_Consolidado!C70</f>
        <v/>
      </c>
      <c r="D72" s="13">
        <f>_Consolidado!D70</f>
        <v/>
      </c>
      <c r="E72" s="13">
        <f>SE(A72="";E71;E71+SEERRO(C72;0)-SEERRO(D72;0))</f>
        <v/>
      </c>
    </row>
    <row r="73">
      <c r="A73" s="31">
        <f>_Consolidado!A71</f>
        <v/>
      </c>
      <c r="B73" s="4">
        <f>_Consolidado!B71</f>
        <v/>
      </c>
      <c r="C73" s="13">
        <f>_Consolidado!C71</f>
        <v/>
      </c>
      <c r="D73" s="13">
        <f>_Consolidado!D71</f>
        <v/>
      </c>
      <c r="E73" s="13">
        <f>SE(A73="";E72;E72+SEERRO(C73;0)-SEERRO(D73;0))</f>
        <v/>
      </c>
    </row>
    <row r="74">
      <c r="A74" s="31">
        <f>_Consolidado!A72</f>
        <v/>
      </c>
      <c r="B74" s="4">
        <f>_Consolidado!B72</f>
        <v/>
      </c>
      <c r="C74" s="13">
        <f>_Consolidado!C72</f>
        <v/>
      </c>
      <c r="D74" s="13">
        <f>_Consolidado!D72</f>
        <v/>
      </c>
      <c r="E74" s="13">
        <f>SE(A74="";E73;E73+SEERRO(C74;0)-SEERRO(D74;0))</f>
        <v/>
      </c>
    </row>
    <row r="75">
      <c r="A75" s="31">
        <f>_Consolidado!A73</f>
        <v/>
      </c>
      <c r="B75" s="4">
        <f>_Consolidado!B73</f>
        <v/>
      </c>
      <c r="C75" s="13">
        <f>_Consolidado!C73</f>
        <v/>
      </c>
      <c r="D75" s="13">
        <f>_Consolidado!D73</f>
        <v/>
      </c>
      <c r="E75" s="13">
        <f>SE(A75="";E74;E74+SEERRO(C75;0)-SEERRO(D75;0))</f>
        <v/>
      </c>
    </row>
    <row r="76">
      <c r="A76" s="31">
        <f>_Consolidado!A74</f>
        <v/>
      </c>
      <c r="B76" s="4">
        <f>_Consolidado!B74</f>
        <v/>
      </c>
      <c r="C76" s="13">
        <f>_Consolidado!C74</f>
        <v/>
      </c>
      <c r="D76" s="13">
        <f>_Consolidado!D74</f>
        <v/>
      </c>
      <c r="E76" s="13">
        <f>SE(A76="";E75;E75+SEERRO(C76;0)-SEERRO(D76;0))</f>
        <v/>
      </c>
    </row>
    <row r="77">
      <c r="A77" s="31">
        <f>_Consolidado!A75</f>
        <v/>
      </c>
      <c r="B77" s="4">
        <f>_Consolidado!B75</f>
        <v/>
      </c>
      <c r="C77" s="13">
        <f>_Consolidado!C75</f>
        <v/>
      </c>
      <c r="D77" s="13">
        <f>_Consolidado!D75</f>
        <v/>
      </c>
      <c r="E77" s="13">
        <f>SE(A77="";E76;E76+SEERRO(C77;0)-SEERRO(D77;0))</f>
        <v/>
      </c>
    </row>
    <row r="78">
      <c r="A78" s="31">
        <f>_Consolidado!A76</f>
        <v/>
      </c>
      <c r="B78" s="4">
        <f>_Consolidado!B76</f>
        <v/>
      </c>
      <c r="C78" s="13">
        <f>_Consolidado!C76</f>
        <v/>
      </c>
      <c r="D78" s="13">
        <f>_Consolidado!D76</f>
        <v/>
      </c>
      <c r="E78" s="13">
        <f>SE(A78="";E77;E77+SEERRO(C78;0)-SEERRO(D78;0))</f>
        <v/>
      </c>
    </row>
    <row r="79">
      <c r="A79" s="31">
        <f>_Consolidado!A77</f>
        <v/>
      </c>
      <c r="B79" s="4">
        <f>_Consolidado!B77</f>
        <v/>
      </c>
      <c r="C79" s="13">
        <f>_Consolidado!C77</f>
        <v/>
      </c>
      <c r="D79" s="13">
        <f>_Consolidado!D77</f>
        <v/>
      </c>
      <c r="E79" s="13">
        <f>SE(A79="";E78;E78+SEERRO(C79;0)-SEERRO(D79;0))</f>
        <v/>
      </c>
    </row>
    <row r="80">
      <c r="A80" s="31">
        <f>_Consolidado!A78</f>
        <v/>
      </c>
      <c r="B80" s="4">
        <f>_Consolidado!B78</f>
        <v/>
      </c>
      <c r="C80" s="13">
        <f>_Consolidado!C78</f>
        <v/>
      </c>
      <c r="D80" s="13">
        <f>_Consolidado!D78</f>
        <v/>
      </c>
      <c r="E80" s="13">
        <f>SE(A80="";E79;E79+SEERRO(C80;0)-SEERRO(D80;0))</f>
        <v/>
      </c>
    </row>
    <row r="81">
      <c r="A81" s="31">
        <f>_Consolidado!A79</f>
        <v/>
      </c>
      <c r="B81" s="4">
        <f>_Consolidado!B79</f>
        <v/>
      </c>
      <c r="C81" s="13">
        <f>_Consolidado!C79</f>
        <v/>
      </c>
      <c r="D81" s="13">
        <f>_Consolidado!D79</f>
        <v/>
      </c>
      <c r="E81" s="13">
        <f>SE(A81="";E80;E80+SEERRO(C81;0)-SEERRO(D81;0))</f>
        <v/>
      </c>
    </row>
    <row r="82">
      <c r="A82" s="31">
        <f>_Consolidado!A80</f>
        <v/>
      </c>
      <c r="B82" s="4">
        <f>_Consolidado!B80</f>
        <v/>
      </c>
      <c r="C82" s="13">
        <f>_Consolidado!C80</f>
        <v/>
      </c>
      <c r="D82" s="13">
        <f>_Consolidado!D80</f>
        <v/>
      </c>
      <c r="E82" s="13">
        <f>SE(A82="";E81;E81+SEERRO(C82;0)-SEERRO(D82;0))</f>
        <v/>
      </c>
    </row>
    <row r="83">
      <c r="A83" s="31">
        <f>_Consolidado!A81</f>
        <v/>
      </c>
      <c r="B83" s="4">
        <f>_Consolidado!B81</f>
        <v/>
      </c>
      <c r="C83" s="13">
        <f>_Consolidado!C81</f>
        <v/>
      </c>
      <c r="D83" s="13">
        <f>_Consolidado!D81</f>
        <v/>
      </c>
      <c r="E83" s="13">
        <f>SE(A83="";E82;E82+SEERRO(C83;0)-SEERRO(D83;0))</f>
        <v/>
      </c>
    </row>
    <row r="84">
      <c r="A84" s="31">
        <f>_Consolidado!A82</f>
        <v/>
      </c>
      <c r="B84" s="4">
        <f>_Consolidado!B82</f>
        <v/>
      </c>
      <c r="C84" s="13">
        <f>_Consolidado!C82</f>
        <v/>
      </c>
      <c r="D84" s="13">
        <f>_Consolidado!D82</f>
        <v/>
      </c>
      <c r="E84" s="13">
        <f>SE(A84="";E83;E83+SEERRO(C84;0)-SEERRO(D84;0))</f>
        <v/>
      </c>
    </row>
    <row r="85">
      <c r="A85" s="31">
        <f>_Consolidado!A83</f>
        <v/>
      </c>
      <c r="B85" s="4">
        <f>_Consolidado!B83</f>
        <v/>
      </c>
      <c r="C85" s="13">
        <f>_Consolidado!C83</f>
        <v/>
      </c>
      <c r="D85" s="13">
        <f>_Consolidado!D83</f>
        <v/>
      </c>
      <c r="E85" s="13">
        <f>SE(A85="";E84;E84+SEERRO(C85;0)-SEERRO(D85;0))</f>
        <v/>
      </c>
    </row>
    <row r="86">
      <c r="A86" s="31">
        <f>_Consolidado!A84</f>
        <v/>
      </c>
      <c r="B86" s="4">
        <f>_Consolidado!B84</f>
        <v/>
      </c>
      <c r="C86" s="13">
        <f>_Consolidado!C84</f>
        <v/>
      </c>
      <c r="D86" s="13">
        <f>_Consolidado!D84</f>
        <v/>
      </c>
      <c r="E86" s="13">
        <f>SE(A86="";E85;E85+SEERRO(C86;0)-SEERRO(D86;0))</f>
        <v/>
      </c>
    </row>
    <row r="87">
      <c r="A87" s="31">
        <f>_Consolidado!A85</f>
        <v/>
      </c>
      <c r="B87" s="4">
        <f>_Consolidado!B85</f>
        <v/>
      </c>
      <c r="C87" s="13">
        <f>_Consolidado!C85</f>
        <v/>
      </c>
      <c r="D87" s="13">
        <f>_Consolidado!D85</f>
        <v/>
      </c>
      <c r="E87" s="13">
        <f>SE(A87="";E86;E86+SEERRO(C87;0)-SEERRO(D87;0))</f>
        <v/>
      </c>
    </row>
    <row r="88">
      <c r="A88" s="31">
        <f>_Consolidado!A86</f>
        <v/>
      </c>
      <c r="B88" s="4">
        <f>_Consolidado!B86</f>
        <v/>
      </c>
      <c r="C88" s="13">
        <f>_Consolidado!C86</f>
        <v/>
      </c>
      <c r="D88" s="13">
        <f>_Consolidado!D86</f>
        <v/>
      </c>
      <c r="E88" s="13">
        <f>SE(A88="";E87;E87+SEERRO(C88;0)-SEERRO(D88;0))</f>
        <v/>
      </c>
    </row>
    <row r="89">
      <c r="A89" s="31">
        <f>_Consolidado!A87</f>
        <v/>
      </c>
      <c r="B89" s="4">
        <f>_Consolidado!B87</f>
        <v/>
      </c>
      <c r="C89" s="13">
        <f>_Consolidado!C87</f>
        <v/>
      </c>
      <c r="D89" s="13">
        <f>_Consolidado!D87</f>
        <v/>
      </c>
      <c r="E89" s="13">
        <f>SE(A89="";E88;E88+SEERRO(C89;0)-SEERRO(D89;0))</f>
        <v/>
      </c>
    </row>
    <row r="90">
      <c r="A90" s="31">
        <f>_Consolidado!A88</f>
        <v/>
      </c>
      <c r="B90" s="4">
        <f>_Consolidado!B88</f>
        <v/>
      </c>
      <c r="C90" s="13">
        <f>_Consolidado!C88</f>
        <v/>
      </c>
      <c r="D90" s="13">
        <f>_Consolidado!D88</f>
        <v/>
      </c>
      <c r="E90" s="13">
        <f>SE(A90="";E89;E89+SEERRO(C90;0)-SEERRO(D90;0))</f>
        <v/>
      </c>
    </row>
    <row r="91">
      <c r="A91" s="31">
        <f>_Consolidado!A89</f>
        <v/>
      </c>
      <c r="B91" s="4">
        <f>_Consolidado!B89</f>
        <v/>
      </c>
      <c r="C91" s="13">
        <f>_Consolidado!C89</f>
        <v/>
      </c>
      <c r="D91" s="13">
        <f>_Consolidado!D89</f>
        <v/>
      </c>
      <c r="E91" s="13">
        <f>SE(A91="";E90;E90+SEERRO(C91;0)-SEERRO(D91;0))</f>
        <v/>
      </c>
    </row>
    <row r="92">
      <c r="A92" s="31">
        <f>_Consolidado!A90</f>
        <v/>
      </c>
      <c r="B92" s="4">
        <f>_Consolidado!B90</f>
        <v/>
      </c>
      <c r="C92" s="13">
        <f>_Consolidado!C90</f>
        <v/>
      </c>
      <c r="D92" s="13">
        <f>_Consolidado!D90</f>
        <v/>
      </c>
      <c r="E92" s="13">
        <f>SE(A92="";E91;E91+SEERRO(C92;0)-SEERRO(D92;0))</f>
        <v/>
      </c>
    </row>
    <row r="93">
      <c r="A93" s="31">
        <f>_Consolidado!A91</f>
        <v/>
      </c>
      <c r="B93" s="4">
        <f>_Consolidado!B91</f>
        <v/>
      </c>
      <c r="C93" s="13">
        <f>_Consolidado!C91</f>
        <v/>
      </c>
      <c r="D93" s="13">
        <f>_Consolidado!D91</f>
        <v/>
      </c>
      <c r="E93" s="13">
        <f>SE(A93="";E92;E92+SEERRO(C93;0)-SEERRO(D93;0))</f>
        <v/>
      </c>
    </row>
    <row r="94">
      <c r="A94" s="31">
        <f>_Consolidado!A92</f>
        <v/>
      </c>
      <c r="B94" s="4">
        <f>_Consolidado!B92</f>
        <v/>
      </c>
      <c r="C94" s="13">
        <f>_Consolidado!C92</f>
        <v/>
      </c>
      <c r="D94" s="13">
        <f>_Consolidado!D92</f>
        <v/>
      </c>
      <c r="E94" s="13">
        <f>SE(A94="";E93;E93+SEERRO(C94;0)-SEERRO(D94;0))</f>
        <v/>
      </c>
    </row>
    <row r="95">
      <c r="A95" s="31">
        <f>_Consolidado!A93</f>
        <v/>
      </c>
      <c r="B95" s="4">
        <f>_Consolidado!B93</f>
        <v/>
      </c>
      <c r="C95" s="13">
        <f>_Consolidado!C93</f>
        <v/>
      </c>
      <c r="D95" s="13">
        <f>_Consolidado!D93</f>
        <v/>
      </c>
      <c r="E95" s="13">
        <f>SE(A95="";E94;E94+SEERRO(C95;0)-SEERRO(D95;0))</f>
        <v/>
      </c>
    </row>
    <row r="96">
      <c r="A96" s="31">
        <f>_Consolidado!A94</f>
        <v/>
      </c>
      <c r="B96" s="4">
        <f>_Consolidado!B94</f>
        <v/>
      </c>
      <c r="C96" s="13">
        <f>_Consolidado!C94</f>
        <v/>
      </c>
      <c r="D96" s="13">
        <f>_Consolidado!D94</f>
        <v/>
      </c>
      <c r="E96" s="13">
        <f>SE(A96="";E95;E95+SEERRO(C96;0)-SEERRO(D96;0))</f>
        <v/>
      </c>
    </row>
    <row r="97">
      <c r="A97" s="31">
        <f>_Consolidado!A95</f>
        <v/>
      </c>
      <c r="B97" s="4">
        <f>_Consolidado!B95</f>
        <v/>
      </c>
      <c r="C97" s="13">
        <f>_Consolidado!C95</f>
        <v/>
      </c>
      <c r="D97" s="13">
        <f>_Consolidado!D95</f>
        <v/>
      </c>
      <c r="E97" s="13">
        <f>SE(A97="";E96;E96+SEERRO(C97;0)-SEERRO(D97;0))</f>
        <v/>
      </c>
    </row>
    <row r="98">
      <c r="A98" s="31">
        <f>_Consolidado!A96</f>
        <v/>
      </c>
      <c r="B98" s="4">
        <f>_Consolidado!B96</f>
        <v/>
      </c>
      <c r="C98" s="13">
        <f>_Consolidado!C96</f>
        <v/>
      </c>
      <c r="D98" s="13">
        <f>_Consolidado!D96</f>
        <v/>
      </c>
      <c r="E98" s="13">
        <f>SE(A98="";E97;E97+SEERRO(C98;0)-SEERRO(D98;0))</f>
        <v/>
      </c>
    </row>
    <row r="99">
      <c r="A99" s="31">
        <f>_Consolidado!A97</f>
        <v/>
      </c>
      <c r="B99" s="4">
        <f>_Consolidado!B97</f>
        <v/>
      </c>
      <c r="C99" s="13">
        <f>_Consolidado!C97</f>
        <v/>
      </c>
      <c r="D99" s="13">
        <f>_Consolidado!D97</f>
        <v/>
      </c>
      <c r="E99" s="13">
        <f>SE(A99="";E98;E98+SEERRO(C99;0)-SEERRO(D99;0))</f>
        <v/>
      </c>
    </row>
    <row r="100">
      <c r="A100" s="31">
        <f>_Consolidado!A98</f>
        <v/>
      </c>
      <c r="B100" s="4">
        <f>_Consolidado!B98</f>
        <v/>
      </c>
      <c r="C100" s="13">
        <f>_Consolidado!C98</f>
        <v/>
      </c>
      <c r="D100" s="13">
        <f>_Consolidado!D98</f>
        <v/>
      </c>
      <c r="E100" s="13">
        <f>SE(A100="";E99;E99+SEERRO(C100;0)-SEERRO(D100;0))</f>
        <v/>
      </c>
    </row>
    <row r="101">
      <c r="A101" s="31">
        <f>_Consolidado!A99</f>
        <v/>
      </c>
      <c r="B101" s="4">
        <f>_Consolidado!B99</f>
        <v/>
      </c>
      <c r="C101" s="13">
        <f>_Consolidado!C99</f>
        <v/>
      </c>
      <c r="D101" s="13">
        <f>_Consolidado!D99</f>
        <v/>
      </c>
      <c r="E101" s="13">
        <f>SE(A101="";E100;E100+SEERRO(C101;0)-SEERRO(D101;0))</f>
        <v/>
      </c>
    </row>
    <row r="102">
      <c r="A102" s="31">
        <f>_Consolidado!A100</f>
        <v/>
      </c>
      <c r="B102" s="4">
        <f>_Consolidado!B100</f>
        <v/>
      </c>
      <c r="C102" s="13">
        <f>_Consolidado!C100</f>
        <v/>
      </c>
      <c r="D102" s="13">
        <f>_Consolidado!D100</f>
        <v/>
      </c>
      <c r="E102" s="13">
        <f>SE(A102="";E101;E101+SEERRO(C102;0)-SEERRO(D102;0))</f>
        <v/>
      </c>
    </row>
    <row r="103">
      <c r="A103" s="31">
        <f>_Consolidado!A101</f>
        <v/>
      </c>
      <c r="B103" s="4">
        <f>_Consolidado!B101</f>
        <v/>
      </c>
      <c r="C103" s="13">
        <f>_Consolidado!C101</f>
        <v/>
      </c>
      <c r="D103" s="13">
        <f>_Consolidado!D101</f>
        <v/>
      </c>
      <c r="E103" s="13">
        <f>SE(A103="";E102;E102+SEERRO(C103;0)-SEERRO(D103;0))</f>
        <v/>
      </c>
    </row>
    <row r="104">
      <c r="A104" s="31">
        <f>_Consolidado!A102</f>
        <v/>
      </c>
      <c r="B104" s="4">
        <f>_Consolidado!B102</f>
        <v/>
      </c>
      <c r="C104" s="13">
        <f>_Consolidado!C102</f>
        <v/>
      </c>
      <c r="D104" s="13">
        <f>_Consolidado!D102</f>
        <v/>
      </c>
      <c r="E104" s="13">
        <f>SE(A104="";E103;E103+SEERRO(C104;0)-SEERRO(D104;0))</f>
        <v/>
      </c>
    </row>
    <row r="105">
      <c r="A105" s="31">
        <f>_Consolidado!A103</f>
        <v/>
      </c>
      <c r="B105" s="4">
        <f>_Consolidado!B103</f>
        <v/>
      </c>
      <c r="C105" s="13">
        <f>_Consolidado!C103</f>
        <v/>
      </c>
      <c r="D105" s="13">
        <f>_Consolidado!D103</f>
        <v/>
      </c>
      <c r="E105" s="13">
        <f>SE(A105="";E104;E104+SEERRO(C105;0)-SEERRO(D105;0))</f>
        <v/>
      </c>
    </row>
    <row r="106">
      <c r="A106" s="31">
        <f>_Consolidado!A104</f>
        <v/>
      </c>
      <c r="B106" s="4">
        <f>_Consolidado!B104</f>
        <v/>
      </c>
      <c r="C106" s="13">
        <f>_Consolidado!C104</f>
        <v/>
      </c>
      <c r="D106" s="13">
        <f>_Consolidado!D104</f>
        <v/>
      </c>
      <c r="E106" s="13">
        <f>SE(A106="";E105;E105+SEERRO(C106;0)-SEERRO(D106;0))</f>
        <v/>
      </c>
    </row>
    <row r="107">
      <c r="A107" s="31">
        <f>_Consolidado!A105</f>
        <v/>
      </c>
      <c r="B107" s="4">
        <f>_Consolidado!B105</f>
        <v/>
      </c>
      <c r="C107" s="13">
        <f>_Consolidado!C105</f>
        <v/>
      </c>
      <c r="D107" s="13">
        <f>_Consolidado!D105</f>
        <v/>
      </c>
      <c r="E107" s="13">
        <f>SE(A107="";E106;E106+SEERRO(C107;0)-SEERRO(D107;0))</f>
        <v/>
      </c>
    </row>
    <row r="108">
      <c r="A108" s="31">
        <f>_Consolidado!A106</f>
        <v/>
      </c>
      <c r="B108" s="4">
        <f>_Consolidado!B106</f>
        <v/>
      </c>
      <c r="C108" s="13">
        <f>_Consolidado!C106</f>
        <v/>
      </c>
      <c r="D108" s="13">
        <f>_Consolidado!D106</f>
        <v/>
      </c>
      <c r="E108" s="13">
        <f>SE(A108="";E107;E107+SEERRO(C108;0)-SEERRO(D108;0))</f>
        <v/>
      </c>
    </row>
    <row r="109">
      <c r="A109" s="31">
        <f>_Consolidado!A107</f>
        <v/>
      </c>
      <c r="B109" s="4">
        <f>_Consolidado!B107</f>
        <v/>
      </c>
      <c r="C109" s="13">
        <f>_Consolidado!C107</f>
        <v/>
      </c>
      <c r="D109" s="13">
        <f>_Consolidado!D107</f>
        <v/>
      </c>
      <c r="E109" s="13">
        <f>SE(A109="";E108;E108+SEERRO(C109;0)-SEERRO(D109;0))</f>
        <v/>
      </c>
    </row>
    <row r="110">
      <c r="A110" s="31">
        <f>_Consolidado!A108</f>
        <v/>
      </c>
      <c r="B110" s="4">
        <f>_Consolidado!B108</f>
        <v/>
      </c>
      <c r="C110" s="13">
        <f>_Consolidado!C108</f>
        <v/>
      </c>
      <c r="D110" s="13">
        <f>_Consolidado!D108</f>
        <v/>
      </c>
      <c r="E110" s="13">
        <f>SE(A110="";E109;E109+SEERRO(C110;0)-SEERRO(D110;0))</f>
        <v/>
      </c>
    </row>
    <row r="111">
      <c r="A111" s="31">
        <f>_Consolidado!A109</f>
        <v/>
      </c>
      <c r="B111" s="4">
        <f>_Consolidado!B109</f>
        <v/>
      </c>
      <c r="C111" s="13">
        <f>_Consolidado!C109</f>
        <v/>
      </c>
      <c r="D111" s="13">
        <f>_Consolidado!D109</f>
        <v/>
      </c>
      <c r="E111" s="13">
        <f>SE(A111="";E110;E110+SEERRO(C111;0)-SEERRO(D111;0))</f>
        <v/>
      </c>
    </row>
    <row r="112">
      <c r="A112" s="31">
        <f>_Consolidado!A110</f>
        <v/>
      </c>
      <c r="B112" s="4">
        <f>_Consolidado!B110</f>
        <v/>
      </c>
      <c r="C112" s="13">
        <f>_Consolidado!C110</f>
        <v/>
      </c>
      <c r="D112" s="13">
        <f>_Consolidado!D110</f>
        <v/>
      </c>
      <c r="E112" s="13">
        <f>SE(A112="";E111;E111+SEERRO(C112;0)-SEERRO(D112;0))</f>
        <v/>
      </c>
    </row>
    <row r="113">
      <c r="A113" s="31">
        <f>_Consolidado!A111</f>
        <v/>
      </c>
      <c r="B113" s="4">
        <f>_Consolidado!B111</f>
        <v/>
      </c>
      <c r="C113" s="13">
        <f>_Consolidado!C111</f>
        <v/>
      </c>
      <c r="D113" s="13">
        <f>_Consolidado!D111</f>
        <v/>
      </c>
      <c r="E113" s="13">
        <f>SE(A113="";E112;E112+SEERRO(C113;0)-SEERRO(D113;0))</f>
        <v/>
      </c>
    </row>
    <row r="114">
      <c r="A114" s="31">
        <f>_Consolidado!A112</f>
        <v/>
      </c>
      <c r="B114" s="4">
        <f>_Consolidado!B112</f>
        <v/>
      </c>
      <c r="C114" s="13">
        <f>_Consolidado!C112</f>
        <v/>
      </c>
      <c r="D114" s="13">
        <f>_Consolidado!D112</f>
        <v/>
      </c>
      <c r="E114" s="13">
        <f>SE(A114="";E113;E113+SEERRO(C114;0)-SEERRO(D114;0))</f>
        <v/>
      </c>
    </row>
    <row r="115">
      <c r="A115" s="31">
        <f>_Consolidado!A113</f>
        <v/>
      </c>
      <c r="B115" s="4">
        <f>_Consolidado!B113</f>
        <v/>
      </c>
      <c r="C115" s="13">
        <f>_Consolidado!C113</f>
        <v/>
      </c>
      <c r="D115" s="13">
        <f>_Consolidado!D113</f>
        <v/>
      </c>
      <c r="E115" s="13">
        <f>SE(A115="";E114;E114+SEERRO(C115;0)-SEERRO(D115;0))</f>
        <v/>
      </c>
    </row>
    <row r="116">
      <c r="A116" s="31">
        <f>_Consolidado!A114</f>
        <v/>
      </c>
      <c r="B116" s="4">
        <f>_Consolidado!B114</f>
        <v/>
      </c>
      <c r="C116" s="13">
        <f>_Consolidado!C114</f>
        <v/>
      </c>
      <c r="D116" s="13">
        <f>_Consolidado!D114</f>
        <v/>
      </c>
      <c r="E116" s="13">
        <f>SE(A116="";E115;E115+SEERRO(C116;0)-SEERRO(D116;0))</f>
        <v/>
      </c>
    </row>
    <row r="117">
      <c r="A117" s="31">
        <f>_Consolidado!A115</f>
        <v/>
      </c>
      <c r="B117" s="4">
        <f>_Consolidado!B115</f>
        <v/>
      </c>
      <c r="C117" s="13">
        <f>_Consolidado!C115</f>
        <v/>
      </c>
      <c r="D117" s="13">
        <f>_Consolidado!D115</f>
        <v/>
      </c>
      <c r="E117" s="13">
        <f>SE(A117="";E116;E116+SEERRO(C117;0)-SEERRO(D117;0))</f>
        <v/>
      </c>
    </row>
    <row r="118">
      <c r="A118" s="31">
        <f>_Consolidado!A116</f>
        <v/>
      </c>
      <c r="B118" s="4">
        <f>_Consolidado!B116</f>
        <v/>
      </c>
      <c r="C118" s="13">
        <f>_Consolidado!C116</f>
        <v/>
      </c>
      <c r="D118" s="13">
        <f>_Consolidado!D116</f>
        <v/>
      </c>
      <c r="E118" s="13">
        <f>SE(A118="";E117;E117+SEERRO(C118;0)-SEERRO(D118;0))</f>
        <v/>
      </c>
    </row>
    <row r="119">
      <c r="A119" s="31">
        <f>_Consolidado!A117</f>
        <v/>
      </c>
      <c r="B119" s="4">
        <f>_Consolidado!B117</f>
        <v/>
      </c>
      <c r="C119" s="13">
        <f>_Consolidado!C117</f>
        <v/>
      </c>
      <c r="D119" s="13">
        <f>_Consolidado!D117</f>
        <v/>
      </c>
      <c r="E119" s="13">
        <f>SE(A119="";E118;E118+SEERRO(C119;0)-SEERRO(D119;0))</f>
        <v/>
      </c>
    </row>
    <row r="120">
      <c r="A120" s="31">
        <f>_Consolidado!A118</f>
        <v/>
      </c>
      <c r="B120" s="4">
        <f>_Consolidado!B118</f>
        <v/>
      </c>
      <c r="C120" s="13">
        <f>_Consolidado!C118</f>
        <v/>
      </c>
      <c r="D120" s="13">
        <f>_Consolidado!D118</f>
        <v/>
      </c>
      <c r="E120" s="13">
        <f>SE(A120="";E119;E119+SEERRO(C120;0)-SEERRO(D120;0))</f>
        <v/>
      </c>
    </row>
    <row r="121">
      <c r="A121" s="31">
        <f>_Consolidado!A119</f>
        <v/>
      </c>
      <c r="B121" s="4">
        <f>_Consolidado!B119</f>
        <v/>
      </c>
      <c r="C121" s="13">
        <f>_Consolidado!C119</f>
        <v/>
      </c>
      <c r="D121" s="13">
        <f>_Consolidado!D119</f>
        <v/>
      </c>
      <c r="E121" s="13">
        <f>SE(A121="";E120;E120+SEERRO(C121;0)-SEERRO(D121;0))</f>
        <v/>
      </c>
    </row>
    <row r="122">
      <c r="A122" s="31">
        <f>_Consolidado!A120</f>
        <v/>
      </c>
      <c r="B122" s="4">
        <f>_Consolidado!B120</f>
        <v/>
      </c>
      <c r="C122" s="13">
        <f>_Consolidado!C120</f>
        <v/>
      </c>
      <c r="D122" s="13">
        <f>_Consolidado!D120</f>
        <v/>
      </c>
      <c r="E122" s="13">
        <f>SE(A122="";E121;E121+SEERRO(C122;0)-SEERRO(D122;0))</f>
        <v/>
      </c>
    </row>
    <row r="123">
      <c r="A123" s="31">
        <f>_Consolidado!A121</f>
        <v/>
      </c>
      <c r="B123" s="4">
        <f>_Consolidado!B121</f>
        <v/>
      </c>
      <c r="C123" s="13">
        <f>_Consolidado!C121</f>
        <v/>
      </c>
      <c r="D123" s="13">
        <f>_Consolidado!D121</f>
        <v/>
      </c>
      <c r="E123" s="13">
        <f>SE(A123="";E122;E122+SEERRO(C123;0)-SEERRO(D123;0))</f>
        <v/>
      </c>
    </row>
    <row r="124">
      <c r="A124" s="31">
        <f>_Consolidado!A122</f>
        <v/>
      </c>
      <c r="B124" s="4">
        <f>_Consolidado!B122</f>
        <v/>
      </c>
      <c r="C124" s="13">
        <f>_Consolidado!C122</f>
        <v/>
      </c>
      <c r="D124" s="13">
        <f>_Consolidado!D122</f>
        <v/>
      </c>
      <c r="E124" s="13">
        <f>SE(A124="";E123;E123+SEERRO(C124;0)-SEERRO(D124;0))</f>
        <v/>
      </c>
    </row>
    <row r="125">
      <c r="A125" s="31">
        <f>_Consolidado!A123</f>
        <v/>
      </c>
      <c r="B125" s="4">
        <f>_Consolidado!B123</f>
        <v/>
      </c>
      <c r="C125" s="13">
        <f>_Consolidado!C123</f>
        <v/>
      </c>
      <c r="D125" s="13">
        <f>_Consolidado!D123</f>
        <v/>
      </c>
      <c r="E125" s="13">
        <f>SE(A125="";E124;E124+SEERRO(C125;0)-SEERRO(D125;0))</f>
        <v/>
      </c>
    </row>
    <row r="126">
      <c r="A126" s="31">
        <f>_Consolidado!A124</f>
        <v/>
      </c>
      <c r="B126" s="4">
        <f>_Consolidado!B124</f>
        <v/>
      </c>
      <c r="C126" s="13">
        <f>_Consolidado!C124</f>
        <v/>
      </c>
      <c r="D126" s="13">
        <f>_Consolidado!D124</f>
        <v/>
      </c>
      <c r="E126" s="13">
        <f>SE(A126="";E125;E125+SEERRO(C126;0)-SEERRO(D126;0))</f>
        <v/>
      </c>
    </row>
    <row r="127">
      <c r="A127" s="31">
        <f>_Consolidado!A125</f>
        <v/>
      </c>
      <c r="B127" s="4">
        <f>_Consolidado!B125</f>
        <v/>
      </c>
      <c r="C127" s="13">
        <f>_Consolidado!C125</f>
        <v/>
      </c>
      <c r="D127" s="13">
        <f>_Consolidado!D125</f>
        <v/>
      </c>
      <c r="E127" s="13">
        <f>SE(A127="";E126;E126+SEERRO(C127;0)-SEERRO(D127;0))</f>
        <v/>
      </c>
    </row>
    <row r="128">
      <c r="A128" s="31">
        <f>_Consolidado!A126</f>
        <v/>
      </c>
      <c r="B128" s="4">
        <f>_Consolidado!B126</f>
        <v/>
      </c>
      <c r="C128" s="13">
        <f>_Consolidado!C126</f>
        <v/>
      </c>
      <c r="D128" s="13">
        <f>_Consolidado!D126</f>
        <v/>
      </c>
      <c r="E128" s="13">
        <f>SE(A128="";E127;E127+SEERRO(C128;0)-SEERRO(D128;0))</f>
        <v/>
      </c>
    </row>
    <row r="129">
      <c r="A129" s="31">
        <f>_Consolidado!A127</f>
        <v/>
      </c>
      <c r="B129" s="4">
        <f>_Consolidado!B127</f>
        <v/>
      </c>
      <c r="C129" s="13">
        <f>_Consolidado!C127</f>
        <v/>
      </c>
      <c r="D129" s="13">
        <f>_Consolidado!D127</f>
        <v/>
      </c>
      <c r="E129" s="13">
        <f>SE(A129="";E128;E128+SEERRO(C129;0)-SEERRO(D129;0))</f>
        <v/>
      </c>
    </row>
    <row r="130">
      <c r="A130" s="31">
        <f>_Consolidado!A128</f>
        <v/>
      </c>
      <c r="B130" s="4">
        <f>_Consolidado!B128</f>
        <v/>
      </c>
      <c r="C130" s="13">
        <f>_Consolidado!C128</f>
        <v/>
      </c>
      <c r="D130" s="13">
        <f>_Consolidado!D128</f>
        <v/>
      </c>
      <c r="E130" s="13">
        <f>SE(A130="";E129;E129+SEERRO(C130;0)-SEERRO(D130;0))</f>
        <v/>
      </c>
    </row>
    <row r="131">
      <c r="A131" s="31">
        <f>_Consolidado!A129</f>
        <v/>
      </c>
      <c r="B131" s="4">
        <f>_Consolidado!B129</f>
        <v/>
      </c>
      <c r="C131" s="13">
        <f>_Consolidado!C129</f>
        <v/>
      </c>
      <c r="D131" s="13">
        <f>_Consolidado!D129</f>
        <v/>
      </c>
      <c r="E131" s="13">
        <f>SE(A131="";E130;E130+SEERRO(C131;0)-SEERRO(D131;0))</f>
        <v/>
      </c>
    </row>
    <row r="132">
      <c r="A132" s="31">
        <f>_Consolidado!A130</f>
        <v/>
      </c>
      <c r="B132" s="4">
        <f>_Consolidado!B130</f>
        <v/>
      </c>
      <c r="C132" s="13">
        <f>_Consolidado!C130</f>
        <v/>
      </c>
      <c r="D132" s="13">
        <f>_Consolidado!D130</f>
        <v/>
      </c>
      <c r="E132" s="13">
        <f>SE(A132="";E131;E131+SEERRO(C132;0)-SEERRO(D132;0))</f>
        <v/>
      </c>
    </row>
    <row r="133">
      <c r="A133" s="31">
        <f>_Consolidado!A131</f>
        <v/>
      </c>
      <c r="B133" s="4">
        <f>_Consolidado!B131</f>
        <v/>
      </c>
      <c r="C133" s="13">
        <f>_Consolidado!C131</f>
        <v/>
      </c>
      <c r="D133" s="13">
        <f>_Consolidado!D131</f>
        <v/>
      </c>
      <c r="E133" s="13">
        <f>SE(A133="";E132;E132+SEERRO(C133;0)-SEERRO(D133;0))</f>
        <v/>
      </c>
    </row>
    <row r="134">
      <c r="A134" s="31">
        <f>_Consolidado!A132</f>
        <v/>
      </c>
      <c r="B134" s="4">
        <f>_Consolidado!B132</f>
        <v/>
      </c>
      <c r="C134" s="13">
        <f>_Consolidado!C132</f>
        <v/>
      </c>
      <c r="D134" s="13">
        <f>_Consolidado!D132</f>
        <v/>
      </c>
      <c r="E134" s="13">
        <f>SE(A134="";E133;E133+SEERRO(C134;0)-SEERRO(D134;0))</f>
        <v/>
      </c>
    </row>
    <row r="135">
      <c r="A135" s="31">
        <f>_Consolidado!A133</f>
        <v/>
      </c>
      <c r="B135" s="4">
        <f>_Consolidado!B133</f>
        <v/>
      </c>
      <c r="C135" s="13">
        <f>_Consolidado!C133</f>
        <v/>
      </c>
      <c r="D135" s="13">
        <f>_Consolidado!D133</f>
        <v/>
      </c>
      <c r="E135" s="13">
        <f>SE(A135="";E134;E134+SEERRO(C135;0)-SEERRO(D135;0))</f>
        <v/>
      </c>
    </row>
    <row r="136">
      <c r="A136" s="31">
        <f>_Consolidado!A134</f>
        <v/>
      </c>
      <c r="B136" s="4">
        <f>_Consolidado!B134</f>
        <v/>
      </c>
      <c r="C136" s="13">
        <f>_Consolidado!C134</f>
        <v/>
      </c>
      <c r="D136" s="13">
        <f>_Consolidado!D134</f>
        <v/>
      </c>
      <c r="E136" s="13">
        <f>SE(A136="";E135;E135+SEERRO(C136;0)-SEERRO(D136;0))</f>
        <v/>
      </c>
    </row>
    <row r="137">
      <c r="A137" s="31">
        <f>_Consolidado!A135</f>
        <v/>
      </c>
      <c r="B137" s="4">
        <f>_Consolidado!B135</f>
        <v/>
      </c>
      <c r="C137" s="13">
        <f>_Consolidado!C135</f>
        <v/>
      </c>
      <c r="D137" s="13">
        <f>_Consolidado!D135</f>
        <v/>
      </c>
      <c r="E137" s="13">
        <f>SE(A137="";E136;E136+SEERRO(C137;0)-SEERRO(D137;0))</f>
        <v/>
      </c>
    </row>
    <row r="138">
      <c r="A138" s="31">
        <f>_Consolidado!A136</f>
        <v/>
      </c>
      <c r="B138" s="4">
        <f>_Consolidado!B136</f>
        <v/>
      </c>
      <c r="C138" s="13">
        <f>_Consolidado!C136</f>
        <v/>
      </c>
      <c r="D138" s="13">
        <f>_Consolidado!D136</f>
        <v/>
      </c>
      <c r="E138" s="13">
        <f>SE(A138="";E137;E137+SEERRO(C138;0)-SEERRO(D138;0))</f>
        <v/>
      </c>
    </row>
    <row r="139">
      <c r="A139" s="31">
        <f>_Consolidado!A137</f>
        <v/>
      </c>
      <c r="B139" s="4">
        <f>_Consolidado!B137</f>
        <v/>
      </c>
      <c r="C139" s="13">
        <f>_Consolidado!C137</f>
        <v/>
      </c>
      <c r="D139" s="13">
        <f>_Consolidado!D137</f>
        <v/>
      </c>
      <c r="E139" s="13">
        <f>SE(A139="";E138;E138+SEERRO(C139;0)-SEERRO(D139;0))</f>
        <v/>
      </c>
    </row>
    <row r="140">
      <c r="A140" s="31">
        <f>_Consolidado!A138</f>
        <v/>
      </c>
      <c r="B140" s="4">
        <f>_Consolidado!B138</f>
        <v/>
      </c>
      <c r="C140" s="13">
        <f>_Consolidado!C138</f>
        <v/>
      </c>
      <c r="D140" s="13">
        <f>_Consolidado!D138</f>
        <v/>
      </c>
      <c r="E140" s="13">
        <f>SE(A140="";E139;E139+SEERRO(C140;0)-SEERRO(D140;0))</f>
        <v/>
      </c>
    </row>
    <row r="141">
      <c r="A141" s="31">
        <f>_Consolidado!A139</f>
        <v/>
      </c>
      <c r="B141" s="4">
        <f>_Consolidado!B139</f>
        <v/>
      </c>
      <c r="C141" s="13">
        <f>_Consolidado!C139</f>
        <v/>
      </c>
      <c r="D141" s="13">
        <f>_Consolidado!D139</f>
        <v/>
      </c>
      <c r="E141" s="13">
        <f>SE(A141="";E140;E140+SEERRO(C141;0)-SEERRO(D141;0))</f>
        <v/>
      </c>
    </row>
    <row r="142">
      <c r="A142" s="31">
        <f>_Consolidado!A140</f>
        <v/>
      </c>
      <c r="B142" s="4">
        <f>_Consolidado!B140</f>
        <v/>
      </c>
      <c r="C142" s="13">
        <f>_Consolidado!C140</f>
        <v/>
      </c>
      <c r="D142" s="13">
        <f>_Consolidado!D140</f>
        <v/>
      </c>
      <c r="E142" s="13">
        <f>SE(A142="";E141;E141+SEERRO(C142;0)-SEERRO(D142;0))</f>
        <v/>
      </c>
    </row>
    <row r="143">
      <c r="A143" s="31">
        <f>_Consolidado!A141</f>
        <v/>
      </c>
      <c r="B143" s="4">
        <f>_Consolidado!B141</f>
        <v/>
      </c>
      <c r="C143" s="13">
        <f>_Consolidado!C141</f>
        <v/>
      </c>
      <c r="D143" s="13">
        <f>_Consolidado!D141</f>
        <v/>
      </c>
      <c r="E143" s="13">
        <f>SE(A143="";E142;E142+SEERRO(C143;0)-SEERRO(D143;0))</f>
        <v/>
      </c>
    </row>
    <row r="144">
      <c r="A144" s="31">
        <f>_Consolidado!A142</f>
        <v/>
      </c>
      <c r="B144" s="4">
        <f>_Consolidado!B142</f>
        <v/>
      </c>
      <c r="C144" s="13">
        <f>_Consolidado!C142</f>
        <v/>
      </c>
      <c r="D144" s="13">
        <f>_Consolidado!D142</f>
        <v/>
      </c>
      <c r="E144" s="13">
        <f>SE(A144="";E143;E143+SEERRO(C144;0)-SEERRO(D144;0))</f>
        <v/>
      </c>
    </row>
    <row r="145">
      <c r="A145" s="31">
        <f>_Consolidado!A143</f>
        <v/>
      </c>
      <c r="B145" s="4">
        <f>_Consolidado!B143</f>
        <v/>
      </c>
      <c r="C145" s="13">
        <f>_Consolidado!C143</f>
        <v/>
      </c>
      <c r="D145" s="13">
        <f>_Consolidado!D143</f>
        <v/>
      </c>
      <c r="E145" s="13">
        <f>SE(A145="";E144;E144+SEERRO(C145;0)-SEERRO(D145;0))</f>
        <v/>
      </c>
    </row>
    <row r="146">
      <c r="A146" s="31">
        <f>_Consolidado!A144</f>
        <v/>
      </c>
      <c r="B146" s="4">
        <f>_Consolidado!B144</f>
        <v/>
      </c>
      <c r="C146" s="13">
        <f>_Consolidado!C144</f>
        <v/>
      </c>
      <c r="D146" s="13">
        <f>_Consolidado!D144</f>
        <v/>
      </c>
      <c r="E146" s="13">
        <f>SE(A146="";E145;E145+SEERRO(C146;0)-SEERRO(D146;0))</f>
        <v/>
      </c>
    </row>
    <row r="147">
      <c r="A147" s="31">
        <f>_Consolidado!A145</f>
        <v/>
      </c>
      <c r="B147" s="4">
        <f>_Consolidado!B145</f>
        <v/>
      </c>
      <c r="C147" s="13">
        <f>_Consolidado!C145</f>
        <v/>
      </c>
      <c r="D147" s="13">
        <f>_Consolidado!D145</f>
        <v/>
      </c>
      <c r="E147" s="13">
        <f>SE(A147="";E146;E146+SEERRO(C147;0)-SEERRO(D147;0))</f>
        <v/>
      </c>
    </row>
    <row r="148">
      <c r="A148" s="31">
        <f>_Consolidado!A146</f>
        <v/>
      </c>
      <c r="B148" s="4">
        <f>_Consolidado!B146</f>
        <v/>
      </c>
      <c r="C148" s="13">
        <f>_Consolidado!C146</f>
        <v/>
      </c>
      <c r="D148" s="13">
        <f>_Consolidado!D146</f>
        <v/>
      </c>
      <c r="E148" s="13">
        <f>SE(A148="";E147;E147+SEERRO(C148;0)-SEERRO(D148;0))</f>
        <v/>
      </c>
    </row>
    <row r="149">
      <c r="A149" s="31">
        <f>_Consolidado!A147</f>
        <v/>
      </c>
      <c r="B149" s="4">
        <f>_Consolidado!B147</f>
        <v/>
      </c>
      <c r="C149" s="13">
        <f>_Consolidado!C147</f>
        <v/>
      </c>
      <c r="D149" s="13">
        <f>_Consolidado!D147</f>
        <v/>
      </c>
      <c r="E149" s="13">
        <f>SE(A149="";E148;E148+SEERRO(C149;0)-SEERRO(D149;0))</f>
        <v/>
      </c>
    </row>
    <row r="150">
      <c r="A150" s="31">
        <f>_Consolidado!A148</f>
        <v/>
      </c>
      <c r="B150" s="4">
        <f>_Consolidado!B148</f>
        <v/>
      </c>
      <c r="C150" s="13">
        <f>_Consolidado!C148</f>
        <v/>
      </c>
      <c r="D150" s="13">
        <f>_Consolidado!D148</f>
        <v/>
      </c>
      <c r="E150" s="13">
        <f>SE(A150="";E149;E149+SEERRO(C150;0)-SEERRO(D150;0))</f>
        <v/>
      </c>
    </row>
    <row r="151">
      <c r="A151" s="31">
        <f>_Consolidado!A149</f>
        <v/>
      </c>
      <c r="B151" s="4">
        <f>_Consolidado!B149</f>
        <v/>
      </c>
      <c r="C151" s="13">
        <f>_Consolidado!C149</f>
        <v/>
      </c>
      <c r="D151" s="13">
        <f>_Consolidado!D149</f>
        <v/>
      </c>
      <c r="E151" s="13">
        <f>SE(A151="";E150;E150+SEERRO(C151;0)-SEERRO(D151;0))</f>
        <v/>
      </c>
    </row>
    <row r="152">
      <c r="A152" s="31">
        <f>_Consolidado!A150</f>
        <v/>
      </c>
      <c r="B152" s="4">
        <f>_Consolidado!B150</f>
        <v/>
      </c>
      <c r="C152" s="13">
        <f>_Consolidado!C150</f>
        <v/>
      </c>
      <c r="D152" s="13">
        <f>_Consolidado!D150</f>
        <v/>
      </c>
      <c r="E152" s="13">
        <f>SE(A152="";E151;E151+SEERRO(C152;0)-SEERRO(D152;0))</f>
        <v/>
      </c>
    </row>
    <row r="153">
      <c r="A153" s="31">
        <f>_Consolidado!A151</f>
        <v/>
      </c>
      <c r="B153" s="4">
        <f>_Consolidado!B151</f>
        <v/>
      </c>
      <c r="C153" s="13">
        <f>_Consolidado!C151</f>
        <v/>
      </c>
      <c r="D153" s="13">
        <f>_Consolidado!D151</f>
        <v/>
      </c>
      <c r="E153" s="13">
        <f>SE(A153="";E152;E152+SEERRO(C153;0)-SEERRO(D153;0))</f>
        <v/>
      </c>
    </row>
    <row r="154">
      <c r="A154" s="31">
        <f>_Consolidado!A152</f>
        <v/>
      </c>
      <c r="B154" s="4">
        <f>_Consolidado!B152</f>
        <v/>
      </c>
      <c r="C154" s="13">
        <f>_Consolidado!C152</f>
        <v/>
      </c>
      <c r="D154" s="13">
        <f>_Consolidado!D152</f>
        <v/>
      </c>
      <c r="E154" s="13">
        <f>SE(A154="";E153;E153+SEERRO(C154;0)-SEERRO(D154;0))</f>
        <v/>
      </c>
    </row>
    <row r="155">
      <c r="A155" s="31">
        <f>_Consolidado!A153</f>
        <v/>
      </c>
      <c r="B155" s="4">
        <f>_Consolidado!B153</f>
        <v/>
      </c>
      <c r="C155" s="13">
        <f>_Consolidado!C153</f>
        <v/>
      </c>
      <c r="D155" s="13">
        <f>_Consolidado!D153</f>
        <v/>
      </c>
      <c r="E155" s="13">
        <f>SE(A155="";E154;E154+SEERRO(C155;0)-SEERRO(D155;0))</f>
        <v/>
      </c>
    </row>
    <row r="156">
      <c r="A156" s="31">
        <f>_Consolidado!A154</f>
        <v/>
      </c>
      <c r="B156" s="4">
        <f>_Consolidado!B154</f>
        <v/>
      </c>
      <c r="C156" s="13">
        <f>_Consolidado!C154</f>
        <v/>
      </c>
      <c r="D156" s="13">
        <f>_Consolidado!D154</f>
        <v/>
      </c>
      <c r="E156" s="13">
        <f>SE(A156="";E155;E155+SEERRO(C156;0)-SEERRO(D156;0))</f>
        <v/>
      </c>
    </row>
    <row r="157">
      <c r="A157" s="31">
        <f>_Consolidado!A155</f>
        <v/>
      </c>
      <c r="B157" s="4">
        <f>_Consolidado!B155</f>
        <v/>
      </c>
      <c r="C157" s="13">
        <f>_Consolidado!C155</f>
        <v/>
      </c>
      <c r="D157" s="13">
        <f>_Consolidado!D155</f>
        <v/>
      </c>
      <c r="E157" s="13">
        <f>SE(A157="";E156;E156+SEERRO(C157;0)-SEERRO(D157;0))</f>
        <v/>
      </c>
    </row>
    <row r="158">
      <c r="A158" s="31">
        <f>_Consolidado!A156</f>
        <v/>
      </c>
      <c r="B158" s="4">
        <f>_Consolidado!B156</f>
        <v/>
      </c>
      <c r="C158" s="13">
        <f>_Consolidado!C156</f>
        <v/>
      </c>
      <c r="D158" s="13">
        <f>_Consolidado!D156</f>
        <v/>
      </c>
      <c r="E158" s="13">
        <f>SE(A158="";E157;E157+SEERRO(C158;0)-SEERRO(D158;0))</f>
        <v/>
      </c>
    </row>
    <row r="159">
      <c r="A159" s="31">
        <f>_Consolidado!A157</f>
        <v/>
      </c>
      <c r="B159" s="4">
        <f>_Consolidado!B157</f>
        <v/>
      </c>
      <c r="C159" s="13">
        <f>_Consolidado!C157</f>
        <v/>
      </c>
      <c r="D159" s="13">
        <f>_Consolidado!D157</f>
        <v/>
      </c>
      <c r="E159" s="13">
        <f>SE(A159="";E158;E158+SEERRO(C159;0)-SEERRO(D159;0))</f>
        <v/>
      </c>
    </row>
    <row r="160">
      <c r="A160" s="31">
        <f>_Consolidado!A158</f>
        <v/>
      </c>
      <c r="B160" s="4">
        <f>_Consolidado!B158</f>
        <v/>
      </c>
      <c r="C160" s="13">
        <f>_Consolidado!C158</f>
        <v/>
      </c>
      <c r="D160" s="13">
        <f>_Consolidado!D158</f>
        <v/>
      </c>
      <c r="E160" s="13">
        <f>SE(A160="";E159;E159+SEERRO(C160;0)-SEERRO(D160;0))</f>
        <v/>
      </c>
    </row>
    <row r="161">
      <c r="A161" s="31">
        <f>_Consolidado!A159</f>
        <v/>
      </c>
      <c r="B161" s="4">
        <f>_Consolidado!B159</f>
        <v/>
      </c>
      <c r="C161" s="13">
        <f>_Consolidado!C159</f>
        <v/>
      </c>
      <c r="D161" s="13">
        <f>_Consolidado!D159</f>
        <v/>
      </c>
      <c r="E161" s="13">
        <f>SE(A161="";E160;E160+SEERRO(C161;0)-SEERRO(D161;0))</f>
        <v/>
      </c>
    </row>
    <row r="162">
      <c r="A162" s="31">
        <f>_Consolidado!A160</f>
        <v/>
      </c>
      <c r="B162" s="4">
        <f>_Consolidado!B160</f>
        <v/>
      </c>
      <c r="C162" s="13">
        <f>_Consolidado!C160</f>
        <v/>
      </c>
      <c r="D162" s="13">
        <f>_Consolidado!D160</f>
        <v/>
      </c>
      <c r="E162" s="13">
        <f>SE(A162="";E161;E161+SEERRO(C162;0)-SEERRO(D162;0))</f>
        <v/>
      </c>
    </row>
    <row r="163">
      <c r="A163" s="31">
        <f>_Consolidado!A161</f>
        <v/>
      </c>
      <c r="B163" s="4">
        <f>_Consolidado!B161</f>
        <v/>
      </c>
      <c r="C163" s="13">
        <f>_Consolidado!C161</f>
        <v/>
      </c>
      <c r="D163" s="13">
        <f>_Consolidado!D161</f>
        <v/>
      </c>
      <c r="E163" s="13">
        <f>SE(A163="";E162;E162+SEERRO(C163;0)-SEERRO(D163;0))</f>
        <v/>
      </c>
    </row>
    <row r="164">
      <c r="A164" s="31">
        <f>_Consolidado!A162</f>
        <v/>
      </c>
      <c r="B164" s="4">
        <f>_Consolidado!B162</f>
        <v/>
      </c>
      <c r="C164" s="13">
        <f>_Consolidado!C162</f>
        <v/>
      </c>
      <c r="D164" s="13">
        <f>_Consolidado!D162</f>
        <v/>
      </c>
      <c r="E164" s="13">
        <f>SE(A164="";E163;E163+SEERRO(C164;0)-SEERRO(D164;0))</f>
        <v/>
      </c>
    </row>
    <row r="165">
      <c r="A165" s="31">
        <f>_Consolidado!A163</f>
        <v/>
      </c>
      <c r="B165" s="4">
        <f>_Consolidado!B163</f>
        <v/>
      </c>
      <c r="C165" s="13">
        <f>_Consolidado!C163</f>
        <v/>
      </c>
      <c r="D165" s="13">
        <f>_Consolidado!D163</f>
        <v/>
      </c>
      <c r="E165" s="13">
        <f>SE(A165="";E164;E164+SEERRO(C165;0)-SEERRO(D165;0))</f>
        <v/>
      </c>
    </row>
    <row r="166">
      <c r="A166" s="31">
        <f>_Consolidado!A164</f>
        <v/>
      </c>
      <c r="B166" s="4">
        <f>_Consolidado!B164</f>
        <v/>
      </c>
      <c r="C166" s="13">
        <f>_Consolidado!C164</f>
        <v/>
      </c>
      <c r="D166" s="13">
        <f>_Consolidado!D164</f>
        <v/>
      </c>
      <c r="E166" s="13">
        <f>SE(A166="";E165;E165+SEERRO(C166;0)-SEERRO(D166;0))</f>
        <v/>
      </c>
    </row>
    <row r="167">
      <c r="A167" s="31">
        <f>_Consolidado!A165</f>
        <v/>
      </c>
      <c r="B167" s="4">
        <f>_Consolidado!B165</f>
        <v/>
      </c>
      <c r="C167" s="13">
        <f>_Consolidado!C165</f>
        <v/>
      </c>
      <c r="D167" s="13">
        <f>_Consolidado!D165</f>
        <v/>
      </c>
      <c r="E167" s="13">
        <f>SE(A167="";E166;E166+SEERRO(C167;0)-SEERRO(D167;0))</f>
        <v/>
      </c>
    </row>
    <row r="168">
      <c r="A168" s="31">
        <f>_Consolidado!A166</f>
        <v/>
      </c>
      <c r="B168" s="4">
        <f>_Consolidado!B166</f>
        <v/>
      </c>
      <c r="C168" s="13">
        <f>_Consolidado!C166</f>
        <v/>
      </c>
      <c r="D168" s="13">
        <f>_Consolidado!D166</f>
        <v/>
      </c>
      <c r="E168" s="13">
        <f>SE(A168="";E167;E167+SEERRO(C168;0)-SEERRO(D168;0))</f>
        <v/>
      </c>
    </row>
    <row r="169">
      <c r="A169" s="31">
        <f>_Consolidado!A167</f>
        <v/>
      </c>
      <c r="B169" s="4">
        <f>_Consolidado!B167</f>
        <v/>
      </c>
      <c r="C169" s="13">
        <f>_Consolidado!C167</f>
        <v/>
      </c>
      <c r="D169" s="13">
        <f>_Consolidado!D167</f>
        <v/>
      </c>
      <c r="E169" s="13">
        <f>SE(A169="";E168;E168+SEERRO(C169;0)-SEERRO(D169;0))</f>
        <v/>
      </c>
    </row>
    <row r="170">
      <c r="A170" s="31">
        <f>_Consolidado!A168</f>
        <v/>
      </c>
      <c r="B170" s="4">
        <f>_Consolidado!B168</f>
        <v/>
      </c>
      <c r="C170" s="13">
        <f>_Consolidado!C168</f>
        <v/>
      </c>
      <c r="D170" s="13">
        <f>_Consolidado!D168</f>
        <v/>
      </c>
      <c r="E170" s="13">
        <f>SE(A170="";E169;E169+SEERRO(C170;0)-SEERRO(D170;0))</f>
        <v/>
      </c>
    </row>
    <row r="171">
      <c r="A171" s="31">
        <f>_Consolidado!A169</f>
        <v/>
      </c>
      <c r="B171" s="4">
        <f>_Consolidado!B169</f>
        <v/>
      </c>
      <c r="C171" s="13">
        <f>_Consolidado!C169</f>
        <v/>
      </c>
      <c r="D171" s="13">
        <f>_Consolidado!D169</f>
        <v/>
      </c>
      <c r="E171" s="13">
        <f>SE(A171="";E170;E170+SEERRO(C171;0)-SEERRO(D171;0))</f>
        <v/>
      </c>
    </row>
    <row r="172">
      <c r="A172" s="31">
        <f>_Consolidado!A170</f>
        <v/>
      </c>
      <c r="B172" s="4">
        <f>_Consolidado!B170</f>
        <v/>
      </c>
      <c r="C172" s="13">
        <f>_Consolidado!C170</f>
        <v/>
      </c>
      <c r="D172" s="13">
        <f>_Consolidado!D170</f>
        <v/>
      </c>
      <c r="E172" s="13">
        <f>SE(A172="";E171;E171+SEERRO(C172;0)-SEERRO(D172;0))</f>
        <v/>
      </c>
    </row>
    <row r="173">
      <c r="A173" s="31">
        <f>_Consolidado!A171</f>
        <v/>
      </c>
      <c r="B173" s="4">
        <f>_Consolidado!B171</f>
        <v/>
      </c>
      <c r="C173" s="13">
        <f>_Consolidado!C171</f>
        <v/>
      </c>
      <c r="D173" s="13">
        <f>_Consolidado!D171</f>
        <v/>
      </c>
      <c r="E173" s="13">
        <f>SE(A173="";E172;E172+SEERRO(C173;0)-SEERRO(D173;0))</f>
        <v/>
      </c>
    </row>
    <row r="174">
      <c r="A174" s="31">
        <f>_Consolidado!A172</f>
        <v/>
      </c>
      <c r="B174" s="4">
        <f>_Consolidado!B172</f>
        <v/>
      </c>
      <c r="C174" s="13">
        <f>_Consolidado!C172</f>
        <v/>
      </c>
      <c r="D174" s="13">
        <f>_Consolidado!D172</f>
        <v/>
      </c>
      <c r="E174" s="13">
        <f>SE(A174="";E173;E173+SEERRO(C174;0)-SEERRO(D174;0))</f>
        <v/>
      </c>
    </row>
    <row r="175">
      <c r="A175" s="31">
        <f>_Consolidado!A173</f>
        <v/>
      </c>
      <c r="B175" s="4">
        <f>_Consolidado!B173</f>
        <v/>
      </c>
      <c r="C175" s="13">
        <f>_Consolidado!C173</f>
        <v/>
      </c>
      <c r="D175" s="13">
        <f>_Consolidado!D173</f>
        <v/>
      </c>
      <c r="E175" s="13">
        <f>SE(A175="";E174;E174+SEERRO(C175;0)-SEERRO(D175;0))</f>
        <v/>
      </c>
    </row>
    <row r="176">
      <c r="A176" s="31">
        <f>_Consolidado!A174</f>
        <v/>
      </c>
      <c r="B176" s="4">
        <f>_Consolidado!B174</f>
        <v/>
      </c>
      <c r="C176" s="13">
        <f>_Consolidado!C174</f>
        <v/>
      </c>
      <c r="D176" s="13">
        <f>_Consolidado!D174</f>
        <v/>
      </c>
      <c r="E176" s="13">
        <f>SE(A176="";E175;E175+SEERRO(C176;0)-SEERRO(D176;0))</f>
        <v/>
      </c>
    </row>
    <row r="177">
      <c r="A177" s="31">
        <f>_Consolidado!A175</f>
        <v/>
      </c>
      <c r="B177" s="4">
        <f>_Consolidado!B175</f>
        <v/>
      </c>
      <c r="C177" s="13">
        <f>_Consolidado!C175</f>
        <v/>
      </c>
      <c r="D177" s="13">
        <f>_Consolidado!D175</f>
        <v/>
      </c>
      <c r="E177" s="13">
        <f>SE(A177="";E176;E176+SEERRO(C177;0)-SEERRO(D177;0))</f>
        <v/>
      </c>
    </row>
    <row r="178">
      <c r="A178" s="31">
        <f>_Consolidado!A176</f>
        <v/>
      </c>
      <c r="B178" s="4">
        <f>_Consolidado!B176</f>
        <v/>
      </c>
      <c r="C178" s="13">
        <f>_Consolidado!C176</f>
        <v/>
      </c>
      <c r="D178" s="13">
        <f>_Consolidado!D176</f>
        <v/>
      </c>
      <c r="E178" s="13">
        <f>SE(A178="";E177;E177+SEERRO(C178;0)-SEERRO(D178;0))</f>
        <v/>
      </c>
    </row>
    <row r="179">
      <c r="A179" s="31">
        <f>_Consolidado!A177</f>
        <v/>
      </c>
      <c r="B179" s="4">
        <f>_Consolidado!B177</f>
        <v/>
      </c>
      <c r="C179" s="13">
        <f>_Consolidado!C177</f>
        <v/>
      </c>
      <c r="D179" s="13">
        <f>_Consolidado!D177</f>
        <v/>
      </c>
      <c r="E179" s="13">
        <f>SE(A179="";E178;E178+SEERRO(C179;0)-SEERRO(D179;0))</f>
        <v/>
      </c>
    </row>
    <row r="180">
      <c r="A180" s="31">
        <f>_Consolidado!A178</f>
        <v/>
      </c>
      <c r="B180" s="4">
        <f>_Consolidado!B178</f>
        <v/>
      </c>
      <c r="C180" s="13">
        <f>_Consolidado!C178</f>
        <v/>
      </c>
      <c r="D180" s="13">
        <f>_Consolidado!D178</f>
        <v/>
      </c>
      <c r="E180" s="13">
        <f>SE(A180="";E179;E179+SEERRO(C180;0)-SEERRO(D180;0))</f>
        <v/>
      </c>
    </row>
    <row r="181">
      <c r="A181" s="31">
        <f>_Consolidado!A179</f>
        <v/>
      </c>
      <c r="B181" s="4">
        <f>_Consolidado!B179</f>
        <v/>
      </c>
      <c r="C181" s="13">
        <f>_Consolidado!C179</f>
        <v/>
      </c>
      <c r="D181" s="13">
        <f>_Consolidado!D179</f>
        <v/>
      </c>
      <c r="E181" s="13">
        <f>SE(A181="";E180;E180+SEERRO(C181;0)-SEERRO(D181;0))</f>
        <v/>
      </c>
    </row>
    <row r="182">
      <c r="A182" s="31">
        <f>_Consolidado!A180</f>
        <v/>
      </c>
      <c r="B182" s="4">
        <f>_Consolidado!B180</f>
        <v/>
      </c>
      <c r="C182" s="13">
        <f>_Consolidado!C180</f>
        <v/>
      </c>
      <c r="D182" s="13">
        <f>_Consolidado!D180</f>
        <v/>
      </c>
      <c r="E182" s="13">
        <f>SE(A182="";E181;E181+SEERRO(C182;0)-SEERRO(D182;0))</f>
        <v/>
      </c>
    </row>
    <row r="183">
      <c r="A183" s="31">
        <f>_Consolidado!A181</f>
        <v/>
      </c>
      <c r="B183" s="4">
        <f>_Consolidado!B181</f>
        <v/>
      </c>
      <c r="C183" s="13">
        <f>_Consolidado!C181</f>
        <v/>
      </c>
      <c r="D183" s="13">
        <f>_Consolidado!D181</f>
        <v/>
      </c>
      <c r="E183" s="13">
        <f>SE(A183="";E182;E182+SEERRO(C183;0)-SEERRO(D183;0))</f>
        <v/>
      </c>
    </row>
    <row r="184">
      <c r="A184" s="31">
        <f>_Consolidado!A182</f>
        <v/>
      </c>
      <c r="B184" s="4">
        <f>_Consolidado!B182</f>
        <v/>
      </c>
      <c r="C184" s="13">
        <f>_Consolidado!C182</f>
        <v/>
      </c>
      <c r="D184" s="13">
        <f>_Consolidado!D182</f>
        <v/>
      </c>
      <c r="E184" s="13">
        <f>SE(A184="";E183;E183+SEERRO(C184;0)-SEERRO(D184;0))</f>
        <v/>
      </c>
    </row>
    <row r="185">
      <c r="A185" s="31">
        <f>_Consolidado!A183</f>
        <v/>
      </c>
      <c r="B185" s="4">
        <f>_Consolidado!B183</f>
        <v/>
      </c>
      <c r="C185" s="13">
        <f>_Consolidado!C183</f>
        <v/>
      </c>
      <c r="D185" s="13">
        <f>_Consolidado!D183</f>
        <v/>
      </c>
      <c r="E185" s="13">
        <f>SE(A185="";E184;E184+SEERRO(C185;0)-SEERRO(D185;0))</f>
        <v/>
      </c>
    </row>
    <row r="186">
      <c r="A186" s="31">
        <f>_Consolidado!A184</f>
        <v/>
      </c>
      <c r="B186" s="4">
        <f>_Consolidado!B184</f>
        <v/>
      </c>
      <c r="C186" s="13">
        <f>_Consolidado!C184</f>
        <v/>
      </c>
      <c r="D186" s="13">
        <f>_Consolidado!D184</f>
        <v/>
      </c>
      <c r="E186" s="13">
        <f>SE(A186="";E185;E185+SEERRO(C186;0)-SEERRO(D186;0))</f>
        <v/>
      </c>
    </row>
    <row r="187">
      <c r="A187" s="31">
        <f>_Consolidado!A185</f>
        <v/>
      </c>
      <c r="B187" s="4">
        <f>_Consolidado!B185</f>
        <v/>
      </c>
      <c r="C187" s="13">
        <f>_Consolidado!C185</f>
        <v/>
      </c>
      <c r="D187" s="13">
        <f>_Consolidado!D185</f>
        <v/>
      </c>
      <c r="E187" s="13">
        <f>SE(A187="";E186;E186+SEERRO(C187;0)-SEERRO(D187;0))</f>
        <v/>
      </c>
    </row>
    <row r="188">
      <c r="A188" s="31">
        <f>_Consolidado!A186</f>
        <v/>
      </c>
      <c r="B188" s="4">
        <f>_Consolidado!B186</f>
        <v/>
      </c>
      <c r="C188" s="13">
        <f>_Consolidado!C186</f>
        <v/>
      </c>
      <c r="D188" s="13">
        <f>_Consolidado!D186</f>
        <v/>
      </c>
      <c r="E188" s="13">
        <f>SE(A188="";E187;E187+SEERRO(C188;0)-SEERRO(D188;0))</f>
        <v/>
      </c>
    </row>
    <row r="189">
      <c r="A189" s="31">
        <f>_Consolidado!A187</f>
        <v/>
      </c>
      <c r="B189" s="4">
        <f>_Consolidado!B187</f>
        <v/>
      </c>
      <c r="C189" s="13">
        <f>_Consolidado!C187</f>
        <v/>
      </c>
      <c r="D189" s="13">
        <f>_Consolidado!D187</f>
        <v/>
      </c>
      <c r="E189" s="13">
        <f>SE(A189="";E188;E188+SEERRO(C189;0)-SEERRO(D189;0))</f>
        <v/>
      </c>
    </row>
    <row r="190">
      <c r="A190" s="31">
        <f>_Consolidado!A188</f>
        <v/>
      </c>
      <c r="B190" s="4">
        <f>_Consolidado!B188</f>
        <v/>
      </c>
      <c r="C190" s="13">
        <f>_Consolidado!C188</f>
        <v/>
      </c>
      <c r="D190" s="13">
        <f>_Consolidado!D188</f>
        <v/>
      </c>
      <c r="E190" s="13">
        <f>SE(A190="";E189;E189+SEERRO(C190;0)-SEERRO(D190;0))</f>
        <v/>
      </c>
    </row>
    <row r="191">
      <c r="A191" s="31">
        <f>_Consolidado!A189</f>
        <v/>
      </c>
      <c r="B191" s="4">
        <f>_Consolidado!B189</f>
        <v/>
      </c>
      <c r="C191" s="13">
        <f>_Consolidado!C189</f>
        <v/>
      </c>
      <c r="D191" s="13">
        <f>_Consolidado!D189</f>
        <v/>
      </c>
      <c r="E191" s="13">
        <f>SE(A191="";E190;E190+SEERRO(C191;0)-SEERRO(D191;0))</f>
        <v/>
      </c>
    </row>
    <row r="192">
      <c r="A192" s="31">
        <f>_Consolidado!A190</f>
        <v/>
      </c>
      <c r="B192" s="4">
        <f>_Consolidado!B190</f>
        <v/>
      </c>
      <c r="C192" s="13">
        <f>_Consolidado!C190</f>
        <v/>
      </c>
      <c r="D192" s="13">
        <f>_Consolidado!D190</f>
        <v/>
      </c>
      <c r="E192" s="13">
        <f>SE(A192="";E191;E191+SEERRO(C192;0)-SEERRO(D192;0))</f>
        <v/>
      </c>
    </row>
    <row r="193">
      <c r="A193" s="31">
        <f>_Consolidado!A191</f>
        <v/>
      </c>
      <c r="B193" s="4">
        <f>_Consolidado!B191</f>
        <v/>
      </c>
      <c r="C193" s="13">
        <f>_Consolidado!C191</f>
        <v/>
      </c>
      <c r="D193" s="13">
        <f>_Consolidado!D191</f>
        <v/>
      </c>
      <c r="E193" s="13">
        <f>SE(A193="";E192;E192+SEERRO(C193;0)-SEERRO(D193;0))</f>
        <v/>
      </c>
    </row>
    <row r="194">
      <c r="A194" s="31">
        <f>_Consolidado!A192</f>
        <v/>
      </c>
      <c r="B194" s="4">
        <f>_Consolidado!B192</f>
        <v/>
      </c>
      <c r="C194" s="13">
        <f>_Consolidado!C192</f>
        <v/>
      </c>
      <c r="D194" s="13">
        <f>_Consolidado!D192</f>
        <v/>
      </c>
      <c r="E194" s="13">
        <f>SE(A194="";E193;E193+SEERRO(C194;0)-SEERRO(D194;0))</f>
        <v/>
      </c>
    </row>
    <row r="195">
      <c r="A195" s="31">
        <f>_Consolidado!A193</f>
        <v/>
      </c>
      <c r="B195" s="4">
        <f>_Consolidado!B193</f>
        <v/>
      </c>
      <c r="C195" s="13">
        <f>_Consolidado!C193</f>
        <v/>
      </c>
      <c r="D195" s="13">
        <f>_Consolidado!D193</f>
        <v/>
      </c>
      <c r="E195" s="13">
        <f>SE(A195="";E194;E194+SEERRO(C195;0)-SEERRO(D195;0))</f>
        <v/>
      </c>
    </row>
    <row r="196">
      <c r="A196" s="31">
        <f>_Consolidado!A194</f>
        <v/>
      </c>
      <c r="B196" s="4">
        <f>_Consolidado!B194</f>
        <v/>
      </c>
      <c r="C196" s="13">
        <f>_Consolidado!C194</f>
        <v/>
      </c>
      <c r="D196" s="13">
        <f>_Consolidado!D194</f>
        <v/>
      </c>
      <c r="E196" s="13">
        <f>SE(A196="";E195;E195+SEERRO(C196;0)-SEERRO(D196;0))</f>
        <v/>
      </c>
    </row>
    <row r="197">
      <c r="A197" s="31">
        <f>_Consolidado!A195</f>
        <v/>
      </c>
      <c r="B197" s="4">
        <f>_Consolidado!B195</f>
        <v/>
      </c>
      <c r="C197" s="13">
        <f>_Consolidado!C195</f>
        <v/>
      </c>
      <c r="D197" s="13">
        <f>_Consolidado!D195</f>
        <v/>
      </c>
      <c r="E197" s="13">
        <f>SE(A197="";E196;E196+SEERRO(C197;0)-SEERRO(D197;0))</f>
        <v/>
      </c>
    </row>
    <row r="198">
      <c r="A198" s="31">
        <f>_Consolidado!A196</f>
        <v/>
      </c>
      <c r="B198" s="4">
        <f>_Consolidado!B196</f>
        <v/>
      </c>
      <c r="C198" s="13">
        <f>_Consolidado!C196</f>
        <v/>
      </c>
      <c r="D198" s="13">
        <f>_Consolidado!D196</f>
        <v/>
      </c>
      <c r="E198" s="13">
        <f>SE(A198="";E197;E197+SEERRO(C198;0)-SEERRO(D198;0))</f>
        <v/>
      </c>
    </row>
    <row r="199">
      <c r="A199" s="31">
        <f>_Consolidado!A197</f>
        <v/>
      </c>
      <c r="B199" s="4">
        <f>_Consolidado!B197</f>
        <v/>
      </c>
      <c r="C199" s="13">
        <f>_Consolidado!C197</f>
        <v/>
      </c>
      <c r="D199" s="13">
        <f>_Consolidado!D197</f>
        <v/>
      </c>
      <c r="E199" s="13">
        <f>SE(A199="";E198;E198+SEERRO(C199;0)-SEERRO(D199;0))</f>
        <v/>
      </c>
    </row>
    <row r="200">
      <c r="A200" s="31">
        <f>_Consolidado!A198</f>
        <v/>
      </c>
      <c r="B200" s="4">
        <f>_Consolidado!B198</f>
        <v/>
      </c>
      <c r="C200" s="13">
        <f>_Consolidado!C198</f>
        <v/>
      </c>
      <c r="D200" s="13">
        <f>_Consolidado!D198</f>
        <v/>
      </c>
      <c r="E200" s="13">
        <f>SE(A200="";E199;E199+SEERRO(C200;0)-SEERRO(D200;0))</f>
        <v/>
      </c>
    </row>
    <row r="201">
      <c r="A201" s="31">
        <f>_Consolidado!A199</f>
        <v/>
      </c>
      <c r="B201" s="4">
        <f>_Consolidado!B199</f>
        <v/>
      </c>
      <c r="C201" s="13">
        <f>_Consolidado!C199</f>
        <v/>
      </c>
      <c r="D201" s="13">
        <f>_Consolidado!D199</f>
        <v/>
      </c>
      <c r="E201" s="13">
        <f>SE(A201="";E200;E200+SEERRO(C201;0)-SEERRO(D201;0))</f>
        <v/>
      </c>
    </row>
    <row r="202">
      <c r="A202" s="31">
        <f>_Consolidado!A200</f>
        <v/>
      </c>
      <c r="B202" s="4">
        <f>_Consolidado!B200</f>
        <v/>
      </c>
      <c r="C202" s="13">
        <f>_Consolidado!C200</f>
        <v/>
      </c>
      <c r="D202" s="13">
        <f>_Consolidado!D200</f>
        <v/>
      </c>
      <c r="E202" s="13">
        <f>SE(A202="";E201;E201+SEERRO(C202;0)-SEERRO(D202;0))</f>
        <v/>
      </c>
    </row>
    <row r="203">
      <c r="A203" s="31">
        <f>_Consolidado!A201</f>
        <v/>
      </c>
      <c r="B203" s="4">
        <f>_Consolidado!B201</f>
        <v/>
      </c>
      <c r="C203" s="13">
        <f>_Consolidado!C201</f>
        <v/>
      </c>
      <c r="D203" s="13">
        <f>_Consolidado!D201</f>
        <v/>
      </c>
      <c r="E203" s="13">
        <f>SE(A203="";E202;E202+SEERRO(C203;0)-SEERRO(D203;0))</f>
        <v/>
      </c>
    </row>
    <row r="204">
      <c r="A204" s="31">
        <f>_Consolidado!A202</f>
        <v/>
      </c>
      <c r="B204" s="4">
        <f>_Consolidado!B202</f>
        <v/>
      </c>
      <c r="C204" s="13">
        <f>_Consolidado!C202</f>
        <v/>
      </c>
      <c r="D204" s="13">
        <f>_Consolidado!D202</f>
        <v/>
      </c>
      <c r="E204" s="13">
        <f>SE(A204="";E203;E203+SEERRO(C204;0)-SEERRO(D204;0))</f>
        <v/>
      </c>
    </row>
    <row r="205">
      <c r="A205" s="31">
        <f>_Consolidado!A203</f>
        <v/>
      </c>
      <c r="B205" s="4">
        <f>_Consolidado!B203</f>
        <v/>
      </c>
      <c r="C205" s="13">
        <f>_Consolidado!C203</f>
        <v/>
      </c>
      <c r="D205" s="13">
        <f>_Consolidado!D203</f>
        <v/>
      </c>
      <c r="E205" s="13">
        <f>SE(A205="";E204;E204+SEERRO(C205;0)-SEERRO(D205;0))</f>
        <v/>
      </c>
    </row>
    <row r="206">
      <c r="A206" s="31">
        <f>_Consolidado!A204</f>
        <v/>
      </c>
      <c r="B206" s="4">
        <f>_Consolidado!B204</f>
        <v/>
      </c>
      <c r="C206" s="13">
        <f>_Consolidado!C204</f>
        <v/>
      </c>
      <c r="D206" s="13">
        <f>_Consolidado!D204</f>
        <v/>
      </c>
      <c r="E206" s="13">
        <f>SE(A206="";E205;E205+SEERRO(C206;0)-SEERRO(D206;0))</f>
        <v/>
      </c>
    </row>
    <row r="207">
      <c r="A207" s="31">
        <f>_Consolidado!A205</f>
        <v/>
      </c>
      <c r="B207" s="4">
        <f>_Consolidado!B205</f>
        <v/>
      </c>
      <c r="C207" s="13">
        <f>_Consolidado!C205</f>
        <v/>
      </c>
      <c r="D207" s="13">
        <f>_Consolidado!D205</f>
        <v/>
      </c>
      <c r="E207" s="13">
        <f>SE(A207="";E206;E206+SEERRO(C207;0)-SEERRO(D207;0))</f>
        <v/>
      </c>
    </row>
    <row r="208">
      <c r="A208" s="31">
        <f>_Consolidado!A206</f>
        <v/>
      </c>
      <c r="B208" s="4">
        <f>_Consolidado!B206</f>
        <v/>
      </c>
      <c r="C208" s="13">
        <f>_Consolidado!C206</f>
        <v/>
      </c>
      <c r="D208" s="13">
        <f>_Consolidado!D206</f>
        <v/>
      </c>
      <c r="E208" s="13">
        <f>SE(A208="";E207;E207+SEERRO(C208;0)-SEERRO(D208;0))</f>
        <v/>
      </c>
    </row>
    <row r="209">
      <c r="A209" s="31">
        <f>_Consolidado!A207</f>
        <v/>
      </c>
      <c r="B209" s="4">
        <f>_Consolidado!B207</f>
        <v/>
      </c>
      <c r="C209" s="13">
        <f>_Consolidado!C207</f>
        <v/>
      </c>
      <c r="D209" s="13">
        <f>_Consolidado!D207</f>
        <v/>
      </c>
      <c r="E209" s="13">
        <f>SE(A209="";E208;E208+SEERRO(C209;0)-SEERRO(D209;0))</f>
        <v/>
      </c>
    </row>
    <row r="210">
      <c r="A210" s="31">
        <f>_Consolidado!A208</f>
        <v/>
      </c>
      <c r="B210" s="4">
        <f>_Consolidado!B208</f>
        <v/>
      </c>
      <c r="C210" s="13">
        <f>_Consolidado!C208</f>
        <v/>
      </c>
      <c r="D210" s="13">
        <f>_Consolidado!D208</f>
        <v/>
      </c>
      <c r="E210" s="13">
        <f>SE(A210="";E209;E209+SEERRO(C210;0)-SEERRO(D210;0))</f>
        <v/>
      </c>
    </row>
    <row r="211">
      <c r="A211" s="31">
        <f>_Consolidado!A209</f>
        <v/>
      </c>
      <c r="B211" s="4">
        <f>_Consolidado!B209</f>
        <v/>
      </c>
      <c r="C211" s="13">
        <f>_Consolidado!C209</f>
        <v/>
      </c>
      <c r="D211" s="13">
        <f>_Consolidado!D209</f>
        <v/>
      </c>
      <c r="E211" s="13">
        <f>SE(A211="";E210;E210+SEERRO(C211;0)-SEERRO(D211;0))</f>
        <v/>
      </c>
    </row>
    <row r="212">
      <c r="A212" s="31">
        <f>_Consolidado!A210</f>
        <v/>
      </c>
      <c r="B212" s="4">
        <f>_Consolidado!B210</f>
        <v/>
      </c>
      <c r="C212" s="13">
        <f>_Consolidado!C210</f>
        <v/>
      </c>
      <c r="D212" s="13">
        <f>_Consolidado!D210</f>
        <v/>
      </c>
      <c r="E212" s="13">
        <f>SE(A212="";E211;E211+SEERRO(C212;0)-SEERRO(D212;0))</f>
        <v/>
      </c>
    </row>
    <row r="213">
      <c r="A213" s="31">
        <f>_Consolidado!A211</f>
        <v/>
      </c>
      <c r="B213" s="4">
        <f>_Consolidado!B211</f>
        <v/>
      </c>
      <c r="C213" s="13">
        <f>_Consolidado!C211</f>
        <v/>
      </c>
      <c r="D213" s="13">
        <f>_Consolidado!D211</f>
        <v/>
      </c>
      <c r="E213" s="13">
        <f>SE(A213="";E212;E212+SEERRO(C213;0)-SEERRO(D213;0))</f>
        <v/>
      </c>
    </row>
    <row r="214">
      <c r="A214" s="31">
        <f>_Consolidado!A212</f>
        <v/>
      </c>
      <c r="B214" s="4">
        <f>_Consolidado!B212</f>
        <v/>
      </c>
      <c r="C214" s="13">
        <f>_Consolidado!C212</f>
        <v/>
      </c>
      <c r="D214" s="13">
        <f>_Consolidado!D212</f>
        <v/>
      </c>
      <c r="E214" s="13">
        <f>SE(A214="";E213;E213+SEERRO(C214;0)-SEERRO(D214;0))</f>
        <v/>
      </c>
    </row>
    <row r="215">
      <c r="A215" s="31">
        <f>_Consolidado!A213</f>
        <v/>
      </c>
      <c r="B215" s="4">
        <f>_Consolidado!B213</f>
        <v/>
      </c>
      <c r="C215" s="13">
        <f>_Consolidado!C213</f>
        <v/>
      </c>
      <c r="D215" s="13">
        <f>_Consolidado!D213</f>
        <v/>
      </c>
      <c r="E215" s="13">
        <f>SE(A215="";E214;E214+SEERRO(C215;0)-SEERRO(D215;0))</f>
        <v/>
      </c>
    </row>
    <row r="216">
      <c r="A216" s="31">
        <f>_Consolidado!A214</f>
        <v/>
      </c>
      <c r="B216" s="4">
        <f>_Consolidado!B214</f>
        <v/>
      </c>
      <c r="C216" s="13">
        <f>_Consolidado!C214</f>
        <v/>
      </c>
      <c r="D216" s="13">
        <f>_Consolidado!D214</f>
        <v/>
      </c>
      <c r="E216" s="13">
        <f>SE(A216="";E215;E215+SEERRO(C216;0)-SEERRO(D216;0))</f>
        <v/>
      </c>
    </row>
    <row r="217">
      <c r="A217" s="31">
        <f>_Consolidado!A215</f>
        <v/>
      </c>
      <c r="B217" s="4">
        <f>_Consolidado!B215</f>
        <v/>
      </c>
      <c r="C217" s="13">
        <f>_Consolidado!C215</f>
        <v/>
      </c>
      <c r="D217" s="13">
        <f>_Consolidado!D215</f>
        <v/>
      </c>
      <c r="E217" s="13">
        <f>SE(A217="";E216;E216+SEERRO(C217;0)-SEERRO(D217;0))</f>
        <v/>
      </c>
    </row>
    <row r="218">
      <c r="A218" s="31">
        <f>_Consolidado!A216</f>
        <v/>
      </c>
      <c r="B218" s="4">
        <f>_Consolidado!B216</f>
        <v/>
      </c>
      <c r="C218" s="13">
        <f>_Consolidado!C216</f>
        <v/>
      </c>
      <c r="D218" s="13">
        <f>_Consolidado!D216</f>
        <v/>
      </c>
      <c r="E218" s="13">
        <f>SE(A218="";E217;E217+SEERRO(C218;0)-SEERRO(D218;0))</f>
        <v/>
      </c>
    </row>
    <row r="219">
      <c r="A219" s="31">
        <f>_Consolidado!A217</f>
        <v/>
      </c>
      <c r="B219" s="4">
        <f>_Consolidado!B217</f>
        <v/>
      </c>
      <c r="C219" s="13">
        <f>_Consolidado!C217</f>
        <v/>
      </c>
      <c r="D219" s="13">
        <f>_Consolidado!D217</f>
        <v/>
      </c>
      <c r="E219" s="13">
        <f>SE(A219="";E218;E218+SEERRO(C219;0)-SEERRO(D219;0))</f>
        <v/>
      </c>
    </row>
    <row r="220">
      <c r="A220" s="31">
        <f>_Consolidado!A218</f>
        <v/>
      </c>
      <c r="B220" s="4">
        <f>_Consolidado!B218</f>
        <v/>
      </c>
      <c r="C220" s="13">
        <f>_Consolidado!C218</f>
        <v/>
      </c>
      <c r="D220" s="13">
        <f>_Consolidado!D218</f>
        <v/>
      </c>
      <c r="E220" s="13">
        <f>SE(A220="";E219;E219+SEERRO(C220;0)-SEERRO(D220;0))</f>
        <v/>
      </c>
    </row>
    <row r="221">
      <c r="A221" s="31">
        <f>_Consolidado!A219</f>
        <v/>
      </c>
      <c r="B221" s="4">
        <f>_Consolidado!B219</f>
        <v/>
      </c>
      <c r="C221" s="13">
        <f>_Consolidado!C219</f>
        <v/>
      </c>
      <c r="D221" s="13">
        <f>_Consolidado!D219</f>
        <v/>
      </c>
      <c r="E221" s="13">
        <f>SE(A221="";E220;E220+SEERRO(C221;0)-SEERRO(D221;0))</f>
        <v/>
      </c>
    </row>
    <row r="222">
      <c r="A222" s="31">
        <f>_Consolidado!A220</f>
        <v/>
      </c>
      <c r="B222" s="4">
        <f>_Consolidado!B220</f>
        <v/>
      </c>
      <c r="C222" s="13">
        <f>_Consolidado!C220</f>
        <v/>
      </c>
      <c r="D222" s="13">
        <f>_Consolidado!D220</f>
        <v/>
      </c>
      <c r="E222" s="13">
        <f>SE(A222="";E221;E221+SEERRO(C222;0)-SEERRO(D222;0))</f>
        <v/>
      </c>
    </row>
    <row r="223">
      <c r="A223" s="31">
        <f>_Consolidado!A221</f>
        <v/>
      </c>
      <c r="B223" s="4">
        <f>_Consolidado!B221</f>
        <v/>
      </c>
      <c r="C223" s="13">
        <f>_Consolidado!C221</f>
        <v/>
      </c>
      <c r="D223" s="13">
        <f>_Consolidado!D221</f>
        <v/>
      </c>
      <c r="E223" s="13">
        <f>SE(A223="";E222;E222+SEERRO(C223;0)-SEERRO(D223;0))</f>
        <v/>
      </c>
    </row>
    <row r="224">
      <c r="A224" s="31">
        <f>_Consolidado!A222</f>
        <v/>
      </c>
      <c r="B224" s="4">
        <f>_Consolidado!B222</f>
        <v/>
      </c>
      <c r="C224" s="13">
        <f>_Consolidado!C222</f>
        <v/>
      </c>
      <c r="D224" s="13">
        <f>_Consolidado!D222</f>
        <v/>
      </c>
      <c r="E224" s="13">
        <f>SE(A224="";E223;E223+SEERRO(C224;0)-SEERRO(D224;0))</f>
        <v/>
      </c>
    </row>
    <row r="225">
      <c r="A225" s="31">
        <f>_Consolidado!A223</f>
        <v/>
      </c>
      <c r="B225" s="4">
        <f>_Consolidado!B223</f>
        <v/>
      </c>
      <c r="C225" s="13">
        <f>_Consolidado!C223</f>
        <v/>
      </c>
      <c r="D225" s="13">
        <f>_Consolidado!D223</f>
        <v/>
      </c>
      <c r="E225" s="13">
        <f>SE(A225="";E224;E224+SEERRO(C225;0)-SEERRO(D225;0))</f>
        <v/>
      </c>
    </row>
    <row r="226">
      <c r="A226" s="31">
        <f>_Consolidado!A224</f>
        <v/>
      </c>
      <c r="B226" s="4">
        <f>_Consolidado!B224</f>
        <v/>
      </c>
      <c r="C226" s="13">
        <f>_Consolidado!C224</f>
        <v/>
      </c>
      <c r="D226" s="13">
        <f>_Consolidado!D224</f>
        <v/>
      </c>
      <c r="E226" s="13">
        <f>SE(A226="";E225;E225+SEERRO(C226;0)-SEERRO(D226;0))</f>
        <v/>
      </c>
    </row>
    <row r="227">
      <c r="A227" s="31">
        <f>_Consolidado!A225</f>
        <v/>
      </c>
      <c r="B227" s="4">
        <f>_Consolidado!B225</f>
        <v/>
      </c>
      <c r="C227" s="13">
        <f>_Consolidado!C225</f>
        <v/>
      </c>
      <c r="D227" s="13">
        <f>_Consolidado!D225</f>
        <v/>
      </c>
      <c r="E227" s="13">
        <f>SE(A227="";E226;E226+SEERRO(C227;0)-SEERRO(D227;0))</f>
        <v/>
      </c>
    </row>
    <row r="228">
      <c r="A228" s="31">
        <f>_Consolidado!A226</f>
        <v/>
      </c>
      <c r="B228" s="4">
        <f>_Consolidado!B226</f>
        <v/>
      </c>
      <c r="C228" s="13">
        <f>_Consolidado!C226</f>
        <v/>
      </c>
      <c r="D228" s="13">
        <f>_Consolidado!D226</f>
        <v/>
      </c>
      <c r="E228" s="13">
        <f>SE(A228="";E227;E227+SEERRO(C228;0)-SEERRO(D228;0))</f>
        <v/>
      </c>
    </row>
    <row r="229">
      <c r="A229" s="31">
        <f>_Consolidado!A227</f>
        <v/>
      </c>
      <c r="B229" s="4">
        <f>_Consolidado!B227</f>
        <v/>
      </c>
      <c r="C229" s="13">
        <f>_Consolidado!C227</f>
        <v/>
      </c>
      <c r="D229" s="13">
        <f>_Consolidado!D227</f>
        <v/>
      </c>
      <c r="E229" s="13">
        <f>SE(A229="";E228;E228+SEERRO(C229;0)-SEERRO(D229;0))</f>
        <v/>
      </c>
    </row>
    <row r="230">
      <c r="A230" s="31">
        <f>_Consolidado!A228</f>
        <v/>
      </c>
      <c r="B230" s="4">
        <f>_Consolidado!B228</f>
        <v/>
      </c>
      <c r="C230" s="13">
        <f>_Consolidado!C228</f>
        <v/>
      </c>
      <c r="D230" s="13">
        <f>_Consolidado!D228</f>
        <v/>
      </c>
      <c r="E230" s="13">
        <f>SE(A230="";E229;E229+SEERRO(C230;0)-SEERRO(D230;0))</f>
        <v/>
      </c>
    </row>
    <row r="231">
      <c r="A231" s="31">
        <f>_Consolidado!A229</f>
        <v/>
      </c>
      <c r="B231" s="4">
        <f>_Consolidado!B229</f>
        <v/>
      </c>
      <c r="C231" s="13">
        <f>_Consolidado!C229</f>
        <v/>
      </c>
      <c r="D231" s="13">
        <f>_Consolidado!D229</f>
        <v/>
      </c>
      <c r="E231" s="13">
        <f>SE(A231="";E230;E230+SEERRO(C231;0)-SEERRO(D231;0))</f>
        <v/>
      </c>
    </row>
    <row r="232">
      <c r="A232" s="31">
        <f>_Consolidado!A230</f>
        <v/>
      </c>
      <c r="B232" s="4">
        <f>_Consolidado!B230</f>
        <v/>
      </c>
      <c r="C232" s="13">
        <f>_Consolidado!C230</f>
        <v/>
      </c>
      <c r="D232" s="13">
        <f>_Consolidado!D230</f>
        <v/>
      </c>
      <c r="E232" s="13">
        <f>SE(A232="";E231;E231+SEERRO(C232;0)-SEERRO(D232;0))</f>
        <v/>
      </c>
    </row>
    <row r="233">
      <c r="A233" s="31">
        <f>_Consolidado!A231</f>
        <v/>
      </c>
      <c r="B233" s="4">
        <f>_Consolidado!B231</f>
        <v/>
      </c>
      <c r="C233" s="13">
        <f>_Consolidado!C231</f>
        <v/>
      </c>
      <c r="D233" s="13">
        <f>_Consolidado!D231</f>
        <v/>
      </c>
      <c r="E233" s="13">
        <f>SE(A233="";E232;E232+SEERRO(C233;0)-SEERRO(D233;0))</f>
        <v/>
      </c>
    </row>
    <row r="234">
      <c r="A234" s="31">
        <f>_Consolidado!A232</f>
        <v/>
      </c>
      <c r="B234" s="4">
        <f>_Consolidado!B232</f>
        <v/>
      </c>
      <c r="C234" s="13">
        <f>_Consolidado!C232</f>
        <v/>
      </c>
      <c r="D234" s="13">
        <f>_Consolidado!D232</f>
        <v/>
      </c>
      <c r="E234" s="13">
        <f>SE(A234="";E233;E233+SEERRO(C234;0)-SEERRO(D234;0))</f>
        <v/>
      </c>
    </row>
    <row r="235">
      <c r="A235" s="31">
        <f>_Consolidado!A233</f>
        <v/>
      </c>
      <c r="B235" s="4">
        <f>_Consolidado!B233</f>
        <v/>
      </c>
      <c r="C235" s="13">
        <f>_Consolidado!C233</f>
        <v/>
      </c>
      <c r="D235" s="13">
        <f>_Consolidado!D233</f>
        <v/>
      </c>
      <c r="E235" s="13">
        <f>SE(A235="";E234;E234+SEERRO(C235;0)-SEERRO(D235;0))</f>
        <v/>
      </c>
    </row>
    <row r="236">
      <c r="A236" s="31">
        <f>_Consolidado!A234</f>
        <v/>
      </c>
      <c r="B236" s="4">
        <f>_Consolidado!B234</f>
        <v/>
      </c>
      <c r="C236" s="13">
        <f>_Consolidado!C234</f>
        <v/>
      </c>
      <c r="D236" s="13">
        <f>_Consolidado!D234</f>
        <v/>
      </c>
      <c r="E236" s="13">
        <f>SE(A236="";E235;E235+SEERRO(C236;0)-SEERRO(D236;0))</f>
        <v/>
      </c>
    </row>
    <row r="237">
      <c r="A237" s="31">
        <f>_Consolidado!A235</f>
        <v/>
      </c>
      <c r="B237" s="4">
        <f>_Consolidado!B235</f>
        <v/>
      </c>
      <c r="C237" s="13">
        <f>_Consolidado!C235</f>
        <v/>
      </c>
      <c r="D237" s="13">
        <f>_Consolidado!D235</f>
        <v/>
      </c>
      <c r="E237" s="13">
        <f>SE(A237="";E236;E236+SEERRO(C237;0)-SEERRO(D237;0))</f>
        <v/>
      </c>
    </row>
    <row r="238">
      <c r="A238" s="31">
        <f>_Consolidado!A236</f>
        <v/>
      </c>
      <c r="B238" s="4">
        <f>_Consolidado!B236</f>
        <v/>
      </c>
      <c r="C238" s="13">
        <f>_Consolidado!C236</f>
        <v/>
      </c>
      <c r="D238" s="13">
        <f>_Consolidado!D236</f>
        <v/>
      </c>
      <c r="E238" s="13">
        <f>SE(A238="";E237;E237+SEERRO(C238;0)-SEERRO(D238;0))</f>
        <v/>
      </c>
    </row>
    <row r="239">
      <c r="A239" s="31">
        <f>_Consolidado!A237</f>
        <v/>
      </c>
      <c r="B239" s="4">
        <f>_Consolidado!B237</f>
        <v/>
      </c>
      <c r="C239" s="13">
        <f>_Consolidado!C237</f>
        <v/>
      </c>
      <c r="D239" s="13">
        <f>_Consolidado!D237</f>
        <v/>
      </c>
      <c r="E239" s="13">
        <f>SE(A239="";E238;E238+SEERRO(C239;0)-SEERRO(D239;0))</f>
        <v/>
      </c>
    </row>
    <row r="240">
      <c r="A240" s="31">
        <f>_Consolidado!A238</f>
        <v/>
      </c>
      <c r="B240" s="4">
        <f>_Consolidado!B238</f>
        <v/>
      </c>
      <c r="C240" s="13">
        <f>_Consolidado!C238</f>
        <v/>
      </c>
      <c r="D240" s="13">
        <f>_Consolidado!D238</f>
        <v/>
      </c>
      <c r="E240" s="13">
        <f>SE(A240="";E239;E239+SEERRO(C240;0)-SEERRO(D240;0))</f>
        <v/>
      </c>
    </row>
    <row r="241">
      <c r="A241" s="31">
        <f>_Consolidado!A239</f>
        <v/>
      </c>
      <c r="B241" s="4">
        <f>_Consolidado!B239</f>
        <v/>
      </c>
      <c r="C241" s="13">
        <f>_Consolidado!C239</f>
        <v/>
      </c>
      <c r="D241" s="13">
        <f>_Consolidado!D239</f>
        <v/>
      </c>
      <c r="E241" s="13">
        <f>SE(A241="";E240;E240+SEERRO(C241;0)-SEERRO(D241;0))</f>
        <v/>
      </c>
    </row>
    <row r="242">
      <c r="A242" s="31">
        <f>_Consolidado!A240</f>
        <v/>
      </c>
      <c r="B242" s="4">
        <f>_Consolidado!B240</f>
        <v/>
      </c>
      <c r="C242" s="13">
        <f>_Consolidado!C240</f>
        <v/>
      </c>
      <c r="D242" s="13">
        <f>_Consolidado!D240</f>
        <v/>
      </c>
      <c r="E242" s="13">
        <f>SE(A242="";E241;E241+SEERRO(C242;0)-SEERRO(D242;0))</f>
        <v/>
      </c>
    </row>
    <row r="243">
      <c r="A243" s="31">
        <f>_Consolidado!A241</f>
        <v/>
      </c>
      <c r="B243" s="4">
        <f>_Consolidado!B241</f>
        <v/>
      </c>
      <c r="C243" s="13">
        <f>_Consolidado!C241</f>
        <v/>
      </c>
      <c r="D243" s="13">
        <f>_Consolidado!D241</f>
        <v/>
      </c>
      <c r="E243" s="13">
        <f>SE(A243="";E242;E242+SEERRO(C243;0)-SEERRO(D243;0))</f>
        <v/>
      </c>
    </row>
    <row r="244">
      <c r="A244" s="31">
        <f>_Consolidado!A242</f>
        <v/>
      </c>
      <c r="B244" s="4">
        <f>_Consolidado!B242</f>
        <v/>
      </c>
      <c r="C244" s="13">
        <f>_Consolidado!C242</f>
        <v/>
      </c>
      <c r="D244" s="13">
        <f>_Consolidado!D242</f>
        <v/>
      </c>
      <c r="E244" s="13">
        <f>SE(A244="";E243;E243+SEERRO(C244;0)-SEERRO(D244;0))</f>
        <v/>
      </c>
    </row>
    <row r="245">
      <c r="A245" s="31">
        <f>_Consolidado!A243</f>
        <v/>
      </c>
      <c r="B245" s="4">
        <f>_Consolidado!B243</f>
        <v/>
      </c>
      <c r="C245" s="13">
        <f>_Consolidado!C243</f>
        <v/>
      </c>
      <c r="D245" s="13">
        <f>_Consolidado!D243</f>
        <v/>
      </c>
      <c r="E245" s="13">
        <f>SE(A245="";E244;E244+SEERRO(C245;0)-SEERRO(D245;0))</f>
        <v/>
      </c>
    </row>
    <row r="246">
      <c r="A246" s="31">
        <f>_Consolidado!A244</f>
        <v/>
      </c>
      <c r="B246" s="4">
        <f>_Consolidado!B244</f>
        <v/>
      </c>
      <c r="C246" s="13">
        <f>_Consolidado!C244</f>
        <v/>
      </c>
      <c r="D246" s="13">
        <f>_Consolidado!D244</f>
        <v/>
      </c>
      <c r="E246" s="13">
        <f>SE(A246="";E245;E245+SEERRO(C246;0)-SEERRO(D246;0))</f>
        <v/>
      </c>
    </row>
    <row r="247">
      <c r="A247" s="31">
        <f>_Consolidado!A245</f>
        <v/>
      </c>
      <c r="B247" s="4">
        <f>_Consolidado!B245</f>
        <v/>
      </c>
      <c r="C247" s="13">
        <f>_Consolidado!C245</f>
        <v/>
      </c>
      <c r="D247" s="13">
        <f>_Consolidado!D245</f>
        <v/>
      </c>
      <c r="E247" s="13">
        <f>SE(A247="";E246;E246+SEERRO(C247;0)-SEERRO(D247;0))</f>
        <v/>
      </c>
    </row>
    <row r="248">
      <c r="A248" s="31">
        <f>_Consolidado!A246</f>
        <v/>
      </c>
      <c r="B248" s="4">
        <f>_Consolidado!B246</f>
        <v/>
      </c>
      <c r="C248" s="13">
        <f>_Consolidado!C246</f>
        <v/>
      </c>
      <c r="D248" s="13">
        <f>_Consolidado!D246</f>
        <v/>
      </c>
      <c r="E248" s="13">
        <f>SE(A248="";E247;E247+SEERRO(C248;0)-SEERRO(D248;0))</f>
        <v/>
      </c>
    </row>
    <row r="249">
      <c r="A249" s="31">
        <f>_Consolidado!A247</f>
        <v/>
      </c>
      <c r="B249" s="4">
        <f>_Consolidado!B247</f>
        <v/>
      </c>
      <c r="C249" s="13">
        <f>_Consolidado!C247</f>
        <v/>
      </c>
      <c r="D249" s="13">
        <f>_Consolidado!D247</f>
        <v/>
      </c>
      <c r="E249" s="13">
        <f>SE(A249="";E248;E248+SEERRO(C249;0)-SEERRO(D249;0))</f>
        <v/>
      </c>
    </row>
    <row r="250">
      <c r="A250" s="31">
        <f>_Consolidado!A248</f>
        <v/>
      </c>
      <c r="B250" s="4">
        <f>_Consolidado!B248</f>
        <v/>
      </c>
      <c r="C250" s="13">
        <f>_Consolidado!C248</f>
        <v/>
      </c>
      <c r="D250" s="13">
        <f>_Consolidado!D248</f>
        <v/>
      </c>
      <c r="E250" s="13">
        <f>SE(A250="";E249;E249+SEERRO(C250;0)-SEERRO(D250;0))</f>
        <v/>
      </c>
    </row>
    <row r="251">
      <c r="A251" s="31">
        <f>_Consolidado!A249</f>
        <v/>
      </c>
      <c r="B251" s="4">
        <f>_Consolidado!B249</f>
        <v/>
      </c>
      <c r="C251" s="13">
        <f>_Consolidado!C249</f>
        <v/>
      </c>
      <c r="D251" s="13">
        <f>_Consolidado!D249</f>
        <v/>
      </c>
      <c r="E251" s="13">
        <f>SE(A251="";E250;E250+SEERRO(C251;0)-SEERRO(D251;0))</f>
        <v/>
      </c>
    </row>
    <row r="252">
      <c r="A252" s="31">
        <f>_Consolidado!A250</f>
        <v/>
      </c>
      <c r="B252" s="4">
        <f>_Consolidado!B250</f>
        <v/>
      </c>
      <c r="C252" s="13">
        <f>_Consolidado!C250</f>
        <v/>
      </c>
      <c r="D252" s="13">
        <f>_Consolidado!D250</f>
        <v/>
      </c>
      <c r="E252" s="13">
        <f>SE(A252="";E251;E251+SEERRO(C252;0)-SEERRO(D252;0))</f>
        <v/>
      </c>
    </row>
    <row r="253">
      <c r="A253" s="31">
        <f>_Consolidado!A251</f>
        <v/>
      </c>
      <c r="B253" s="4">
        <f>_Consolidado!B251</f>
        <v/>
      </c>
      <c r="C253" s="13">
        <f>_Consolidado!C251</f>
        <v/>
      </c>
      <c r="D253" s="13">
        <f>_Consolidado!D251</f>
        <v/>
      </c>
      <c r="E253" s="13">
        <f>SE(A253="";E252;E252+SEERRO(C253;0)-SEERRO(D253;0))</f>
        <v/>
      </c>
    </row>
    <row r="254">
      <c r="A254" s="31">
        <f>_Consolidado!A252</f>
        <v/>
      </c>
      <c r="B254" s="4">
        <f>_Consolidado!B252</f>
        <v/>
      </c>
      <c r="C254" s="13">
        <f>_Consolidado!C252</f>
        <v/>
      </c>
      <c r="D254" s="13">
        <f>_Consolidado!D252</f>
        <v/>
      </c>
      <c r="E254" s="13">
        <f>SE(A254="";E253;E253+SEERRO(C254;0)-SEERRO(D254;0))</f>
        <v/>
      </c>
    </row>
    <row r="255">
      <c r="A255" s="31">
        <f>_Consolidado!A253</f>
        <v/>
      </c>
      <c r="B255" s="4">
        <f>_Consolidado!B253</f>
        <v/>
      </c>
      <c r="C255" s="13">
        <f>_Consolidado!C253</f>
        <v/>
      </c>
      <c r="D255" s="13">
        <f>_Consolidado!D253</f>
        <v/>
      </c>
      <c r="E255" s="13">
        <f>SE(A255="";E254;E254+SEERRO(C255;0)-SEERRO(D255;0))</f>
        <v/>
      </c>
    </row>
    <row r="256">
      <c r="A256" s="31">
        <f>_Consolidado!A254</f>
        <v/>
      </c>
      <c r="B256" s="4">
        <f>_Consolidado!B254</f>
        <v/>
      </c>
      <c r="C256" s="13">
        <f>_Consolidado!C254</f>
        <v/>
      </c>
      <c r="D256" s="13">
        <f>_Consolidado!D254</f>
        <v/>
      </c>
      <c r="E256" s="13">
        <f>SE(A256="";E255;E255+SEERRO(C256;0)-SEERRO(D256;0))</f>
        <v/>
      </c>
    </row>
    <row r="257">
      <c r="A257" s="31">
        <f>_Consolidado!A255</f>
        <v/>
      </c>
      <c r="B257" s="4">
        <f>_Consolidado!B255</f>
        <v/>
      </c>
      <c r="C257" s="13">
        <f>_Consolidado!C255</f>
        <v/>
      </c>
      <c r="D257" s="13">
        <f>_Consolidado!D255</f>
        <v/>
      </c>
      <c r="E257" s="13">
        <f>SE(A257="";E256;E256+SEERRO(C257;0)-SEERRO(D257;0))</f>
        <v/>
      </c>
    </row>
    <row r="258">
      <c r="A258" s="31">
        <f>_Consolidado!A256</f>
        <v/>
      </c>
      <c r="B258" s="4">
        <f>_Consolidado!B256</f>
        <v/>
      </c>
      <c r="C258" s="13">
        <f>_Consolidado!C256</f>
        <v/>
      </c>
      <c r="D258" s="13">
        <f>_Consolidado!D256</f>
        <v/>
      </c>
      <c r="E258" s="13">
        <f>SE(A258="";E257;E257+SEERRO(C258;0)-SEERRO(D258;0))</f>
        <v/>
      </c>
    </row>
    <row r="259">
      <c r="A259" s="31">
        <f>_Consolidado!A257</f>
        <v/>
      </c>
      <c r="B259" s="4">
        <f>_Consolidado!B257</f>
        <v/>
      </c>
      <c r="C259" s="13">
        <f>_Consolidado!C257</f>
        <v/>
      </c>
      <c r="D259" s="13">
        <f>_Consolidado!D257</f>
        <v/>
      </c>
      <c r="E259" s="13">
        <f>SE(A259="";E258;E258+SEERRO(C259;0)-SEERRO(D259;0))</f>
        <v/>
      </c>
    </row>
    <row r="260">
      <c r="A260" s="31">
        <f>_Consolidado!A258</f>
        <v/>
      </c>
      <c r="B260" s="4">
        <f>_Consolidado!B258</f>
        <v/>
      </c>
      <c r="C260" s="13">
        <f>_Consolidado!C258</f>
        <v/>
      </c>
      <c r="D260" s="13">
        <f>_Consolidado!D258</f>
        <v/>
      </c>
      <c r="E260" s="13">
        <f>SE(A260="";E259;E259+SEERRO(C260;0)-SEERRO(D260;0))</f>
        <v/>
      </c>
    </row>
    <row r="261">
      <c r="A261" s="31">
        <f>_Consolidado!A259</f>
        <v/>
      </c>
      <c r="B261" s="4">
        <f>_Consolidado!B259</f>
        <v/>
      </c>
      <c r="C261" s="13">
        <f>_Consolidado!C259</f>
        <v/>
      </c>
      <c r="D261" s="13">
        <f>_Consolidado!D259</f>
        <v/>
      </c>
      <c r="E261" s="13">
        <f>SE(A261="";E260;E260+SEERRO(C261;0)-SEERRO(D261;0))</f>
        <v/>
      </c>
    </row>
    <row r="262">
      <c r="A262" s="31">
        <f>_Consolidado!A260</f>
        <v/>
      </c>
      <c r="B262" s="4">
        <f>_Consolidado!B260</f>
        <v/>
      </c>
      <c r="C262" s="13">
        <f>_Consolidado!C260</f>
        <v/>
      </c>
      <c r="D262" s="13">
        <f>_Consolidado!D260</f>
        <v/>
      </c>
      <c r="E262" s="13">
        <f>SE(A262="";E261;E261+SEERRO(C262;0)-SEERRO(D262;0))</f>
        <v/>
      </c>
    </row>
    <row r="263">
      <c r="A263" s="31">
        <f>_Consolidado!A261</f>
        <v/>
      </c>
      <c r="B263" s="4">
        <f>_Consolidado!B261</f>
        <v/>
      </c>
      <c r="C263" s="13">
        <f>_Consolidado!C261</f>
        <v/>
      </c>
      <c r="D263" s="13">
        <f>_Consolidado!D261</f>
        <v/>
      </c>
      <c r="E263" s="13">
        <f>SE(A263="";E262;E262+SEERRO(C263;0)-SEERRO(D263;0))</f>
        <v/>
      </c>
    </row>
    <row r="264">
      <c r="A264" s="31">
        <f>_Consolidado!A262</f>
        <v/>
      </c>
      <c r="B264" s="4">
        <f>_Consolidado!B262</f>
        <v/>
      </c>
      <c r="C264" s="13">
        <f>_Consolidado!C262</f>
        <v/>
      </c>
      <c r="D264" s="13">
        <f>_Consolidado!D262</f>
        <v/>
      </c>
      <c r="E264" s="13">
        <f>SE(A264="";E263;E263+SEERRO(C264;0)-SEERRO(D264;0))</f>
        <v/>
      </c>
    </row>
    <row r="265">
      <c r="A265" s="31">
        <f>_Consolidado!A263</f>
        <v/>
      </c>
      <c r="B265" s="4">
        <f>_Consolidado!B263</f>
        <v/>
      </c>
      <c r="C265" s="13">
        <f>_Consolidado!C263</f>
        <v/>
      </c>
      <c r="D265" s="13">
        <f>_Consolidado!D263</f>
        <v/>
      </c>
      <c r="E265" s="13">
        <f>SE(A265="";E264;E264+SEERRO(C265;0)-SEERRO(D265;0))</f>
        <v/>
      </c>
    </row>
    <row r="266">
      <c r="A266" s="31">
        <f>_Consolidado!A264</f>
        <v/>
      </c>
      <c r="B266" s="4">
        <f>_Consolidado!B264</f>
        <v/>
      </c>
      <c r="C266" s="13">
        <f>_Consolidado!C264</f>
        <v/>
      </c>
      <c r="D266" s="13">
        <f>_Consolidado!D264</f>
        <v/>
      </c>
      <c r="E266" s="13">
        <f>SE(A266="";E265;E265+SEERRO(C266;0)-SEERRO(D266;0))</f>
        <v/>
      </c>
    </row>
    <row r="267">
      <c r="A267" s="31">
        <f>_Consolidado!A265</f>
        <v/>
      </c>
      <c r="B267" s="4">
        <f>_Consolidado!B265</f>
        <v/>
      </c>
      <c r="C267" s="13">
        <f>_Consolidado!C265</f>
        <v/>
      </c>
      <c r="D267" s="13">
        <f>_Consolidado!D265</f>
        <v/>
      </c>
      <c r="E267" s="13">
        <f>SE(A267="";E266;E266+SEERRO(C267;0)-SEERRO(D267;0))</f>
        <v/>
      </c>
    </row>
    <row r="268">
      <c r="A268" s="31">
        <f>_Consolidado!A266</f>
        <v/>
      </c>
      <c r="B268" s="4">
        <f>_Consolidado!B266</f>
        <v/>
      </c>
      <c r="C268" s="13">
        <f>_Consolidado!C266</f>
        <v/>
      </c>
      <c r="D268" s="13">
        <f>_Consolidado!D266</f>
        <v/>
      </c>
      <c r="E268" s="13">
        <f>SE(A268="";E267;E267+SEERRO(C268;0)-SEERRO(D268;0))</f>
        <v/>
      </c>
    </row>
    <row r="269">
      <c r="A269" s="31">
        <f>_Consolidado!A267</f>
        <v/>
      </c>
      <c r="B269" s="4">
        <f>_Consolidado!B267</f>
        <v/>
      </c>
      <c r="C269" s="13">
        <f>_Consolidado!C267</f>
        <v/>
      </c>
      <c r="D269" s="13">
        <f>_Consolidado!D267</f>
        <v/>
      </c>
      <c r="E269" s="13">
        <f>SE(A269="";E268;E268+SEERRO(C269;0)-SEERRO(D269;0))</f>
        <v/>
      </c>
    </row>
    <row r="270">
      <c r="A270" s="31">
        <f>_Consolidado!A268</f>
        <v/>
      </c>
      <c r="B270" s="4">
        <f>_Consolidado!B268</f>
        <v/>
      </c>
      <c r="C270" s="13">
        <f>_Consolidado!C268</f>
        <v/>
      </c>
      <c r="D270" s="13">
        <f>_Consolidado!D268</f>
        <v/>
      </c>
      <c r="E270" s="13">
        <f>SE(A270="";E269;E269+SEERRO(C270;0)-SEERRO(D270;0))</f>
        <v/>
      </c>
    </row>
    <row r="271">
      <c r="A271" s="31">
        <f>_Consolidado!A269</f>
        <v/>
      </c>
      <c r="B271" s="4">
        <f>_Consolidado!B269</f>
        <v/>
      </c>
      <c r="C271" s="13">
        <f>_Consolidado!C269</f>
        <v/>
      </c>
      <c r="D271" s="13">
        <f>_Consolidado!D269</f>
        <v/>
      </c>
      <c r="E271" s="13">
        <f>SE(A271="";E270;E270+SEERRO(C271;0)-SEERRO(D271;0))</f>
        <v/>
      </c>
    </row>
    <row r="272">
      <c r="A272" s="31">
        <f>_Consolidado!A270</f>
        <v/>
      </c>
      <c r="B272" s="4">
        <f>_Consolidado!B270</f>
        <v/>
      </c>
      <c r="C272" s="13">
        <f>_Consolidado!C270</f>
        <v/>
      </c>
      <c r="D272" s="13">
        <f>_Consolidado!D270</f>
        <v/>
      </c>
      <c r="E272" s="13">
        <f>SE(A272="";E271;E271+SEERRO(C272;0)-SEERRO(D272;0))</f>
        <v/>
      </c>
    </row>
    <row r="273">
      <c r="A273" s="31">
        <f>_Consolidado!A271</f>
        <v/>
      </c>
      <c r="B273" s="4">
        <f>_Consolidado!B271</f>
        <v/>
      </c>
      <c r="C273" s="13">
        <f>_Consolidado!C271</f>
        <v/>
      </c>
      <c r="D273" s="13">
        <f>_Consolidado!D271</f>
        <v/>
      </c>
      <c r="E273" s="13">
        <f>SE(A273="";E272;E272+SEERRO(C273;0)-SEERRO(D273;0))</f>
        <v/>
      </c>
    </row>
    <row r="274">
      <c r="A274" s="31">
        <f>_Consolidado!A272</f>
        <v/>
      </c>
      <c r="B274" s="4">
        <f>_Consolidado!B272</f>
        <v/>
      </c>
      <c r="C274" s="13">
        <f>_Consolidado!C272</f>
        <v/>
      </c>
      <c r="D274" s="13">
        <f>_Consolidado!D272</f>
        <v/>
      </c>
      <c r="E274" s="13">
        <f>SE(A274="";E273;E273+SEERRO(C274;0)-SEERRO(D274;0))</f>
        <v/>
      </c>
    </row>
    <row r="275">
      <c r="A275" s="31">
        <f>_Consolidado!A273</f>
        <v/>
      </c>
      <c r="B275" s="4">
        <f>_Consolidado!B273</f>
        <v/>
      </c>
      <c r="C275" s="13">
        <f>_Consolidado!C273</f>
        <v/>
      </c>
      <c r="D275" s="13">
        <f>_Consolidado!D273</f>
        <v/>
      </c>
      <c r="E275" s="13">
        <f>SE(A275="";E274;E274+SEERRO(C275;0)-SEERRO(D275;0))</f>
        <v/>
      </c>
    </row>
    <row r="276">
      <c r="A276" s="31">
        <f>_Consolidado!A274</f>
        <v/>
      </c>
      <c r="B276" s="4">
        <f>_Consolidado!B274</f>
        <v/>
      </c>
      <c r="C276" s="13">
        <f>_Consolidado!C274</f>
        <v/>
      </c>
      <c r="D276" s="13">
        <f>_Consolidado!D274</f>
        <v/>
      </c>
      <c r="E276" s="13">
        <f>SE(A276="";E275;E275+SEERRO(C276;0)-SEERRO(D276;0))</f>
        <v/>
      </c>
    </row>
    <row r="277">
      <c r="A277" s="31">
        <f>_Consolidado!A275</f>
        <v/>
      </c>
      <c r="B277" s="4">
        <f>_Consolidado!B275</f>
        <v/>
      </c>
      <c r="C277" s="13">
        <f>_Consolidado!C275</f>
        <v/>
      </c>
      <c r="D277" s="13">
        <f>_Consolidado!D275</f>
        <v/>
      </c>
      <c r="E277" s="13">
        <f>SE(A277="";E276;E276+SEERRO(C277;0)-SEERRO(D277;0))</f>
        <v/>
      </c>
    </row>
    <row r="278">
      <c r="A278" s="31">
        <f>_Consolidado!A276</f>
        <v/>
      </c>
      <c r="B278" s="4">
        <f>_Consolidado!B276</f>
        <v/>
      </c>
      <c r="C278" s="13">
        <f>_Consolidado!C276</f>
        <v/>
      </c>
      <c r="D278" s="13">
        <f>_Consolidado!D276</f>
        <v/>
      </c>
      <c r="E278" s="13">
        <f>SE(A278="";E277;E277+SEERRO(C278;0)-SEERRO(D278;0))</f>
        <v/>
      </c>
    </row>
    <row r="279">
      <c r="A279" s="31">
        <f>_Consolidado!A277</f>
        <v/>
      </c>
      <c r="B279" s="4">
        <f>_Consolidado!B277</f>
        <v/>
      </c>
      <c r="C279" s="13">
        <f>_Consolidado!C277</f>
        <v/>
      </c>
      <c r="D279" s="13">
        <f>_Consolidado!D277</f>
        <v/>
      </c>
      <c r="E279" s="13">
        <f>SE(A279="";E278;E278+SEERRO(C279;0)-SEERRO(D279;0))</f>
        <v/>
      </c>
    </row>
    <row r="280">
      <c r="A280" s="31">
        <f>_Consolidado!A278</f>
        <v/>
      </c>
      <c r="B280" s="4">
        <f>_Consolidado!B278</f>
        <v/>
      </c>
      <c r="C280" s="13">
        <f>_Consolidado!C278</f>
        <v/>
      </c>
      <c r="D280" s="13">
        <f>_Consolidado!D278</f>
        <v/>
      </c>
      <c r="E280" s="13">
        <f>SE(A280="";E279;E279+SEERRO(C280;0)-SEERRO(D280;0))</f>
        <v/>
      </c>
    </row>
    <row r="281">
      <c r="A281" s="31">
        <f>_Consolidado!A279</f>
        <v/>
      </c>
      <c r="B281" s="4">
        <f>_Consolidado!B279</f>
        <v/>
      </c>
      <c r="C281" s="13">
        <f>_Consolidado!C279</f>
        <v/>
      </c>
      <c r="D281" s="13">
        <f>_Consolidado!D279</f>
        <v/>
      </c>
      <c r="E281" s="13">
        <f>SE(A281="";E280;E280+SEERRO(C281;0)-SEERRO(D281;0))</f>
        <v/>
      </c>
    </row>
    <row r="282">
      <c r="A282" s="31">
        <f>_Consolidado!A280</f>
        <v/>
      </c>
      <c r="B282" s="4">
        <f>_Consolidado!B280</f>
        <v/>
      </c>
      <c r="C282" s="13">
        <f>_Consolidado!C280</f>
        <v/>
      </c>
      <c r="D282" s="13">
        <f>_Consolidado!D280</f>
        <v/>
      </c>
      <c r="E282" s="13">
        <f>SE(A282="";E281;E281+SEERRO(C282;0)-SEERRO(D282;0))</f>
        <v/>
      </c>
    </row>
    <row r="283">
      <c r="A283" s="31">
        <f>_Consolidado!A281</f>
        <v/>
      </c>
      <c r="B283" s="4">
        <f>_Consolidado!B281</f>
        <v/>
      </c>
      <c r="C283" s="13">
        <f>_Consolidado!C281</f>
        <v/>
      </c>
      <c r="D283" s="13">
        <f>_Consolidado!D281</f>
        <v/>
      </c>
      <c r="E283" s="13">
        <f>SE(A283="";E282;E282+SEERRO(C283;0)-SEERRO(D283;0))</f>
        <v/>
      </c>
    </row>
    <row r="284">
      <c r="A284" s="31">
        <f>_Consolidado!A282</f>
        <v/>
      </c>
      <c r="B284" s="4">
        <f>_Consolidado!B282</f>
        <v/>
      </c>
      <c r="C284" s="13">
        <f>_Consolidado!C282</f>
        <v/>
      </c>
      <c r="D284" s="13">
        <f>_Consolidado!D282</f>
        <v/>
      </c>
      <c r="E284" s="13">
        <f>SE(A284="";E283;E283+SEERRO(C284;0)-SEERRO(D284;0))</f>
        <v/>
      </c>
    </row>
    <row r="285">
      <c r="A285" s="31">
        <f>_Consolidado!A283</f>
        <v/>
      </c>
      <c r="B285" s="4">
        <f>_Consolidado!B283</f>
        <v/>
      </c>
      <c r="C285" s="13">
        <f>_Consolidado!C283</f>
        <v/>
      </c>
      <c r="D285" s="13">
        <f>_Consolidado!D283</f>
        <v/>
      </c>
      <c r="E285" s="13">
        <f>SE(A285="";E284;E284+SEERRO(C285;0)-SEERRO(D285;0))</f>
        <v/>
      </c>
    </row>
    <row r="286">
      <c r="A286" s="31">
        <f>_Consolidado!A284</f>
        <v/>
      </c>
      <c r="B286" s="4">
        <f>_Consolidado!B284</f>
        <v/>
      </c>
      <c r="C286" s="13">
        <f>_Consolidado!C284</f>
        <v/>
      </c>
      <c r="D286" s="13">
        <f>_Consolidado!D284</f>
        <v/>
      </c>
      <c r="E286" s="13">
        <f>SE(A286="";E285;E285+SEERRO(C286;0)-SEERRO(D286;0))</f>
        <v/>
      </c>
    </row>
    <row r="287">
      <c r="A287" s="31">
        <f>_Consolidado!A285</f>
        <v/>
      </c>
      <c r="B287" s="4">
        <f>_Consolidado!B285</f>
        <v/>
      </c>
      <c r="C287" s="13">
        <f>_Consolidado!C285</f>
        <v/>
      </c>
      <c r="D287" s="13">
        <f>_Consolidado!D285</f>
        <v/>
      </c>
      <c r="E287" s="13">
        <f>SE(A287="";E286;E286+SEERRO(C287;0)-SEERRO(D287;0))</f>
        <v/>
      </c>
    </row>
    <row r="288">
      <c r="A288" s="31">
        <f>_Consolidado!A286</f>
        <v/>
      </c>
      <c r="B288" s="4">
        <f>_Consolidado!B286</f>
        <v/>
      </c>
      <c r="C288" s="13">
        <f>_Consolidado!C286</f>
        <v/>
      </c>
      <c r="D288" s="13">
        <f>_Consolidado!D286</f>
        <v/>
      </c>
      <c r="E288" s="13">
        <f>SE(A288="";E287;E287+SEERRO(C288;0)-SEERRO(D288;0))</f>
        <v/>
      </c>
    </row>
    <row r="289">
      <c r="A289" s="31">
        <f>_Consolidado!A287</f>
        <v/>
      </c>
      <c r="B289" s="4">
        <f>_Consolidado!B287</f>
        <v/>
      </c>
      <c r="C289" s="13">
        <f>_Consolidado!C287</f>
        <v/>
      </c>
      <c r="D289" s="13">
        <f>_Consolidado!D287</f>
        <v/>
      </c>
      <c r="E289" s="13">
        <f>SE(A289="";E288;E288+SEERRO(C289;0)-SEERRO(D289;0))</f>
        <v/>
      </c>
    </row>
    <row r="290">
      <c r="A290" s="31">
        <f>_Consolidado!A288</f>
        <v/>
      </c>
      <c r="B290" s="4">
        <f>_Consolidado!B288</f>
        <v/>
      </c>
      <c r="C290" s="13">
        <f>_Consolidado!C288</f>
        <v/>
      </c>
      <c r="D290" s="13">
        <f>_Consolidado!D288</f>
        <v/>
      </c>
      <c r="E290" s="13">
        <f>SE(A290="";E289;E289+SEERRO(C290;0)-SEERRO(D290;0))</f>
        <v/>
      </c>
    </row>
    <row r="291">
      <c r="A291" s="31">
        <f>_Consolidado!A289</f>
        <v/>
      </c>
      <c r="B291" s="4">
        <f>_Consolidado!B289</f>
        <v/>
      </c>
      <c r="C291" s="13">
        <f>_Consolidado!C289</f>
        <v/>
      </c>
      <c r="D291" s="13">
        <f>_Consolidado!D289</f>
        <v/>
      </c>
      <c r="E291" s="13">
        <f>SE(A291="";E290;E290+SEERRO(C291;0)-SEERRO(D291;0))</f>
        <v/>
      </c>
    </row>
    <row r="292">
      <c r="A292" s="31">
        <f>_Consolidado!A290</f>
        <v/>
      </c>
      <c r="B292" s="4">
        <f>_Consolidado!B290</f>
        <v/>
      </c>
      <c r="C292" s="13">
        <f>_Consolidado!C290</f>
        <v/>
      </c>
      <c r="D292" s="13">
        <f>_Consolidado!D290</f>
        <v/>
      </c>
      <c r="E292" s="13">
        <f>SE(A292="";E291;E291+SEERRO(C292;0)-SEERRO(D292;0))</f>
        <v/>
      </c>
    </row>
    <row r="293">
      <c r="A293" s="31">
        <f>_Consolidado!A291</f>
        <v/>
      </c>
      <c r="B293" s="4">
        <f>_Consolidado!B291</f>
        <v/>
      </c>
      <c r="C293" s="13">
        <f>_Consolidado!C291</f>
        <v/>
      </c>
      <c r="D293" s="13">
        <f>_Consolidado!D291</f>
        <v/>
      </c>
      <c r="E293" s="13">
        <f>SE(A293="";E292;E292+SEERRO(C293;0)-SEERRO(D293;0))</f>
        <v/>
      </c>
    </row>
    <row r="294">
      <c r="A294" s="31">
        <f>_Consolidado!A292</f>
        <v/>
      </c>
      <c r="B294" s="4">
        <f>_Consolidado!B292</f>
        <v/>
      </c>
      <c r="C294" s="13">
        <f>_Consolidado!C292</f>
        <v/>
      </c>
      <c r="D294" s="13">
        <f>_Consolidado!D292</f>
        <v/>
      </c>
      <c r="E294" s="13">
        <f>SE(A294="";E293;E293+SEERRO(C294;0)-SEERRO(D294;0))</f>
        <v/>
      </c>
    </row>
    <row r="295">
      <c r="A295" s="31">
        <f>_Consolidado!A293</f>
        <v/>
      </c>
      <c r="B295" s="4">
        <f>_Consolidado!B293</f>
        <v/>
      </c>
      <c r="C295" s="13">
        <f>_Consolidado!C293</f>
        <v/>
      </c>
      <c r="D295" s="13">
        <f>_Consolidado!D293</f>
        <v/>
      </c>
      <c r="E295" s="13">
        <f>SE(A295="";E294;E294+SEERRO(C295;0)-SEERRO(D295;0))</f>
        <v/>
      </c>
    </row>
    <row r="296">
      <c r="A296" s="31">
        <f>_Consolidado!A294</f>
        <v/>
      </c>
      <c r="B296" s="4">
        <f>_Consolidado!B294</f>
        <v/>
      </c>
      <c r="C296" s="13">
        <f>_Consolidado!C294</f>
        <v/>
      </c>
      <c r="D296" s="13">
        <f>_Consolidado!D294</f>
        <v/>
      </c>
      <c r="E296" s="13">
        <f>SE(A296="";E295;E295+SEERRO(C296;0)-SEERRO(D296;0))</f>
        <v/>
      </c>
    </row>
    <row r="297">
      <c r="A297" s="31">
        <f>_Consolidado!A295</f>
        <v/>
      </c>
      <c r="B297" s="4">
        <f>_Consolidado!B295</f>
        <v/>
      </c>
      <c r="C297" s="13">
        <f>_Consolidado!C295</f>
        <v/>
      </c>
      <c r="D297" s="13">
        <f>_Consolidado!D295</f>
        <v/>
      </c>
      <c r="E297" s="13">
        <f>SE(A297="";E296;E296+SEERRO(C297;0)-SEERRO(D297;0))</f>
        <v/>
      </c>
    </row>
    <row r="298">
      <c r="A298" s="31">
        <f>_Consolidado!A296</f>
        <v/>
      </c>
      <c r="B298" s="4">
        <f>_Consolidado!B296</f>
        <v/>
      </c>
      <c r="C298" s="13">
        <f>_Consolidado!C296</f>
        <v/>
      </c>
      <c r="D298" s="13">
        <f>_Consolidado!D296</f>
        <v/>
      </c>
      <c r="E298" s="13">
        <f>SE(A298="";E297;E297+SEERRO(C298;0)-SEERRO(D298;0))</f>
        <v/>
      </c>
    </row>
    <row r="299">
      <c r="A299" s="31">
        <f>_Consolidado!A297</f>
        <v/>
      </c>
      <c r="B299" s="4">
        <f>_Consolidado!B297</f>
        <v/>
      </c>
      <c r="C299" s="13">
        <f>_Consolidado!C297</f>
        <v/>
      </c>
      <c r="D299" s="13">
        <f>_Consolidado!D297</f>
        <v/>
      </c>
      <c r="E299" s="13">
        <f>SE(A299="";E298;E298+SEERRO(C299;0)-SEERRO(D299;0))</f>
        <v/>
      </c>
    </row>
    <row r="300">
      <c r="A300" s="31">
        <f>_Consolidado!A298</f>
        <v/>
      </c>
      <c r="B300" s="4">
        <f>_Consolidado!B298</f>
        <v/>
      </c>
      <c r="C300" s="13">
        <f>_Consolidado!C298</f>
        <v/>
      </c>
      <c r="D300" s="13">
        <f>_Consolidado!D298</f>
        <v/>
      </c>
      <c r="E300" s="13">
        <f>SE(A300="";E299;E299+SEERRO(C300;0)-SEERRO(D300;0))</f>
        <v/>
      </c>
    </row>
    <row r="301">
      <c r="A301" s="31">
        <f>_Consolidado!A299</f>
        <v/>
      </c>
      <c r="B301" s="4">
        <f>_Consolidado!B299</f>
        <v/>
      </c>
      <c r="C301" s="13">
        <f>_Consolidado!C299</f>
        <v/>
      </c>
      <c r="D301" s="13">
        <f>_Consolidado!D299</f>
        <v/>
      </c>
      <c r="E301" s="13">
        <f>SE(A301="";E300;E300+SEERRO(C301;0)-SEERRO(D301;0))</f>
        <v/>
      </c>
    </row>
    <row r="302">
      <c r="A302" s="31">
        <f>_Consolidado!A300</f>
        <v/>
      </c>
      <c r="B302" s="4">
        <f>_Consolidado!B300</f>
        <v/>
      </c>
      <c r="C302" s="13">
        <f>_Consolidado!C300</f>
        <v/>
      </c>
      <c r="D302" s="13">
        <f>_Consolidado!D300</f>
        <v/>
      </c>
      <c r="E302" s="13">
        <f>SE(A302="";E301;E301+SEERRO(C302;0)-SEERRO(D302;0))</f>
        <v/>
      </c>
    </row>
    <row r="303">
      <c r="A303" s="31">
        <f>_Consolidado!A301</f>
        <v/>
      </c>
      <c r="B303" s="4">
        <f>_Consolidado!B301</f>
        <v/>
      </c>
      <c r="C303" s="13">
        <f>_Consolidado!C301</f>
        <v/>
      </c>
      <c r="D303" s="13">
        <f>_Consolidado!D301</f>
        <v/>
      </c>
      <c r="E303" s="13">
        <f>SE(A303="";E302;E302+SEERRO(C303;0)-SEERRO(D303;0))</f>
        <v/>
      </c>
    </row>
    <row r="304">
      <c r="A304" s="31">
        <f>_Consolidado!A302</f>
        <v/>
      </c>
      <c r="B304" s="4">
        <f>_Consolidado!B302</f>
        <v/>
      </c>
      <c r="C304" s="13">
        <f>_Consolidado!C302</f>
        <v/>
      </c>
      <c r="D304" s="13">
        <f>_Consolidado!D302</f>
        <v/>
      </c>
      <c r="E304" s="13">
        <f>SE(A304="";E303;E303+SEERRO(C304;0)-SEERRO(D304;0))</f>
        <v/>
      </c>
    </row>
    <row r="305">
      <c r="A305" s="31">
        <f>_Consolidado!A303</f>
        <v/>
      </c>
      <c r="B305" s="4">
        <f>_Consolidado!B303</f>
        <v/>
      </c>
      <c r="C305" s="13">
        <f>_Consolidado!C303</f>
        <v/>
      </c>
      <c r="D305" s="13">
        <f>_Consolidado!D303</f>
        <v/>
      </c>
      <c r="E305" s="13">
        <f>SE(A305="";E304;E304+SEERRO(C305;0)-SEERRO(D305;0))</f>
        <v/>
      </c>
    </row>
    <row r="306">
      <c r="A306" s="31">
        <f>_Consolidado!A304</f>
        <v/>
      </c>
      <c r="B306" s="4">
        <f>_Consolidado!B304</f>
        <v/>
      </c>
      <c r="C306" s="13">
        <f>_Consolidado!C304</f>
        <v/>
      </c>
      <c r="D306" s="13">
        <f>_Consolidado!D304</f>
        <v/>
      </c>
      <c r="E306" s="13">
        <f>SE(A306="";E305;E305+SEERRO(C306;0)-SEERRO(D306;0))</f>
        <v/>
      </c>
    </row>
    <row r="307">
      <c r="A307" s="31">
        <f>_Consolidado!A305</f>
        <v/>
      </c>
      <c r="B307" s="4">
        <f>_Consolidado!B305</f>
        <v/>
      </c>
      <c r="C307" s="13">
        <f>_Consolidado!C305</f>
        <v/>
      </c>
      <c r="D307" s="13">
        <f>_Consolidado!D305</f>
        <v/>
      </c>
      <c r="E307" s="13">
        <f>SE(A307="";E306;E306+SEERRO(C307;0)-SEERRO(D307;0))</f>
        <v/>
      </c>
    </row>
    <row r="308">
      <c r="A308" s="31">
        <f>_Consolidado!A306</f>
        <v/>
      </c>
      <c r="B308" s="4">
        <f>_Consolidado!B306</f>
        <v/>
      </c>
      <c r="C308" s="13">
        <f>_Consolidado!C306</f>
        <v/>
      </c>
      <c r="D308" s="13">
        <f>_Consolidado!D306</f>
        <v/>
      </c>
      <c r="E308" s="13">
        <f>SE(A308="";E307;E307+SEERRO(C308;0)-SEERRO(D308;0))</f>
        <v/>
      </c>
    </row>
    <row r="309">
      <c r="A309" s="31">
        <f>_Consolidado!A307</f>
        <v/>
      </c>
      <c r="B309" s="4">
        <f>_Consolidado!B307</f>
        <v/>
      </c>
      <c r="C309" s="13">
        <f>_Consolidado!C307</f>
        <v/>
      </c>
      <c r="D309" s="13">
        <f>_Consolidado!D307</f>
        <v/>
      </c>
      <c r="E309" s="13">
        <f>SE(A309="";E308;E308+SEERRO(C309;0)-SEERRO(D309;0))</f>
        <v/>
      </c>
    </row>
    <row r="310">
      <c r="A310" s="31">
        <f>_Consolidado!A308</f>
        <v/>
      </c>
      <c r="B310" s="4">
        <f>_Consolidado!B308</f>
        <v/>
      </c>
      <c r="C310" s="13">
        <f>_Consolidado!C308</f>
        <v/>
      </c>
      <c r="D310" s="13">
        <f>_Consolidado!D308</f>
        <v/>
      </c>
      <c r="E310" s="13">
        <f>SE(A310="";E309;E309+SEERRO(C310;0)-SEERRO(D310;0))</f>
        <v/>
      </c>
    </row>
    <row r="311">
      <c r="A311" s="31">
        <f>_Consolidado!A309</f>
        <v/>
      </c>
      <c r="B311" s="4">
        <f>_Consolidado!B309</f>
        <v/>
      </c>
      <c r="C311" s="13">
        <f>_Consolidado!C309</f>
        <v/>
      </c>
      <c r="D311" s="13">
        <f>_Consolidado!D309</f>
        <v/>
      </c>
      <c r="E311" s="13">
        <f>SE(A311="";E310;E310+SEERRO(C311;0)-SEERRO(D311;0))</f>
        <v/>
      </c>
    </row>
    <row r="312">
      <c r="A312" s="31">
        <f>_Consolidado!A310</f>
        <v/>
      </c>
      <c r="B312" s="4">
        <f>_Consolidado!B310</f>
        <v/>
      </c>
      <c r="C312" s="13">
        <f>_Consolidado!C310</f>
        <v/>
      </c>
      <c r="D312" s="13">
        <f>_Consolidado!D310</f>
        <v/>
      </c>
      <c r="E312" s="13">
        <f>SE(A312="";E311;E311+SEERRO(C312;0)-SEERRO(D312;0))</f>
        <v/>
      </c>
    </row>
    <row r="313">
      <c r="A313" s="31">
        <f>_Consolidado!A311</f>
        <v/>
      </c>
      <c r="B313" s="4">
        <f>_Consolidado!B311</f>
        <v/>
      </c>
      <c r="C313" s="13">
        <f>_Consolidado!C311</f>
        <v/>
      </c>
      <c r="D313" s="13">
        <f>_Consolidado!D311</f>
        <v/>
      </c>
      <c r="E313" s="13">
        <f>SE(A313="";E312;E312+SEERRO(C313;0)-SEERRO(D313;0))</f>
        <v/>
      </c>
    </row>
    <row r="314">
      <c r="A314" s="31">
        <f>_Consolidado!A312</f>
        <v/>
      </c>
      <c r="B314" s="4">
        <f>_Consolidado!B312</f>
        <v/>
      </c>
      <c r="C314" s="13">
        <f>_Consolidado!C312</f>
        <v/>
      </c>
      <c r="D314" s="13">
        <f>_Consolidado!D312</f>
        <v/>
      </c>
      <c r="E314" s="13">
        <f>SE(A314="";E313;E313+SEERRO(C314;0)-SEERRO(D314;0))</f>
        <v/>
      </c>
    </row>
    <row r="315">
      <c r="A315" s="31">
        <f>_Consolidado!A313</f>
        <v/>
      </c>
      <c r="B315" s="4">
        <f>_Consolidado!B313</f>
        <v/>
      </c>
      <c r="C315" s="13">
        <f>_Consolidado!C313</f>
        <v/>
      </c>
      <c r="D315" s="13">
        <f>_Consolidado!D313</f>
        <v/>
      </c>
      <c r="E315" s="13">
        <f>SE(A315="";E314;E314+SEERRO(C315;0)-SEERRO(D315;0))</f>
        <v/>
      </c>
    </row>
    <row r="316">
      <c r="A316" s="31">
        <f>_Consolidado!A314</f>
        <v/>
      </c>
      <c r="B316" s="4">
        <f>_Consolidado!B314</f>
        <v/>
      </c>
      <c r="C316" s="13">
        <f>_Consolidado!C314</f>
        <v/>
      </c>
      <c r="D316" s="13">
        <f>_Consolidado!D314</f>
        <v/>
      </c>
      <c r="E316" s="13">
        <f>SE(A316="";E315;E315+SEERRO(C316;0)-SEERRO(D316;0))</f>
        <v/>
      </c>
    </row>
    <row r="317">
      <c r="A317" s="31">
        <f>_Consolidado!A315</f>
        <v/>
      </c>
      <c r="B317" s="4">
        <f>_Consolidado!B315</f>
        <v/>
      </c>
      <c r="C317" s="13">
        <f>_Consolidado!C315</f>
        <v/>
      </c>
      <c r="D317" s="13">
        <f>_Consolidado!D315</f>
        <v/>
      </c>
      <c r="E317" s="13">
        <f>SE(A317="";E316;E316+SEERRO(C317;0)-SEERRO(D317;0))</f>
        <v/>
      </c>
    </row>
    <row r="318">
      <c r="A318" s="31">
        <f>_Consolidado!A316</f>
        <v/>
      </c>
      <c r="B318" s="4">
        <f>_Consolidado!B316</f>
        <v/>
      </c>
      <c r="C318" s="13">
        <f>_Consolidado!C316</f>
        <v/>
      </c>
      <c r="D318" s="13">
        <f>_Consolidado!D316</f>
        <v/>
      </c>
      <c r="E318" s="13">
        <f>SE(A318="";E317;E317+SEERRO(C318;0)-SEERRO(D318;0))</f>
        <v/>
      </c>
    </row>
    <row r="319">
      <c r="A319" s="31">
        <f>_Consolidado!A317</f>
        <v/>
      </c>
      <c r="B319" s="4">
        <f>_Consolidado!B317</f>
        <v/>
      </c>
      <c r="C319" s="13">
        <f>_Consolidado!C317</f>
        <v/>
      </c>
      <c r="D319" s="13">
        <f>_Consolidado!D317</f>
        <v/>
      </c>
      <c r="E319" s="13">
        <f>SE(A319="";E318;E318+SEERRO(C319;0)-SEERRO(D319;0))</f>
        <v/>
      </c>
    </row>
    <row r="320">
      <c r="A320" s="31">
        <f>_Consolidado!A318</f>
        <v/>
      </c>
      <c r="B320" s="4">
        <f>_Consolidado!B318</f>
        <v/>
      </c>
      <c r="C320" s="13">
        <f>_Consolidado!C318</f>
        <v/>
      </c>
      <c r="D320" s="13">
        <f>_Consolidado!D318</f>
        <v/>
      </c>
      <c r="E320" s="13">
        <f>SE(A320="";E319;E319+SEERRO(C320;0)-SEERRO(D320;0))</f>
        <v/>
      </c>
    </row>
    <row r="321">
      <c r="A321" s="31">
        <f>_Consolidado!A319</f>
        <v/>
      </c>
      <c r="B321" s="4">
        <f>_Consolidado!B319</f>
        <v/>
      </c>
      <c r="C321" s="13">
        <f>_Consolidado!C319</f>
        <v/>
      </c>
      <c r="D321" s="13">
        <f>_Consolidado!D319</f>
        <v/>
      </c>
      <c r="E321" s="13">
        <f>SE(A321="";E320;E320+SEERRO(C321;0)-SEERRO(D321;0))</f>
        <v/>
      </c>
    </row>
    <row r="322">
      <c r="A322" s="31">
        <f>_Consolidado!A320</f>
        <v/>
      </c>
      <c r="B322" s="4">
        <f>_Consolidado!B320</f>
        <v/>
      </c>
      <c r="C322" s="13">
        <f>_Consolidado!C320</f>
        <v/>
      </c>
      <c r="D322" s="13">
        <f>_Consolidado!D320</f>
        <v/>
      </c>
      <c r="E322" s="13">
        <f>SE(A322="";E321;E321+SEERRO(C322;0)-SEERRO(D322;0))</f>
        <v/>
      </c>
    </row>
    <row r="323">
      <c r="A323" s="31">
        <f>_Consolidado!A321</f>
        <v/>
      </c>
      <c r="B323" s="4">
        <f>_Consolidado!B321</f>
        <v/>
      </c>
      <c r="C323" s="13">
        <f>_Consolidado!C321</f>
        <v/>
      </c>
      <c r="D323" s="13">
        <f>_Consolidado!D321</f>
        <v/>
      </c>
      <c r="E323" s="13">
        <f>SE(A323="";E322;E322+SEERRO(C323;0)-SEERRO(D323;0))</f>
        <v/>
      </c>
    </row>
    <row r="324">
      <c r="A324" s="31">
        <f>_Consolidado!A322</f>
        <v/>
      </c>
      <c r="B324" s="4">
        <f>_Consolidado!B322</f>
        <v/>
      </c>
      <c r="C324" s="13">
        <f>_Consolidado!C322</f>
        <v/>
      </c>
      <c r="D324" s="13">
        <f>_Consolidado!D322</f>
        <v/>
      </c>
      <c r="E324" s="13">
        <f>SE(A324="";E323;E323+SEERRO(C324;0)-SEERRO(D324;0))</f>
        <v/>
      </c>
    </row>
    <row r="325">
      <c r="A325" s="31">
        <f>_Consolidado!A323</f>
        <v/>
      </c>
      <c r="B325" s="4">
        <f>_Consolidado!B323</f>
        <v/>
      </c>
      <c r="C325" s="13">
        <f>_Consolidado!C323</f>
        <v/>
      </c>
      <c r="D325" s="13">
        <f>_Consolidado!D323</f>
        <v/>
      </c>
      <c r="E325" s="13">
        <f>SE(A325="";E324;E324+SEERRO(C325;0)-SEERRO(D325;0))</f>
        <v/>
      </c>
    </row>
    <row r="326">
      <c r="A326" s="31">
        <f>_Consolidado!A324</f>
        <v/>
      </c>
      <c r="B326" s="4">
        <f>_Consolidado!B324</f>
        <v/>
      </c>
      <c r="C326" s="13">
        <f>_Consolidado!C324</f>
        <v/>
      </c>
      <c r="D326" s="13">
        <f>_Consolidado!D324</f>
        <v/>
      </c>
      <c r="E326" s="13">
        <f>SE(A326="";E325;E325+SEERRO(C326;0)-SEERRO(D326;0))</f>
        <v/>
      </c>
    </row>
    <row r="327">
      <c r="A327" s="31">
        <f>_Consolidado!A325</f>
        <v/>
      </c>
      <c r="B327" s="4">
        <f>_Consolidado!B325</f>
        <v/>
      </c>
      <c r="C327" s="13">
        <f>_Consolidado!C325</f>
        <v/>
      </c>
      <c r="D327" s="13">
        <f>_Consolidado!D325</f>
        <v/>
      </c>
      <c r="E327" s="13">
        <f>SE(A327="";E326;E326+SEERRO(C327;0)-SEERRO(D327;0))</f>
        <v/>
      </c>
    </row>
    <row r="328">
      <c r="A328" s="31">
        <f>_Consolidado!A326</f>
        <v/>
      </c>
      <c r="B328" s="4">
        <f>_Consolidado!B326</f>
        <v/>
      </c>
      <c r="C328" s="13">
        <f>_Consolidado!C326</f>
        <v/>
      </c>
      <c r="D328" s="13">
        <f>_Consolidado!D326</f>
        <v/>
      </c>
      <c r="E328" s="13">
        <f>SE(A328="";E327;E327+SEERRO(C328;0)-SEERRO(D328;0))</f>
        <v/>
      </c>
    </row>
    <row r="329">
      <c r="A329" s="31">
        <f>_Consolidado!A327</f>
        <v/>
      </c>
      <c r="B329" s="4">
        <f>_Consolidado!B327</f>
        <v/>
      </c>
      <c r="C329" s="13">
        <f>_Consolidado!C327</f>
        <v/>
      </c>
      <c r="D329" s="13">
        <f>_Consolidado!D327</f>
        <v/>
      </c>
      <c r="E329" s="13">
        <f>SE(A329="";E328;E328+SEERRO(C329;0)-SEERRO(D329;0))</f>
        <v/>
      </c>
    </row>
    <row r="330">
      <c r="A330" s="31">
        <f>_Consolidado!A328</f>
        <v/>
      </c>
      <c r="B330" s="4">
        <f>_Consolidado!B328</f>
        <v/>
      </c>
      <c r="C330" s="13">
        <f>_Consolidado!C328</f>
        <v/>
      </c>
      <c r="D330" s="13">
        <f>_Consolidado!D328</f>
        <v/>
      </c>
      <c r="E330" s="13">
        <f>SE(A330="";E329;E329+SEERRO(C330;0)-SEERRO(D330;0))</f>
        <v/>
      </c>
    </row>
    <row r="331">
      <c r="A331" s="31">
        <f>_Consolidado!A329</f>
        <v/>
      </c>
      <c r="B331" s="4">
        <f>_Consolidado!B329</f>
        <v/>
      </c>
      <c r="C331" s="13">
        <f>_Consolidado!C329</f>
        <v/>
      </c>
      <c r="D331" s="13">
        <f>_Consolidado!D329</f>
        <v/>
      </c>
      <c r="E331" s="13">
        <f>SE(A331="";E330;E330+SEERRO(C331;0)-SEERRO(D331;0))</f>
        <v/>
      </c>
    </row>
    <row r="332">
      <c r="A332" s="31">
        <f>_Consolidado!A330</f>
        <v/>
      </c>
      <c r="B332" s="4">
        <f>_Consolidado!B330</f>
        <v/>
      </c>
      <c r="C332" s="13">
        <f>_Consolidado!C330</f>
        <v/>
      </c>
      <c r="D332" s="13">
        <f>_Consolidado!D330</f>
        <v/>
      </c>
      <c r="E332" s="13">
        <f>SE(A332="";E331;E331+SEERRO(C332;0)-SEERRO(D332;0))</f>
        <v/>
      </c>
    </row>
    <row r="333">
      <c r="A333" s="31">
        <f>_Consolidado!A331</f>
        <v/>
      </c>
      <c r="B333" s="4">
        <f>_Consolidado!B331</f>
        <v/>
      </c>
      <c r="C333" s="13">
        <f>_Consolidado!C331</f>
        <v/>
      </c>
      <c r="D333" s="13">
        <f>_Consolidado!D331</f>
        <v/>
      </c>
      <c r="E333" s="13">
        <f>SE(A333="";E332;E332+SEERRO(C333;0)-SEERRO(D333;0))</f>
        <v/>
      </c>
    </row>
    <row r="334">
      <c r="A334" s="31">
        <f>_Consolidado!A332</f>
        <v/>
      </c>
      <c r="B334" s="4">
        <f>_Consolidado!B332</f>
        <v/>
      </c>
      <c r="C334" s="13">
        <f>_Consolidado!C332</f>
        <v/>
      </c>
      <c r="D334" s="13">
        <f>_Consolidado!D332</f>
        <v/>
      </c>
      <c r="E334" s="13">
        <f>SE(A334="";E333;E333+SEERRO(C334;0)-SEERRO(D334;0))</f>
        <v/>
      </c>
    </row>
    <row r="335">
      <c r="A335" s="31">
        <f>_Consolidado!A333</f>
        <v/>
      </c>
      <c r="B335" s="4">
        <f>_Consolidado!B333</f>
        <v/>
      </c>
      <c r="C335" s="13">
        <f>_Consolidado!C333</f>
        <v/>
      </c>
      <c r="D335" s="13">
        <f>_Consolidado!D333</f>
        <v/>
      </c>
      <c r="E335" s="13">
        <f>SE(A335="";E334;E334+SEERRO(C335;0)-SEERRO(D335;0))</f>
        <v/>
      </c>
    </row>
    <row r="336">
      <c r="A336" s="31">
        <f>_Consolidado!A334</f>
        <v/>
      </c>
      <c r="B336" s="4">
        <f>_Consolidado!B334</f>
        <v/>
      </c>
      <c r="C336" s="13">
        <f>_Consolidado!C334</f>
        <v/>
      </c>
      <c r="D336" s="13">
        <f>_Consolidado!D334</f>
        <v/>
      </c>
      <c r="E336" s="13">
        <f>SE(A336="";E335;E335+SEERRO(C336;0)-SEERRO(D336;0))</f>
        <v/>
      </c>
    </row>
    <row r="337">
      <c r="A337" s="31">
        <f>_Consolidado!A335</f>
        <v/>
      </c>
      <c r="B337" s="4">
        <f>_Consolidado!B335</f>
        <v/>
      </c>
      <c r="C337" s="13">
        <f>_Consolidado!C335</f>
        <v/>
      </c>
      <c r="D337" s="13">
        <f>_Consolidado!D335</f>
        <v/>
      </c>
      <c r="E337" s="13">
        <f>SE(A337="";E336;E336+SEERRO(C337;0)-SEERRO(D337;0))</f>
        <v/>
      </c>
    </row>
    <row r="338">
      <c r="A338" s="31">
        <f>_Consolidado!A336</f>
        <v/>
      </c>
      <c r="B338" s="4">
        <f>_Consolidado!B336</f>
        <v/>
      </c>
      <c r="C338" s="13">
        <f>_Consolidado!C336</f>
        <v/>
      </c>
      <c r="D338" s="13">
        <f>_Consolidado!D336</f>
        <v/>
      </c>
      <c r="E338" s="13">
        <f>SE(A338="";E337;E337+SEERRO(C338;0)-SEERRO(D338;0))</f>
        <v/>
      </c>
    </row>
    <row r="339">
      <c r="A339" s="31">
        <f>_Consolidado!A337</f>
        <v/>
      </c>
      <c r="B339" s="4">
        <f>_Consolidado!B337</f>
        <v/>
      </c>
      <c r="C339" s="13">
        <f>_Consolidado!C337</f>
        <v/>
      </c>
      <c r="D339" s="13">
        <f>_Consolidado!D337</f>
        <v/>
      </c>
      <c r="E339" s="13">
        <f>SE(A339="";E338;E338+SEERRO(C339;0)-SEERRO(D339;0))</f>
        <v/>
      </c>
    </row>
    <row r="340">
      <c r="A340" s="31">
        <f>_Consolidado!A338</f>
        <v/>
      </c>
      <c r="B340" s="4">
        <f>_Consolidado!B338</f>
        <v/>
      </c>
      <c r="C340" s="13">
        <f>_Consolidado!C338</f>
        <v/>
      </c>
      <c r="D340" s="13">
        <f>_Consolidado!D338</f>
        <v/>
      </c>
      <c r="E340" s="13">
        <f>SE(A340="";E339;E339+SEERRO(C340;0)-SEERRO(D340;0))</f>
        <v/>
      </c>
    </row>
    <row r="341">
      <c r="A341" s="31">
        <f>_Consolidado!A339</f>
        <v/>
      </c>
      <c r="B341" s="4">
        <f>_Consolidado!B339</f>
        <v/>
      </c>
      <c r="C341" s="13">
        <f>_Consolidado!C339</f>
        <v/>
      </c>
      <c r="D341" s="13">
        <f>_Consolidado!D339</f>
        <v/>
      </c>
      <c r="E341" s="13">
        <f>SE(A341="";E340;E340+SEERRO(C341;0)-SEERRO(D341;0))</f>
        <v/>
      </c>
    </row>
    <row r="342">
      <c r="A342" s="31">
        <f>_Consolidado!A340</f>
        <v/>
      </c>
      <c r="B342" s="4">
        <f>_Consolidado!B340</f>
        <v/>
      </c>
      <c r="C342" s="13">
        <f>_Consolidado!C340</f>
        <v/>
      </c>
      <c r="D342" s="13">
        <f>_Consolidado!D340</f>
        <v/>
      </c>
      <c r="E342" s="13">
        <f>SE(A342="";E341;E341+SEERRO(C342;0)-SEERRO(D342;0))</f>
        <v/>
      </c>
    </row>
    <row r="343">
      <c r="A343" s="31">
        <f>_Consolidado!A341</f>
        <v/>
      </c>
      <c r="B343" s="4">
        <f>_Consolidado!B341</f>
        <v/>
      </c>
      <c r="C343" s="13">
        <f>_Consolidado!C341</f>
        <v/>
      </c>
      <c r="D343" s="13">
        <f>_Consolidado!D341</f>
        <v/>
      </c>
      <c r="E343" s="13">
        <f>SE(A343="";E342;E342+SEERRO(C343;0)-SEERRO(D343;0))</f>
        <v/>
      </c>
    </row>
    <row r="344">
      <c r="A344" s="31">
        <f>_Consolidado!A342</f>
        <v/>
      </c>
      <c r="B344" s="4">
        <f>_Consolidado!B342</f>
        <v/>
      </c>
      <c r="C344" s="13">
        <f>_Consolidado!C342</f>
        <v/>
      </c>
      <c r="D344" s="13">
        <f>_Consolidado!D342</f>
        <v/>
      </c>
      <c r="E344" s="13">
        <f>SE(A344="";E343;E343+SEERRO(C344;0)-SEERRO(D344;0))</f>
        <v/>
      </c>
    </row>
    <row r="345">
      <c r="A345" s="31">
        <f>_Consolidado!A343</f>
        <v/>
      </c>
      <c r="B345" s="4">
        <f>_Consolidado!B343</f>
        <v/>
      </c>
      <c r="C345" s="13">
        <f>_Consolidado!C343</f>
        <v/>
      </c>
      <c r="D345" s="13">
        <f>_Consolidado!D343</f>
        <v/>
      </c>
      <c r="E345" s="13">
        <f>SE(A345="";E344;E344+SEERRO(C345;0)-SEERRO(D345;0))</f>
        <v/>
      </c>
    </row>
    <row r="346">
      <c r="A346" s="31">
        <f>_Consolidado!A344</f>
        <v/>
      </c>
      <c r="B346" s="4">
        <f>_Consolidado!B344</f>
        <v/>
      </c>
      <c r="C346" s="13">
        <f>_Consolidado!C344</f>
        <v/>
      </c>
      <c r="D346" s="13">
        <f>_Consolidado!D344</f>
        <v/>
      </c>
      <c r="E346" s="13">
        <f>SE(A346="";E345;E345+SEERRO(C346;0)-SEERRO(D346;0))</f>
        <v/>
      </c>
    </row>
    <row r="347">
      <c r="A347" s="31">
        <f>_Consolidado!A345</f>
        <v/>
      </c>
      <c r="B347" s="4">
        <f>_Consolidado!B345</f>
        <v/>
      </c>
      <c r="C347" s="13">
        <f>_Consolidado!C345</f>
        <v/>
      </c>
      <c r="D347" s="13">
        <f>_Consolidado!D345</f>
        <v/>
      </c>
      <c r="E347" s="13">
        <f>SE(A347="";E346;E346+SEERRO(C347;0)-SEERRO(D347;0))</f>
        <v/>
      </c>
    </row>
    <row r="348">
      <c r="A348" s="31">
        <f>_Consolidado!A346</f>
        <v/>
      </c>
      <c r="B348" s="4">
        <f>_Consolidado!B346</f>
        <v/>
      </c>
      <c r="C348" s="13">
        <f>_Consolidado!C346</f>
        <v/>
      </c>
      <c r="D348" s="13">
        <f>_Consolidado!D346</f>
        <v/>
      </c>
      <c r="E348" s="13">
        <f>SE(A348="";E347;E347+SEERRO(C348;0)-SEERRO(D348;0))</f>
        <v/>
      </c>
    </row>
    <row r="349">
      <c r="A349" s="31">
        <f>_Consolidado!A347</f>
        <v/>
      </c>
      <c r="B349" s="4">
        <f>_Consolidado!B347</f>
        <v/>
      </c>
      <c r="C349" s="13">
        <f>_Consolidado!C347</f>
        <v/>
      </c>
      <c r="D349" s="13">
        <f>_Consolidado!D347</f>
        <v/>
      </c>
      <c r="E349" s="13">
        <f>SE(A349="";E348;E348+SEERRO(C349;0)-SEERRO(D349;0))</f>
        <v/>
      </c>
    </row>
    <row r="350">
      <c r="A350" s="31">
        <f>_Consolidado!A348</f>
        <v/>
      </c>
      <c r="B350" s="4">
        <f>_Consolidado!B348</f>
        <v/>
      </c>
      <c r="C350" s="13">
        <f>_Consolidado!C348</f>
        <v/>
      </c>
      <c r="D350" s="13">
        <f>_Consolidado!D348</f>
        <v/>
      </c>
      <c r="E350" s="13">
        <f>SE(A350="";E349;E349+SEERRO(C350;0)-SEERRO(D350;0))</f>
        <v/>
      </c>
    </row>
    <row r="351">
      <c r="A351" s="31">
        <f>_Consolidado!A349</f>
        <v/>
      </c>
      <c r="B351" s="4">
        <f>_Consolidado!B349</f>
        <v/>
      </c>
      <c r="C351" s="13">
        <f>_Consolidado!C349</f>
        <v/>
      </c>
      <c r="D351" s="13">
        <f>_Consolidado!D349</f>
        <v/>
      </c>
      <c r="E351" s="13">
        <f>SE(A351="";E350;E350+SEERRO(C351;0)-SEERRO(D351;0))</f>
        <v/>
      </c>
    </row>
    <row r="352">
      <c r="A352" s="31">
        <f>_Consolidado!A350</f>
        <v/>
      </c>
      <c r="B352" s="4">
        <f>_Consolidado!B350</f>
        <v/>
      </c>
      <c r="C352" s="13">
        <f>_Consolidado!C350</f>
        <v/>
      </c>
      <c r="D352" s="13">
        <f>_Consolidado!D350</f>
        <v/>
      </c>
      <c r="E352" s="13">
        <f>SE(A352="";E351;E351+SEERRO(C352;0)-SEERRO(D352;0))</f>
        <v/>
      </c>
    </row>
    <row r="353">
      <c r="A353" s="31">
        <f>_Consolidado!A351</f>
        <v/>
      </c>
      <c r="B353" s="4">
        <f>_Consolidado!B351</f>
        <v/>
      </c>
      <c r="C353" s="13">
        <f>_Consolidado!C351</f>
        <v/>
      </c>
      <c r="D353" s="13">
        <f>_Consolidado!D351</f>
        <v/>
      </c>
      <c r="E353" s="13">
        <f>SE(A353="";E352;E352+SEERRO(C353;0)-SEERRO(D353;0))</f>
        <v/>
      </c>
    </row>
    <row r="354">
      <c r="A354" s="31">
        <f>_Consolidado!A352</f>
        <v/>
      </c>
      <c r="B354" s="4">
        <f>_Consolidado!B352</f>
        <v/>
      </c>
      <c r="C354" s="13">
        <f>_Consolidado!C352</f>
        <v/>
      </c>
      <c r="D354" s="13">
        <f>_Consolidado!D352</f>
        <v/>
      </c>
      <c r="E354" s="13">
        <f>SE(A354="";E353;E353+SEERRO(C354;0)-SEERRO(D354;0))</f>
        <v/>
      </c>
    </row>
    <row r="355">
      <c r="A355" s="31">
        <f>_Consolidado!A353</f>
        <v/>
      </c>
      <c r="B355" s="4">
        <f>_Consolidado!B353</f>
        <v/>
      </c>
      <c r="C355" s="13">
        <f>_Consolidado!C353</f>
        <v/>
      </c>
      <c r="D355" s="13">
        <f>_Consolidado!D353</f>
        <v/>
      </c>
      <c r="E355" s="13">
        <f>SE(A355="";E354;E354+SEERRO(C355;0)-SEERRO(D355;0))</f>
        <v/>
      </c>
    </row>
    <row r="356">
      <c r="A356" s="31">
        <f>_Consolidado!A354</f>
        <v/>
      </c>
      <c r="B356" s="4">
        <f>_Consolidado!B354</f>
        <v/>
      </c>
      <c r="C356" s="13">
        <f>_Consolidado!C354</f>
        <v/>
      </c>
      <c r="D356" s="13">
        <f>_Consolidado!D354</f>
        <v/>
      </c>
      <c r="E356" s="13">
        <f>SE(A356="";E355;E355+SEERRO(C356;0)-SEERRO(D356;0))</f>
        <v/>
      </c>
    </row>
    <row r="357">
      <c r="A357" s="31">
        <f>_Consolidado!A355</f>
        <v/>
      </c>
      <c r="B357" s="4">
        <f>_Consolidado!B355</f>
        <v/>
      </c>
      <c r="C357" s="13">
        <f>_Consolidado!C355</f>
        <v/>
      </c>
      <c r="D357" s="13">
        <f>_Consolidado!D355</f>
        <v/>
      </c>
      <c r="E357" s="13">
        <f>SE(A357="";E356;E356+SEERRO(C357;0)-SEERRO(D357;0))</f>
        <v/>
      </c>
    </row>
    <row r="358">
      <c r="A358" s="31">
        <f>_Consolidado!A356</f>
        <v/>
      </c>
      <c r="B358" s="4">
        <f>_Consolidado!B356</f>
        <v/>
      </c>
      <c r="C358" s="13">
        <f>_Consolidado!C356</f>
        <v/>
      </c>
      <c r="D358" s="13">
        <f>_Consolidado!D356</f>
        <v/>
      </c>
      <c r="E358" s="13">
        <f>SE(A358="";E357;E357+SEERRO(C358;0)-SEERRO(D358;0))</f>
        <v/>
      </c>
    </row>
    <row r="359">
      <c r="A359" s="31">
        <f>_Consolidado!A357</f>
        <v/>
      </c>
      <c r="B359" s="4">
        <f>_Consolidado!B357</f>
        <v/>
      </c>
      <c r="C359" s="13">
        <f>_Consolidado!C357</f>
        <v/>
      </c>
      <c r="D359" s="13">
        <f>_Consolidado!D357</f>
        <v/>
      </c>
      <c r="E359" s="13">
        <f>SE(A359="";E358;E358+SEERRO(C359;0)-SEERRO(D359;0))</f>
        <v/>
      </c>
    </row>
    <row r="360">
      <c r="A360" s="31">
        <f>_Consolidado!A358</f>
        <v/>
      </c>
      <c r="B360" s="4">
        <f>_Consolidado!B358</f>
        <v/>
      </c>
      <c r="C360" s="13">
        <f>_Consolidado!C358</f>
        <v/>
      </c>
      <c r="D360" s="13">
        <f>_Consolidado!D358</f>
        <v/>
      </c>
      <c r="E360" s="13">
        <f>SE(A360="";E359;E359+SEERRO(C360;0)-SEERRO(D360;0))</f>
        <v/>
      </c>
    </row>
    <row r="361">
      <c r="A361" s="31">
        <f>_Consolidado!A359</f>
        <v/>
      </c>
      <c r="B361" s="4">
        <f>_Consolidado!B359</f>
        <v/>
      </c>
      <c r="C361" s="13">
        <f>_Consolidado!C359</f>
        <v/>
      </c>
      <c r="D361" s="13">
        <f>_Consolidado!D359</f>
        <v/>
      </c>
      <c r="E361" s="13">
        <f>SE(A361="";E360;E360+SEERRO(C361;0)-SEERRO(D361;0))</f>
        <v/>
      </c>
    </row>
    <row r="362">
      <c r="A362" s="31">
        <f>_Consolidado!A360</f>
        <v/>
      </c>
      <c r="B362" s="4">
        <f>_Consolidado!B360</f>
        <v/>
      </c>
      <c r="C362" s="13">
        <f>_Consolidado!C360</f>
        <v/>
      </c>
      <c r="D362" s="13">
        <f>_Consolidado!D360</f>
        <v/>
      </c>
      <c r="E362" s="13">
        <f>SE(A362="";E361;E361+SEERRO(C362;0)-SEERRO(D362;0))</f>
        <v/>
      </c>
    </row>
    <row r="363">
      <c r="A363" s="31">
        <f>_Consolidado!A361</f>
        <v/>
      </c>
      <c r="B363" s="4">
        <f>_Consolidado!B361</f>
        <v/>
      </c>
      <c r="C363" s="13">
        <f>_Consolidado!C361</f>
        <v/>
      </c>
      <c r="D363" s="13">
        <f>_Consolidado!D361</f>
        <v/>
      </c>
      <c r="E363" s="13">
        <f>SE(A363="";E362;E362+SEERRO(C363;0)-SEERRO(D363;0))</f>
        <v/>
      </c>
    </row>
    <row r="364">
      <c r="A364" s="31">
        <f>_Consolidado!A362</f>
        <v/>
      </c>
      <c r="B364" s="4">
        <f>_Consolidado!B362</f>
        <v/>
      </c>
      <c r="C364" s="13">
        <f>_Consolidado!C362</f>
        <v/>
      </c>
      <c r="D364" s="13">
        <f>_Consolidado!D362</f>
        <v/>
      </c>
      <c r="E364" s="13">
        <f>SE(A364="";E363;E363+SEERRO(C364;0)-SEERRO(D364;0))</f>
        <v/>
      </c>
    </row>
    <row r="365">
      <c r="A365" s="31">
        <f>_Consolidado!A363</f>
        <v/>
      </c>
      <c r="B365" s="4">
        <f>_Consolidado!B363</f>
        <v/>
      </c>
      <c r="C365" s="13">
        <f>_Consolidado!C363</f>
        <v/>
      </c>
      <c r="D365" s="13">
        <f>_Consolidado!D363</f>
        <v/>
      </c>
      <c r="E365" s="13">
        <f>SE(A365="";E364;E364+SEERRO(C365;0)-SEERRO(D365;0))</f>
        <v/>
      </c>
    </row>
    <row r="366">
      <c r="A366" s="31">
        <f>_Consolidado!A364</f>
        <v/>
      </c>
      <c r="B366" s="4">
        <f>_Consolidado!B364</f>
        <v/>
      </c>
      <c r="C366" s="13">
        <f>_Consolidado!C364</f>
        <v/>
      </c>
      <c r="D366" s="13">
        <f>_Consolidado!D364</f>
        <v/>
      </c>
      <c r="E366" s="13">
        <f>SE(A366="";E365;E365+SEERRO(C366;0)-SEERRO(D366;0))</f>
        <v/>
      </c>
    </row>
    <row r="367">
      <c r="A367" s="31">
        <f>_Consolidado!A365</f>
        <v/>
      </c>
      <c r="B367" s="4">
        <f>_Consolidado!B365</f>
        <v/>
      </c>
      <c r="C367" s="13">
        <f>_Consolidado!C365</f>
        <v/>
      </c>
      <c r="D367" s="13">
        <f>_Consolidado!D365</f>
        <v/>
      </c>
      <c r="E367" s="13">
        <f>SE(A367="";E366;E366+SEERRO(C367;0)-SEERRO(D367;0))</f>
        <v/>
      </c>
    </row>
    <row r="368">
      <c r="A368" s="31">
        <f>_Consolidado!A366</f>
        <v/>
      </c>
      <c r="B368" s="4">
        <f>_Consolidado!B366</f>
        <v/>
      </c>
      <c r="C368" s="13">
        <f>_Consolidado!C366</f>
        <v/>
      </c>
      <c r="D368" s="13">
        <f>_Consolidado!D366</f>
        <v/>
      </c>
      <c r="E368" s="13">
        <f>SE(A368="";E367;E367+SEERRO(C368;0)-SEERRO(D368;0))</f>
        <v/>
      </c>
    </row>
    <row r="369">
      <c r="A369" s="31">
        <f>_Consolidado!A367</f>
        <v/>
      </c>
      <c r="B369" s="4">
        <f>_Consolidado!B367</f>
        <v/>
      </c>
      <c r="C369" s="13">
        <f>_Consolidado!C367</f>
        <v/>
      </c>
      <c r="D369" s="13">
        <f>_Consolidado!D367</f>
        <v/>
      </c>
      <c r="E369" s="13">
        <f>SE(A369="";E368;E368+SEERRO(C369;0)-SEERRO(D369;0))</f>
        <v/>
      </c>
    </row>
    <row r="370">
      <c r="A370" s="31">
        <f>_Consolidado!A368</f>
        <v/>
      </c>
      <c r="B370" s="4">
        <f>_Consolidado!B368</f>
        <v/>
      </c>
      <c r="C370" s="13">
        <f>_Consolidado!C368</f>
        <v/>
      </c>
      <c r="D370" s="13">
        <f>_Consolidado!D368</f>
        <v/>
      </c>
      <c r="E370" s="13">
        <f>SE(A370="";E369;E369+SEERRO(C370;0)-SEERRO(D370;0))</f>
        <v/>
      </c>
    </row>
    <row r="371">
      <c r="A371" s="31">
        <f>_Consolidado!A369</f>
        <v/>
      </c>
      <c r="B371" s="4">
        <f>_Consolidado!B369</f>
        <v/>
      </c>
      <c r="C371" s="13">
        <f>_Consolidado!C369</f>
        <v/>
      </c>
      <c r="D371" s="13">
        <f>_Consolidado!D369</f>
        <v/>
      </c>
      <c r="E371" s="13">
        <f>SE(A371="";E370;E370+SEERRO(C371;0)-SEERRO(D371;0))</f>
        <v/>
      </c>
    </row>
    <row r="372">
      <c r="A372" s="31">
        <f>_Consolidado!A370</f>
        <v/>
      </c>
      <c r="B372" s="4">
        <f>_Consolidado!B370</f>
        <v/>
      </c>
      <c r="C372" s="13">
        <f>_Consolidado!C370</f>
        <v/>
      </c>
      <c r="D372" s="13">
        <f>_Consolidado!D370</f>
        <v/>
      </c>
      <c r="E372" s="13">
        <f>SE(A372="";E371;E371+SEERRO(C372;0)-SEERRO(D372;0))</f>
        <v/>
      </c>
    </row>
    <row r="373">
      <c r="A373" s="31">
        <f>_Consolidado!A371</f>
        <v/>
      </c>
      <c r="B373" s="4">
        <f>_Consolidado!B371</f>
        <v/>
      </c>
      <c r="C373" s="13">
        <f>_Consolidado!C371</f>
        <v/>
      </c>
      <c r="D373" s="13">
        <f>_Consolidado!D371</f>
        <v/>
      </c>
      <c r="E373" s="13">
        <f>SE(A373="";E372;E372+SEERRO(C373;0)-SEERRO(D373;0))</f>
        <v/>
      </c>
    </row>
    <row r="374">
      <c r="A374" s="31">
        <f>_Consolidado!A372</f>
        <v/>
      </c>
      <c r="B374" s="4">
        <f>_Consolidado!B372</f>
        <v/>
      </c>
      <c r="C374" s="13">
        <f>_Consolidado!C372</f>
        <v/>
      </c>
      <c r="D374" s="13">
        <f>_Consolidado!D372</f>
        <v/>
      </c>
      <c r="E374" s="13">
        <f>SE(A374="";E373;E373+SEERRO(C374;0)-SEERRO(D374;0))</f>
        <v/>
      </c>
    </row>
    <row r="375">
      <c r="A375" s="31">
        <f>_Consolidado!A373</f>
        <v/>
      </c>
      <c r="B375" s="4">
        <f>_Consolidado!B373</f>
        <v/>
      </c>
      <c r="C375" s="13">
        <f>_Consolidado!C373</f>
        <v/>
      </c>
      <c r="D375" s="13">
        <f>_Consolidado!D373</f>
        <v/>
      </c>
      <c r="E375" s="13">
        <f>SE(A375="";E374;E374+SEERRO(C375;0)-SEERRO(D375;0))</f>
        <v/>
      </c>
    </row>
    <row r="376">
      <c r="A376" s="31">
        <f>_Consolidado!A374</f>
        <v/>
      </c>
      <c r="B376" s="4">
        <f>_Consolidado!B374</f>
        <v/>
      </c>
      <c r="C376" s="13">
        <f>_Consolidado!C374</f>
        <v/>
      </c>
      <c r="D376" s="13">
        <f>_Consolidado!D374</f>
        <v/>
      </c>
      <c r="E376" s="13">
        <f>SE(A376="";E375;E375+SEERRO(C376;0)-SEERRO(D376;0))</f>
        <v/>
      </c>
    </row>
    <row r="377">
      <c r="A377" s="31">
        <f>_Consolidado!A375</f>
        <v/>
      </c>
      <c r="B377" s="4">
        <f>_Consolidado!B375</f>
        <v/>
      </c>
      <c r="C377" s="13">
        <f>_Consolidado!C375</f>
        <v/>
      </c>
      <c r="D377" s="13">
        <f>_Consolidado!D375</f>
        <v/>
      </c>
      <c r="E377" s="13">
        <f>SE(A377="";E376;E376+SEERRO(C377;0)-SEERRO(D377;0))</f>
        <v/>
      </c>
    </row>
    <row r="378">
      <c r="A378" s="31">
        <f>_Consolidado!A376</f>
        <v/>
      </c>
      <c r="B378" s="4">
        <f>_Consolidado!B376</f>
        <v/>
      </c>
      <c r="C378" s="13">
        <f>_Consolidado!C376</f>
        <v/>
      </c>
      <c r="D378" s="13">
        <f>_Consolidado!D376</f>
        <v/>
      </c>
      <c r="E378" s="13">
        <f>SE(A378="";E377;E377+SEERRO(C378;0)-SEERRO(D378;0))</f>
        <v/>
      </c>
    </row>
    <row r="379">
      <c r="A379" s="31">
        <f>_Consolidado!A377</f>
        <v/>
      </c>
      <c r="B379" s="4">
        <f>_Consolidado!B377</f>
        <v/>
      </c>
      <c r="C379" s="13">
        <f>_Consolidado!C377</f>
        <v/>
      </c>
      <c r="D379" s="13">
        <f>_Consolidado!D377</f>
        <v/>
      </c>
      <c r="E379" s="13">
        <f>SE(A379="";E378;E378+SEERRO(C379;0)-SEERRO(D379;0))</f>
        <v/>
      </c>
    </row>
    <row r="380">
      <c r="A380" s="31">
        <f>_Consolidado!A378</f>
        <v/>
      </c>
      <c r="B380" s="4">
        <f>_Consolidado!B378</f>
        <v/>
      </c>
      <c r="C380" s="13">
        <f>_Consolidado!C378</f>
        <v/>
      </c>
      <c r="D380" s="13">
        <f>_Consolidado!D378</f>
        <v/>
      </c>
      <c r="E380" s="13">
        <f>SE(A380="";E379;E379+SEERRO(C380;0)-SEERRO(D380;0))</f>
        <v/>
      </c>
    </row>
    <row r="381">
      <c r="A381" s="31">
        <f>_Consolidado!A379</f>
        <v/>
      </c>
      <c r="B381" s="4">
        <f>_Consolidado!B379</f>
        <v/>
      </c>
      <c r="C381" s="13">
        <f>_Consolidado!C379</f>
        <v/>
      </c>
      <c r="D381" s="13">
        <f>_Consolidado!D379</f>
        <v/>
      </c>
      <c r="E381" s="13">
        <f>SE(A381="";E380;E380+SEERRO(C381;0)-SEERRO(D381;0))</f>
        <v/>
      </c>
    </row>
    <row r="382">
      <c r="A382" s="31">
        <f>_Consolidado!A380</f>
        <v/>
      </c>
      <c r="B382" s="4">
        <f>_Consolidado!B380</f>
        <v/>
      </c>
      <c r="C382" s="13">
        <f>_Consolidado!C380</f>
        <v/>
      </c>
      <c r="D382" s="13">
        <f>_Consolidado!D380</f>
        <v/>
      </c>
      <c r="E382" s="13">
        <f>SE(A382="";E381;E381+SEERRO(C382;0)-SEERRO(D382;0))</f>
        <v/>
      </c>
    </row>
    <row r="383">
      <c r="A383" s="31">
        <f>_Consolidado!A381</f>
        <v/>
      </c>
      <c r="B383" s="4">
        <f>_Consolidado!B381</f>
        <v/>
      </c>
      <c r="C383" s="13">
        <f>_Consolidado!C381</f>
        <v/>
      </c>
      <c r="D383" s="13">
        <f>_Consolidado!D381</f>
        <v/>
      </c>
      <c r="E383" s="13">
        <f>SE(A383="";E382;E382+SEERRO(C383;0)-SEERRO(D383;0))</f>
        <v/>
      </c>
    </row>
    <row r="384">
      <c r="A384" s="31">
        <f>_Consolidado!A382</f>
        <v/>
      </c>
      <c r="B384" s="4">
        <f>_Consolidado!B382</f>
        <v/>
      </c>
      <c r="C384" s="13">
        <f>_Consolidado!C382</f>
        <v/>
      </c>
      <c r="D384" s="13">
        <f>_Consolidado!D382</f>
        <v/>
      </c>
      <c r="E384" s="13">
        <f>SE(A384="";E383;E383+SEERRO(C384;0)-SEERRO(D384;0))</f>
        <v/>
      </c>
    </row>
    <row r="385">
      <c r="A385" s="31">
        <f>_Consolidado!A383</f>
        <v/>
      </c>
      <c r="B385" s="4">
        <f>_Consolidado!B383</f>
        <v/>
      </c>
      <c r="C385" s="13">
        <f>_Consolidado!C383</f>
        <v/>
      </c>
      <c r="D385" s="13">
        <f>_Consolidado!D383</f>
        <v/>
      </c>
      <c r="E385" s="13">
        <f>SE(A385="";E384;E384+SEERRO(C385;0)-SEERRO(D385;0))</f>
        <v/>
      </c>
    </row>
    <row r="386">
      <c r="A386" s="31">
        <f>_Consolidado!A384</f>
        <v/>
      </c>
      <c r="B386" s="4">
        <f>_Consolidado!B384</f>
        <v/>
      </c>
      <c r="C386" s="13">
        <f>_Consolidado!C384</f>
        <v/>
      </c>
      <c r="D386" s="13">
        <f>_Consolidado!D384</f>
        <v/>
      </c>
      <c r="E386" s="13">
        <f>SE(A386="";E385;E385+SEERRO(C386;0)-SEERRO(D386;0))</f>
        <v/>
      </c>
    </row>
    <row r="387">
      <c r="A387" s="31">
        <f>_Consolidado!A385</f>
        <v/>
      </c>
      <c r="B387" s="4">
        <f>_Consolidado!B385</f>
        <v/>
      </c>
      <c r="C387" s="13">
        <f>_Consolidado!C385</f>
        <v/>
      </c>
      <c r="D387" s="13">
        <f>_Consolidado!D385</f>
        <v/>
      </c>
      <c r="E387" s="13">
        <f>SE(A387="";E386;E386+SEERRO(C387;0)-SEERRO(D387;0))</f>
        <v/>
      </c>
    </row>
    <row r="388">
      <c r="A388" s="31">
        <f>_Consolidado!A386</f>
        <v/>
      </c>
      <c r="B388" s="4">
        <f>_Consolidado!B386</f>
        <v/>
      </c>
      <c r="C388" s="13">
        <f>_Consolidado!C386</f>
        <v/>
      </c>
      <c r="D388" s="13">
        <f>_Consolidado!D386</f>
        <v/>
      </c>
      <c r="E388" s="13">
        <f>SE(A388="";E387;E387+SEERRO(C388;0)-SEERRO(D388;0))</f>
        <v/>
      </c>
    </row>
    <row r="389">
      <c r="A389" s="31">
        <f>_Consolidado!A387</f>
        <v/>
      </c>
      <c r="B389" s="4">
        <f>_Consolidado!B387</f>
        <v/>
      </c>
      <c r="C389" s="13">
        <f>_Consolidado!C387</f>
        <v/>
      </c>
      <c r="D389" s="13">
        <f>_Consolidado!D387</f>
        <v/>
      </c>
      <c r="E389" s="13">
        <f>SE(A389="";E388;E388+SEERRO(C389;0)-SEERRO(D389;0))</f>
        <v/>
      </c>
    </row>
    <row r="390">
      <c r="A390" s="31">
        <f>_Consolidado!A388</f>
        <v/>
      </c>
      <c r="B390" s="4">
        <f>_Consolidado!B388</f>
        <v/>
      </c>
      <c r="C390" s="13">
        <f>_Consolidado!C388</f>
        <v/>
      </c>
      <c r="D390" s="13">
        <f>_Consolidado!D388</f>
        <v/>
      </c>
      <c r="E390" s="13">
        <f>SE(A390="";E389;E389+SEERRO(C390;0)-SEERRO(D390;0))</f>
        <v/>
      </c>
    </row>
    <row r="391">
      <c r="A391" s="31">
        <f>_Consolidado!A389</f>
        <v/>
      </c>
      <c r="B391" s="4">
        <f>_Consolidado!B389</f>
        <v/>
      </c>
      <c r="C391" s="13">
        <f>_Consolidado!C389</f>
        <v/>
      </c>
      <c r="D391" s="13">
        <f>_Consolidado!D389</f>
        <v/>
      </c>
      <c r="E391" s="13">
        <f>SE(A391="";E390;E390+SEERRO(C391;0)-SEERRO(D391;0))</f>
        <v/>
      </c>
    </row>
    <row r="392">
      <c r="A392" s="31">
        <f>_Consolidado!A390</f>
        <v/>
      </c>
      <c r="B392" s="4">
        <f>_Consolidado!B390</f>
        <v/>
      </c>
      <c r="C392" s="13">
        <f>_Consolidado!C390</f>
        <v/>
      </c>
      <c r="D392" s="13">
        <f>_Consolidado!D390</f>
        <v/>
      </c>
      <c r="E392" s="13">
        <f>SE(A392="";E391;E391+SEERRO(C392;0)-SEERRO(D392;0))</f>
        <v/>
      </c>
    </row>
    <row r="393">
      <c r="A393" s="31">
        <f>_Consolidado!A391</f>
        <v/>
      </c>
      <c r="B393" s="4">
        <f>_Consolidado!B391</f>
        <v/>
      </c>
      <c r="C393" s="13">
        <f>_Consolidado!C391</f>
        <v/>
      </c>
      <c r="D393" s="13">
        <f>_Consolidado!D391</f>
        <v/>
      </c>
      <c r="E393" s="13">
        <f>SE(A393="";E392;E392+SEERRO(C393;0)-SEERRO(D393;0))</f>
        <v/>
      </c>
    </row>
    <row r="394">
      <c r="A394" s="31">
        <f>_Consolidado!A392</f>
        <v/>
      </c>
      <c r="B394" s="4">
        <f>_Consolidado!B392</f>
        <v/>
      </c>
      <c r="C394" s="13">
        <f>_Consolidado!C392</f>
        <v/>
      </c>
      <c r="D394" s="13">
        <f>_Consolidado!D392</f>
        <v/>
      </c>
      <c r="E394" s="13">
        <f>SE(A394="";E393;E393+SEERRO(C394;0)-SEERRO(D394;0))</f>
        <v/>
      </c>
    </row>
    <row r="395">
      <c r="A395" s="31">
        <f>_Consolidado!A393</f>
        <v/>
      </c>
      <c r="B395" s="4">
        <f>_Consolidado!B393</f>
        <v/>
      </c>
      <c r="C395" s="13">
        <f>_Consolidado!C393</f>
        <v/>
      </c>
      <c r="D395" s="13">
        <f>_Consolidado!D393</f>
        <v/>
      </c>
      <c r="E395" s="13">
        <f>SE(A395="";E394;E394+SEERRO(C395;0)-SEERRO(D395;0))</f>
        <v/>
      </c>
    </row>
    <row r="396">
      <c r="A396" s="31">
        <f>_Consolidado!A394</f>
        <v/>
      </c>
      <c r="B396" s="4">
        <f>_Consolidado!B394</f>
        <v/>
      </c>
      <c r="C396" s="13">
        <f>_Consolidado!C394</f>
        <v/>
      </c>
      <c r="D396" s="13">
        <f>_Consolidado!D394</f>
        <v/>
      </c>
      <c r="E396" s="13">
        <f>SE(A396="";E395;E395+SEERRO(C396;0)-SEERRO(D396;0))</f>
        <v/>
      </c>
    </row>
    <row r="397">
      <c r="A397" s="31">
        <f>_Consolidado!A395</f>
        <v/>
      </c>
      <c r="B397" s="4">
        <f>_Consolidado!B395</f>
        <v/>
      </c>
      <c r="C397" s="13">
        <f>_Consolidado!C395</f>
        <v/>
      </c>
      <c r="D397" s="13">
        <f>_Consolidado!D395</f>
        <v/>
      </c>
      <c r="E397" s="13">
        <f>SE(A397="";E396;E396+SEERRO(C397;0)-SEERRO(D397;0))</f>
        <v/>
      </c>
    </row>
    <row r="398">
      <c r="A398" s="31">
        <f>_Consolidado!A396</f>
        <v/>
      </c>
      <c r="B398" s="4">
        <f>_Consolidado!B396</f>
        <v/>
      </c>
      <c r="C398" s="13">
        <f>_Consolidado!C396</f>
        <v/>
      </c>
      <c r="D398" s="13">
        <f>_Consolidado!D396</f>
        <v/>
      </c>
      <c r="E398" s="13">
        <f>SE(A398="";E397;E397+SEERRO(C398;0)-SEERRO(D398;0))</f>
        <v/>
      </c>
    </row>
    <row r="399">
      <c r="A399" s="31">
        <f>_Consolidado!A397</f>
        <v/>
      </c>
      <c r="B399" s="4">
        <f>_Consolidado!B397</f>
        <v/>
      </c>
      <c r="C399" s="13">
        <f>_Consolidado!C397</f>
        <v/>
      </c>
      <c r="D399" s="13">
        <f>_Consolidado!D397</f>
        <v/>
      </c>
      <c r="E399" s="13">
        <f>SE(A399="";E398;E398+SEERRO(C399;0)-SEERRO(D399;0))</f>
        <v/>
      </c>
    </row>
    <row r="400">
      <c r="A400" s="31">
        <f>_Consolidado!A398</f>
        <v/>
      </c>
      <c r="B400" s="4">
        <f>_Consolidado!B398</f>
        <v/>
      </c>
      <c r="C400" s="13">
        <f>_Consolidado!C398</f>
        <v/>
      </c>
      <c r="D400" s="13">
        <f>_Consolidado!D398</f>
        <v/>
      </c>
      <c r="E400" s="13">
        <f>SE(A400="";E399;E399+SEERRO(C400;0)-SEERRO(D400;0))</f>
        <v/>
      </c>
    </row>
    <row r="401">
      <c r="A401" s="31">
        <f>_Consolidado!A399</f>
        <v/>
      </c>
      <c r="B401" s="4">
        <f>_Consolidado!B399</f>
        <v/>
      </c>
      <c r="C401" s="13">
        <f>_Consolidado!C399</f>
        <v/>
      </c>
      <c r="D401" s="13">
        <f>_Consolidado!D399</f>
        <v/>
      </c>
      <c r="E401" s="13">
        <f>SE(A401="";E400;E400+SEERRO(C401;0)-SEERRO(D401;0))</f>
        <v/>
      </c>
    </row>
    <row r="402">
      <c r="A402" s="31">
        <f>_Consolidado!A400</f>
        <v/>
      </c>
      <c r="B402" s="4">
        <f>_Consolidado!B400</f>
        <v/>
      </c>
      <c r="C402" s="13">
        <f>_Consolidado!C400</f>
        <v/>
      </c>
      <c r="D402" s="13">
        <f>_Consolidado!D400</f>
        <v/>
      </c>
      <c r="E402" s="13">
        <f>SE(A402="";E401;E401+SEERRO(C402;0)-SEERRO(D402;0))</f>
        <v/>
      </c>
    </row>
    <row r="403">
      <c r="A403" s="31">
        <f>_Consolidado!A401</f>
        <v/>
      </c>
      <c r="B403" s="4">
        <f>_Consolidado!B401</f>
        <v/>
      </c>
      <c r="C403" s="13">
        <f>_Consolidado!C401</f>
        <v/>
      </c>
      <c r="D403" s="13">
        <f>_Consolidado!D401</f>
        <v/>
      </c>
      <c r="E403" s="13">
        <f>SE(A403="";E402;E402+SEERRO(C403;0)-SEERRO(D403;0))</f>
        <v/>
      </c>
    </row>
    <row r="404">
      <c r="A404" s="31">
        <f>_Consolidado!A402</f>
        <v/>
      </c>
      <c r="B404" s="4">
        <f>_Consolidado!B402</f>
        <v/>
      </c>
      <c r="C404" s="13">
        <f>_Consolidado!C402</f>
        <v/>
      </c>
      <c r="D404" s="13">
        <f>_Consolidado!D402</f>
        <v/>
      </c>
      <c r="E404" s="13">
        <f>SE(A404="";E403;E403+SEERRO(C404;0)-SEERRO(D404;0))</f>
        <v/>
      </c>
    </row>
    <row r="405">
      <c r="A405" s="31">
        <f>_Consolidado!A403</f>
        <v/>
      </c>
      <c r="B405" s="4">
        <f>_Consolidado!B403</f>
        <v/>
      </c>
      <c r="C405" s="13">
        <f>_Consolidado!C403</f>
        <v/>
      </c>
      <c r="D405" s="13">
        <f>_Consolidado!D403</f>
        <v/>
      </c>
      <c r="E405" s="13">
        <f>SE(A405="";E404;E404+SEERRO(C405;0)-SEERRO(D405;0))</f>
        <v/>
      </c>
    </row>
    <row r="406">
      <c r="A406" s="31">
        <f>_Consolidado!A404</f>
        <v/>
      </c>
      <c r="B406" s="4">
        <f>_Consolidado!B404</f>
        <v/>
      </c>
      <c r="C406" s="13">
        <f>_Consolidado!C404</f>
        <v/>
      </c>
      <c r="D406" s="13">
        <f>_Consolidado!D404</f>
        <v/>
      </c>
      <c r="E406" s="13">
        <f>SE(A406="";E405;E405+SEERRO(C406;0)-SEERRO(D406;0))</f>
        <v/>
      </c>
    </row>
    <row r="407">
      <c r="A407" s="31">
        <f>_Consolidado!A405</f>
        <v/>
      </c>
      <c r="B407" s="4">
        <f>_Consolidado!B405</f>
        <v/>
      </c>
      <c r="C407" s="13">
        <f>_Consolidado!C405</f>
        <v/>
      </c>
      <c r="D407" s="13">
        <f>_Consolidado!D405</f>
        <v/>
      </c>
      <c r="E407" s="13">
        <f>SE(A407="";E406;E406+SEERRO(C407;0)-SEERRO(D407;0))</f>
        <v/>
      </c>
    </row>
    <row r="408">
      <c r="A408" s="31">
        <f>_Consolidado!A406</f>
        <v/>
      </c>
      <c r="B408" s="4">
        <f>_Consolidado!B406</f>
        <v/>
      </c>
      <c r="C408" s="13">
        <f>_Consolidado!C406</f>
        <v/>
      </c>
      <c r="D408" s="13">
        <f>_Consolidado!D406</f>
        <v/>
      </c>
      <c r="E408" s="13">
        <f>SE(A408="";E407;E407+SEERRO(C408;0)-SEERRO(D408;0))</f>
        <v/>
      </c>
    </row>
    <row r="409">
      <c r="A409" s="31">
        <f>_Consolidado!A407</f>
        <v/>
      </c>
      <c r="B409" s="4">
        <f>_Consolidado!B407</f>
        <v/>
      </c>
      <c r="C409" s="13">
        <f>_Consolidado!C407</f>
        <v/>
      </c>
      <c r="D409" s="13">
        <f>_Consolidado!D407</f>
        <v/>
      </c>
      <c r="E409" s="13">
        <f>SE(A409="";E408;E408+SEERRO(C409;0)-SEERRO(D409;0))</f>
        <v/>
      </c>
    </row>
    <row r="410">
      <c r="A410" s="31">
        <f>_Consolidado!A408</f>
        <v/>
      </c>
      <c r="B410" s="4">
        <f>_Consolidado!B408</f>
        <v/>
      </c>
      <c r="C410" s="13">
        <f>_Consolidado!C408</f>
        <v/>
      </c>
      <c r="D410" s="13">
        <f>_Consolidado!D408</f>
        <v/>
      </c>
      <c r="E410" s="13">
        <f>SE(A410="";E409;E409+SEERRO(C410;0)-SEERRO(D410;0))</f>
        <v/>
      </c>
    </row>
    <row r="411">
      <c r="A411" s="31">
        <f>_Consolidado!A409</f>
        <v/>
      </c>
      <c r="B411" s="4">
        <f>_Consolidado!B409</f>
        <v/>
      </c>
      <c r="C411" s="13">
        <f>_Consolidado!C409</f>
        <v/>
      </c>
      <c r="D411" s="13">
        <f>_Consolidado!D409</f>
        <v/>
      </c>
      <c r="E411" s="13">
        <f>SE(A411="";E410;E410+SEERRO(C411;0)-SEERRO(D411;0))</f>
        <v/>
      </c>
    </row>
    <row r="412">
      <c r="A412" s="31">
        <f>_Consolidado!A410</f>
        <v/>
      </c>
      <c r="B412" s="4">
        <f>_Consolidado!B410</f>
        <v/>
      </c>
      <c r="C412" s="13">
        <f>_Consolidado!C410</f>
        <v/>
      </c>
      <c r="D412" s="13">
        <f>_Consolidado!D410</f>
        <v/>
      </c>
      <c r="E412" s="13">
        <f>SE(A412="";E411;E411+SEERRO(C412;0)-SEERRO(D412;0))</f>
        <v/>
      </c>
    </row>
    <row r="413">
      <c r="A413" s="31">
        <f>_Consolidado!A411</f>
        <v/>
      </c>
      <c r="B413" s="4">
        <f>_Consolidado!B411</f>
        <v/>
      </c>
      <c r="C413" s="13">
        <f>_Consolidado!C411</f>
        <v/>
      </c>
      <c r="D413" s="13">
        <f>_Consolidado!D411</f>
        <v/>
      </c>
      <c r="E413" s="13">
        <f>SE(A413="";E412;E412+SEERRO(C413;0)-SEERRO(D413;0))</f>
        <v/>
      </c>
    </row>
    <row r="414">
      <c r="A414" s="31">
        <f>_Consolidado!A412</f>
        <v/>
      </c>
      <c r="B414" s="4">
        <f>_Consolidado!B412</f>
        <v/>
      </c>
      <c r="C414" s="13">
        <f>_Consolidado!C412</f>
        <v/>
      </c>
      <c r="D414" s="13">
        <f>_Consolidado!D412</f>
        <v/>
      </c>
      <c r="E414" s="13">
        <f>SE(A414="";E413;E413+SEERRO(C414;0)-SEERRO(D414;0))</f>
        <v/>
      </c>
    </row>
    <row r="415">
      <c r="A415" s="31">
        <f>_Consolidado!A413</f>
        <v/>
      </c>
      <c r="B415" s="4">
        <f>_Consolidado!B413</f>
        <v/>
      </c>
      <c r="C415" s="13">
        <f>_Consolidado!C413</f>
        <v/>
      </c>
      <c r="D415" s="13">
        <f>_Consolidado!D413</f>
        <v/>
      </c>
      <c r="E415" s="13">
        <f>SE(A415="";E414;E414+SEERRO(C415;0)-SEERRO(D415;0))</f>
        <v/>
      </c>
    </row>
    <row r="416">
      <c r="A416" s="31">
        <f>_Consolidado!A414</f>
        <v/>
      </c>
      <c r="B416" s="4">
        <f>_Consolidado!B414</f>
        <v/>
      </c>
      <c r="C416" s="13">
        <f>_Consolidado!C414</f>
        <v/>
      </c>
      <c r="D416" s="13">
        <f>_Consolidado!D414</f>
        <v/>
      </c>
      <c r="E416" s="13">
        <f>SE(A416="";E415;E415+SEERRO(C416;0)-SEERRO(D416;0))</f>
        <v/>
      </c>
    </row>
    <row r="417">
      <c r="A417" s="31">
        <f>_Consolidado!A415</f>
        <v/>
      </c>
      <c r="B417" s="4">
        <f>_Consolidado!B415</f>
        <v/>
      </c>
      <c r="C417" s="13">
        <f>_Consolidado!C415</f>
        <v/>
      </c>
      <c r="D417" s="13">
        <f>_Consolidado!D415</f>
        <v/>
      </c>
      <c r="E417" s="13">
        <f>SE(A417="";E416;E416+SEERRO(C417;0)-SEERRO(D417;0))</f>
        <v/>
      </c>
    </row>
    <row r="418">
      <c r="A418" s="31">
        <f>_Consolidado!A416</f>
        <v/>
      </c>
      <c r="B418" s="4">
        <f>_Consolidado!B416</f>
        <v/>
      </c>
      <c r="C418" s="13">
        <f>_Consolidado!C416</f>
        <v/>
      </c>
      <c r="D418" s="13">
        <f>_Consolidado!D416</f>
        <v/>
      </c>
      <c r="E418" s="13">
        <f>SE(A418="";E417;E417+SEERRO(C418;0)-SEERRO(D418;0))</f>
        <v/>
      </c>
    </row>
    <row r="419">
      <c r="A419" s="31">
        <f>_Consolidado!A417</f>
        <v/>
      </c>
      <c r="B419" s="4">
        <f>_Consolidado!B417</f>
        <v/>
      </c>
      <c r="C419" s="13">
        <f>_Consolidado!C417</f>
        <v/>
      </c>
      <c r="D419" s="13">
        <f>_Consolidado!D417</f>
        <v/>
      </c>
      <c r="E419" s="13">
        <f>SE(A419="";E418;E418+SEERRO(C419;0)-SEERRO(D419;0))</f>
        <v/>
      </c>
    </row>
    <row r="420">
      <c r="A420" s="31">
        <f>_Consolidado!A418</f>
        <v/>
      </c>
      <c r="B420" s="4">
        <f>_Consolidado!B418</f>
        <v/>
      </c>
      <c r="C420" s="13">
        <f>_Consolidado!C418</f>
        <v/>
      </c>
      <c r="D420" s="13">
        <f>_Consolidado!D418</f>
        <v/>
      </c>
      <c r="E420" s="13">
        <f>SE(A420="";E419;E419+SEERRO(C420;0)-SEERRO(D420;0))</f>
        <v/>
      </c>
    </row>
    <row r="421">
      <c r="A421" s="31">
        <f>_Consolidado!A419</f>
        <v/>
      </c>
      <c r="B421" s="4">
        <f>_Consolidado!B419</f>
        <v/>
      </c>
      <c r="C421" s="13">
        <f>_Consolidado!C419</f>
        <v/>
      </c>
      <c r="D421" s="13">
        <f>_Consolidado!D419</f>
        <v/>
      </c>
      <c r="E421" s="13">
        <f>SE(A421="";E420;E420+SEERRO(C421;0)-SEERRO(D421;0))</f>
        <v/>
      </c>
    </row>
    <row r="422">
      <c r="A422" s="31">
        <f>_Consolidado!A420</f>
        <v/>
      </c>
      <c r="B422" s="4">
        <f>_Consolidado!B420</f>
        <v/>
      </c>
      <c r="C422" s="13">
        <f>_Consolidado!C420</f>
        <v/>
      </c>
      <c r="D422" s="13">
        <f>_Consolidado!D420</f>
        <v/>
      </c>
      <c r="E422" s="13">
        <f>SE(A422="";E421;E421+SEERRO(C422;0)-SEERRO(D422;0))</f>
        <v/>
      </c>
    </row>
    <row r="423">
      <c r="A423" s="31">
        <f>_Consolidado!A421</f>
        <v/>
      </c>
      <c r="B423" s="4">
        <f>_Consolidado!B421</f>
        <v/>
      </c>
      <c r="C423" s="13">
        <f>_Consolidado!C421</f>
        <v/>
      </c>
      <c r="D423" s="13">
        <f>_Consolidado!D421</f>
        <v/>
      </c>
      <c r="E423" s="13">
        <f>SE(A423="";E422;E422+SEERRO(C423;0)-SEERRO(D423;0))</f>
        <v/>
      </c>
    </row>
    <row r="424">
      <c r="A424" s="31">
        <f>_Consolidado!A422</f>
        <v/>
      </c>
      <c r="B424" s="4">
        <f>_Consolidado!B422</f>
        <v/>
      </c>
      <c r="C424" s="13">
        <f>_Consolidado!C422</f>
        <v/>
      </c>
      <c r="D424" s="13">
        <f>_Consolidado!D422</f>
        <v/>
      </c>
      <c r="E424" s="13">
        <f>SE(A424="";E423;E423+SEERRO(C424;0)-SEERRO(D424;0))</f>
        <v/>
      </c>
    </row>
    <row r="425">
      <c r="A425" s="31">
        <f>_Consolidado!A423</f>
        <v/>
      </c>
      <c r="B425" s="4">
        <f>_Consolidado!B423</f>
        <v/>
      </c>
      <c r="C425" s="13">
        <f>_Consolidado!C423</f>
        <v/>
      </c>
      <c r="D425" s="13">
        <f>_Consolidado!D423</f>
        <v/>
      </c>
      <c r="E425" s="13">
        <f>SE(A425="";E424;E424+SEERRO(C425;0)-SEERRO(D425;0))</f>
        <v/>
      </c>
    </row>
    <row r="426">
      <c r="A426" s="31">
        <f>_Consolidado!A424</f>
        <v/>
      </c>
      <c r="B426" s="4">
        <f>_Consolidado!B424</f>
        <v/>
      </c>
      <c r="C426" s="13">
        <f>_Consolidado!C424</f>
        <v/>
      </c>
      <c r="D426" s="13">
        <f>_Consolidado!D424</f>
        <v/>
      </c>
      <c r="E426" s="13">
        <f>SE(A426="";E425;E425+SEERRO(C426;0)-SEERRO(D426;0))</f>
        <v/>
      </c>
    </row>
    <row r="427">
      <c r="A427" s="31">
        <f>_Consolidado!A425</f>
        <v/>
      </c>
      <c r="B427" s="4">
        <f>_Consolidado!B425</f>
        <v/>
      </c>
      <c r="C427" s="13">
        <f>_Consolidado!C425</f>
        <v/>
      </c>
      <c r="D427" s="13">
        <f>_Consolidado!D425</f>
        <v/>
      </c>
      <c r="E427" s="13">
        <f>SE(A427="";E426;E426+SEERRO(C427;0)-SEERRO(D427;0))</f>
        <v/>
      </c>
    </row>
    <row r="428">
      <c r="A428" s="31">
        <f>_Consolidado!A426</f>
        <v/>
      </c>
      <c r="B428" s="4">
        <f>_Consolidado!B426</f>
        <v/>
      </c>
      <c r="C428" s="13">
        <f>_Consolidado!C426</f>
        <v/>
      </c>
      <c r="D428" s="13">
        <f>_Consolidado!D426</f>
        <v/>
      </c>
      <c r="E428" s="13">
        <f>SE(A428="";E427;E427+SEERRO(C428;0)-SEERRO(D428;0))</f>
        <v/>
      </c>
    </row>
    <row r="429">
      <c r="A429" s="31">
        <f>_Consolidado!A427</f>
        <v/>
      </c>
      <c r="B429" s="4">
        <f>_Consolidado!B427</f>
        <v/>
      </c>
      <c r="C429" s="13">
        <f>_Consolidado!C427</f>
        <v/>
      </c>
      <c r="D429" s="13">
        <f>_Consolidado!D427</f>
        <v/>
      </c>
      <c r="E429" s="13">
        <f>SE(A429="";E428;E428+SEERRO(C429;0)-SEERRO(D429;0))</f>
        <v/>
      </c>
    </row>
    <row r="430">
      <c r="A430" s="31">
        <f>_Consolidado!A428</f>
        <v/>
      </c>
      <c r="B430" s="4">
        <f>_Consolidado!B428</f>
        <v/>
      </c>
      <c r="C430" s="13">
        <f>_Consolidado!C428</f>
        <v/>
      </c>
      <c r="D430" s="13">
        <f>_Consolidado!D428</f>
        <v/>
      </c>
      <c r="E430" s="13">
        <f>SE(A430="";E429;E429+SEERRO(C430;0)-SEERRO(D430;0))</f>
        <v/>
      </c>
    </row>
    <row r="431">
      <c r="A431" s="31">
        <f>_Consolidado!A429</f>
        <v/>
      </c>
      <c r="B431" s="4">
        <f>_Consolidado!B429</f>
        <v/>
      </c>
      <c r="C431" s="13">
        <f>_Consolidado!C429</f>
        <v/>
      </c>
      <c r="D431" s="13">
        <f>_Consolidado!D429</f>
        <v/>
      </c>
      <c r="E431" s="13">
        <f>SE(A431="";E430;E430+SEERRO(C431;0)-SEERRO(D431;0))</f>
        <v/>
      </c>
    </row>
    <row r="432">
      <c r="A432" s="31">
        <f>_Consolidado!A430</f>
        <v/>
      </c>
      <c r="B432" s="4">
        <f>_Consolidado!B430</f>
        <v/>
      </c>
      <c r="C432" s="13">
        <f>_Consolidado!C430</f>
        <v/>
      </c>
      <c r="D432" s="13">
        <f>_Consolidado!D430</f>
        <v/>
      </c>
      <c r="E432" s="13">
        <f>SE(A432="";E431;E431+SEERRO(C432;0)-SEERRO(D432;0))</f>
        <v/>
      </c>
    </row>
    <row r="433">
      <c r="A433" s="31">
        <f>_Consolidado!A431</f>
        <v/>
      </c>
      <c r="B433" s="4">
        <f>_Consolidado!B431</f>
        <v/>
      </c>
      <c r="C433" s="13">
        <f>_Consolidado!C431</f>
        <v/>
      </c>
      <c r="D433" s="13">
        <f>_Consolidado!D431</f>
        <v/>
      </c>
      <c r="E433" s="13">
        <f>SE(A433="";E432;E432+SEERRO(C433;0)-SEERRO(D433;0))</f>
        <v/>
      </c>
    </row>
    <row r="434">
      <c r="A434" s="31">
        <f>_Consolidado!A432</f>
        <v/>
      </c>
      <c r="B434" s="4">
        <f>_Consolidado!B432</f>
        <v/>
      </c>
      <c r="C434" s="13">
        <f>_Consolidado!C432</f>
        <v/>
      </c>
      <c r="D434" s="13">
        <f>_Consolidado!D432</f>
        <v/>
      </c>
      <c r="E434" s="13">
        <f>SE(A434="";E433;E433+SEERRO(C434;0)-SEERRO(D434;0))</f>
        <v/>
      </c>
    </row>
    <row r="435">
      <c r="A435" s="31">
        <f>_Consolidado!A433</f>
        <v/>
      </c>
      <c r="B435" s="4">
        <f>_Consolidado!B433</f>
        <v/>
      </c>
      <c r="C435" s="13">
        <f>_Consolidado!C433</f>
        <v/>
      </c>
      <c r="D435" s="13">
        <f>_Consolidado!D433</f>
        <v/>
      </c>
      <c r="E435" s="13">
        <f>SE(A435="";E434;E434+SEERRO(C435;0)-SEERRO(D435;0))</f>
        <v/>
      </c>
    </row>
    <row r="436">
      <c r="A436" s="31">
        <f>_Consolidado!A434</f>
        <v/>
      </c>
      <c r="B436" s="4">
        <f>_Consolidado!B434</f>
        <v/>
      </c>
      <c r="C436" s="13">
        <f>_Consolidado!C434</f>
        <v/>
      </c>
      <c r="D436" s="13">
        <f>_Consolidado!D434</f>
        <v/>
      </c>
      <c r="E436" s="13">
        <f>SE(A436="";E435;E435+SEERRO(C436;0)-SEERRO(D436;0))</f>
        <v/>
      </c>
    </row>
    <row r="437">
      <c r="A437" s="31">
        <f>_Consolidado!A435</f>
        <v/>
      </c>
      <c r="B437" s="4">
        <f>_Consolidado!B435</f>
        <v/>
      </c>
      <c r="C437" s="13">
        <f>_Consolidado!C435</f>
        <v/>
      </c>
      <c r="D437" s="13">
        <f>_Consolidado!D435</f>
        <v/>
      </c>
      <c r="E437" s="13">
        <f>SE(A437="";E436;E436+SEERRO(C437;0)-SEERRO(D437;0))</f>
        <v/>
      </c>
    </row>
    <row r="438">
      <c r="A438" s="31">
        <f>_Consolidado!A436</f>
        <v/>
      </c>
      <c r="B438" s="4">
        <f>_Consolidado!B436</f>
        <v/>
      </c>
      <c r="C438" s="13">
        <f>_Consolidado!C436</f>
        <v/>
      </c>
      <c r="D438" s="13">
        <f>_Consolidado!D436</f>
        <v/>
      </c>
      <c r="E438" s="13">
        <f>SE(A438="";E437;E437+SEERRO(C438;0)-SEERRO(D438;0))</f>
        <v/>
      </c>
    </row>
    <row r="439">
      <c r="A439" s="31">
        <f>_Consolidado!A437</f>
        <v/>
      </c>
      <c r="B439" s="4">
        <f>_Consolidado!B437</f>
        <v/>
      </c>
      <c r="C439" s="13">
        <f>_Consolidado!C437</f>
        <v/>
      </c>
      <c r="D439" s="13">
        <f>_Consolidado!D437</f>
        <v/>
      </c>
      <c r="E439" s="13">
        <f>SE(A439="";E438;E438+SEERRO(C439;0)-SEERRO(D439;0))</f>
        <v/>
      </c>
    </row>
    <row r="440">
      <c r="A440" s="31">
        <f>_Consolidado!A438</f>
        <v/>
      </c>
      <c r="B440" s="4">
        <f>_Consolidado!B438</f>
        <v/>
      </c>
      <c r="C440" s="13">
        <f>_Consolidado!C438</f>
        <v/>
      </c>
      <c r="D440" s="13">
        <f>_Consolidado!D438</f>
        <v/>
      </c>
      <c r="E440" s="13">
        <f>SE(A440="";E439;E439+SEERRO(C440;0)-SEERRO(D440;0))</f>
        <v/>
      </c>
    </row>
    <row r="441">
      <c r="A441" s="31">
        <f>_Consolidado!A439</f>
        <v/>
      </c>
      <c r="B441" s="4">
        <f>_Consolidado!B439</f>
        <v/>
      </c>
      <c r="C441" s="13">
        <f>_Consolidado!C439</f>
        <v/>
      </c>
      <c r="D441" s="13">
        <f>_Consolidado!D439</f>
        <v/>
      </c>
      <c r="E441" s="13">
        <f>SE(A441="";E440;E440+SEERRO(C441;0)-SEERRO(D441;0))</f>
        <v/>
      </c>
    </row>
    <row r="442">
      <c r="A442" s="31">
        <f>_Consolidado!A440</f>
        <v/>
      </c>
      <c r="B442" s="4">
        <f>_Consolidado!B440</f>
        <v/>
      </c>
      <c r="C442" s="13">
        <f>_Consolidado!C440</f>
        <v/>
      </c>
      <c r="D442" s="13">
        <f>_Consolidado!D440</f>
        <v/>
      </c>
      <c r="E442" s="13">
        <f>SE(A442="";E441;E441+SEERRO(C442;0)-SEERRO(D442;0))</f>
        <v/>
      </c>
    </row>
    <row r="443">
      <c r="A443" s="31">
        <f>_Consolidado!A441</f>
        <v/>
      </c>
      <c r="B443" s="4">
        <f>_Consolidado!B441</f>
        <v/>
      </c>
      <c r="C443" s="13">
        <f>_Consolidado!C441</f>
        <v/>
      </c>
      <c r="D443" s="13">
        <f>_Consolidado!D441</f>
        <v/>
      </c>
      <c r="E443" s="13">
        <f>SE(A443="";E442;E442+SEERRO(C443;0)-SEERRO(D443;0))</f>
        <v/>
      </c>
    </row>
    <row r="444">
      <c r="A444" s="31">
        <f>_Consolidado!A442</f>
        <v/>
      </c>
      <c r="B444" s="4">
        <f>_Consolidado!B442</f>
        <v/>
      </c>
      <c r="C444" s="13">
        <f>_Consolidado!C442</f>
        <v/>
      </c>
      <c r="D444" s="13">
        <f>_Consolidado!D442</f>
        <v/>
      </c>
      <c r="E444" s="13">
        <f>SE(A444="";E443;E443+SEERRO(C444;0)-SEERRO(D444;0))</f>
        <v/>
      </c>
    </row>
    <row r="445">
      <c r="A445" s="31">
        <f>_Consolidado!A443</f>
        <v/>
      </c>
      <c r="B445" s="4">
        <f>_Consolidado!B443</f>
        <v/>
      </c>
      <c r="C445" s="13">
        <f>_Consolidado!C443</f>
        <v/>
      </c>
      <c r="D445" s="13">
        <f>_Consolidado!D443</f>
        <v/>
      </c>
      <c r="E445" s="13">
        <f>SE(A445="";E444;E444+SEERRO(C445;0)-SEERRO(D445;0))</f>
        <v/>
      </c>
    </row>
    <row r="446">
      <c r="A446" s="31">
        <f>_Consolidado!A444</f>
        <v/>
      </c>
      <c r="B446" s="4">
        <f>_Consolidado!B444</f>
        <v/>
      </c>
      <c r="C446" s="13">
        <f>_Consolidado!C444</f>
        <v/>
      </c>
      <c r="D446" s="13">
        <f>_Consolidado!D444</f>
        <v/>
      </c>
      <c r="E446" s="13">
        <f>SE(A446="";E445;E445+SEERRO(C446;0)-SEERRO(D446;0))</f>
        <v/>
      </c>
    </row>
    <row r="447">
      <c r="A447" s="31">
        <f>_Consolidado!A445</f>
        <v/>
      </c>
      <c r="B447" s="4">
        <f>_Consolidado!B445</f>
        <v/>
      </c>
      <c r="C447" s="13">
        <f>_Consolidado!C445</f>
        <v/>
      </c>
      <c r="D447" s="13">
        <f>_Consolidado!D445</f>
        <v/>
      </c>
      <c r="E447" s="13">
        <f>SE(A447="";E446;E446+SEERRO(C447;0)-SEERRO(D447;0))</f>
        <v/>
      </c>
    </row>
    <row r="448">
      <c r="A448" s="31">
        <f>_Consolidado!A446</f>
        <v/>
      </c>
      <c r="B448" s="4">
        <f>_Consolidado!B446</f>
        <v/>
      </c>
      <c r="C448" s="13">
        <f>_Consolidado!C446</f>
        <v/>
      </c>
      <c r="D448" s="13">
        <f>_Consolidado!D446</f>
        <v/>
      </c>
      <c r="E448" s="13">
        <f>SE(A448="";E447;E447+SEERRO(C448;0)-SEERRO(D448;0))</f>
        <v/>
      </c>
    </row>
    <row r="449">
      <c r="A449" s="31">
        <f>_Consolidado!A447</f>
        <v/>
      </c>
      <c r="B449" s="4">
        <f>_Consolidado!B447</f>
        <v/>
      </c>
      <c r="C449" s="13">
        <f>_Consolidado!C447</f>
        <v/>
      </c>
      <c r="D449" s="13">
        <f>_Consolidado!D447</f>
        <v/>
      </c>
      <c r="E449" s="13">
        <f>SE(A449="";E448;E448+SEERRO(C449;0)-SEERRO(D449;0))</f>
        <v/>
      </c>
    </row>
    <row r="450">
      <c r="A450" s="31">
        <f>_Consolidado!A448</f>
        <v/>
      </c>
      <c r="B450" s="4">
        <f>_Consolidado!B448</f>
        <v/>
      </c>
      <c r="C450" s="13">
        <f>_Consolidado!C448</f>
        <v/>
      </c>
      <c r="D450" s="13">
        <f>_Consolidado!D448</f>
        <v/>
      </c>
      <c r="E450" s="13">
        <f>SE(A450="";E449;E449+SEERRO(C450;0)-SEERRO(D450;0))</f>
        <v/>
      </c>
    </row>
    <row r="451">
      <c r="A451" s="31">
        <f>_Consolidado!A449</f>
        <v/>
      </c>
      <c r="B451" s="4">
        <f>_Consolidado!B449</f>
        <v/>
      </c>
      <c r="C451" s="13">
        <f>_Consolidado!C449</f>
        <v/>
      </c>
      <c r="D451" s="13">
        <f>_Consolidado!D449</f>
        <v/>
      </c>
      <c r="E451" s="13">
        <f>SE(A451="";E450;E450+SEERRO(C451;0)-SEERRO(D451;0))</f>
        <v/>
      </c>
    </row>
    <row r="452">
      <c r="A452" s="31">
        <f>_Consolidado!A450</f>
        <v/>
      </c>
      <c r="B452" s="4">
        <f>_Consolidado!B450</f>
        <v/>
      </c>
      <c r="C452" s="13">
        <f>_Consolidado!C450</f>
        <v/>
      </c>
      <c r="D452" s="13">
        <f>_Consolidado!D450</f>
        <v/>
      </c>
      <c r="E452" s="13">
        <f>SE(A452="";E451;E451+SEERRO(C452;0)-SEERRO(D452;0))</f>
        <v/>
      </c>
    </row>
    <row r="453">
      <c r="A453" s="31">
        <f>_Consolidado!A451</f>
        <v/>
      </c>
      <c r="B453" s="4">
        <f>_Consolidado!B451</f>
        <v/>
      </c>
      <c r="C453" s="13">
        <f>_Consolidado!C451</f>
        <v/>
      </c>
      <c r="D453" s="13">
        <f>_Consolidado!D451</f>
        <v/>
      </c>
      <c r="E453" s="13">
        <f>SE(A453="";E452;E452+SEERRO(C453;0)-SEERRO(D453;0))</f>
        <v/>
      </c>
    </row>
    <row r="454">
      <c r="A454" s="31">
        <f>_Consolidado!A452</f>
        <v/>
      </c>
      <c r="B454" s="4">
        <f>_Consolidado!B452</f>
        <v/>
      </c>
      <c r="C454" s="13">
        <f>_Consolidado!C452</f>
        <v/>
      </c>
      <c r="D454" s="13">
        <f>_Consolidado!D452</f>
        <v/>
      </c>
      <c r="E454" s="13">
        <f>SE(A454="";E453;E453+SEERRO(C454;0)-SEERRO(D454;0))</f>
        <v/>
      </c>
    </row>
    <row r="455">
      <c r="A455" s="31">
        <f>_Consolidado!A453</f>
        <v/>
      </c>
      <c r="B455" s="4">
        <f>_Consolidado!B453</f>
        <v/>
      </c>
      <c r="C455" s="13">
        <f>_Consolidado!C453</f>
        <v/>
      </c>
      <c r="D455" s="13">
        <f>_Consolidado!D453</f>
        <v/>
      </c>
      <c r="E455" s="13">
        <f>SE(A455="";E454;E454+SEERRO(C455;0)-SEERRO(D455;0))</f>
        <v/>
      </c>
    </row>
    <row r="456">
      <c r="A456" s="31">
        <f>_Consolidado!A454</f>
        <v/>
      </c>
      <c r="B456" s="4">
        <f>_Consolidado!B454</f>
        <v/>
      </c>
      <c r="C456" s="13">
        <f>_Consolidado!C454</f>
        <v/>
      </c>
      <c r="D456" s="13">
        <f>_Consolidado!D454</f>
        <v/>
      </c>
      <c r="E456" s="13">
        <f>SE(A456="";E455;E455+SEERRO(C456;0)-SEERRO(D456;0))</f>
        <v/>
      </c>
    </row>
    <row r="457">
      <c r="A457" s="31">
        <f>_Consolidado!A455</f>
        <v/>
      </c>
      <c r="B457" s="4">
        <f>_Consolidado!B455</f>
        <v/>
      </c>
      <c r="C457" s="13">
        <f>_Consolidado!C455</f>
        <v/>
      </c>
      <c r="D457" s="13">
        <f>_Consolidado!D455</f>
        <v/>
      </c>
      <c r="E457" s="13">
        <f>SE(A457="";E456;E456+SEERRO(C457;0)-SEERRO(D457;0))</f>
        <v/>
      </c>
    </row>
    <row r="458">
      <c r="A458" s="31">
        <f>_Consolidado!A456</f>
        <v/>
      </c>
      <c r="B458" s="4">
        <f>_Consolidado!B456</f>
        <v/>
      </c>
      <c r="C458" s="13">
        <f>_Consolidado!C456</f>
        <v/>
      </c>
      <c r="D458" s="13">
        <f>_Consolidado!D456</f>
        <v/>
      </c>
      <c r="E458" s="13">
        <f>SE(A458="";E457;E457+SEERRO(C458;0)-SEERRO(D458;0))</f>
        <v/>
      </c>
    </row>
    <row r="459">
      <c r="A459" s="31">
        <f>_Consolidado!A457</f>
        <v/>
      </c>
      <c r="B459" s="4">
        <f>_Consolidado!B457</f>
        <v/>
      </c>
      <c r="C459" s="13">
        <f>_Consolidado!C457</f>
        <v/>
      </c>
      <c r="D459" s="13">
        <f>_Consolidado!D457</f>
        <v/>
      </c>
      <c r="E459" s="13">
        <f>SE(A459="";E458;E458+SEERRO(C459;0)-SEERRO(D459;0))</f>
        <v/>
      </c>
    </row>
    <row r="460">
      <c r="A460" s="31">
        <f>_Consolidado!A458</f>
        <v/>
      </c>
      <c r="B460" s="4">
        <f>_Consolidado!B458</f>
        <v/>
      </c>
      <c r="C460" s="13">
        <f>_Consolidado!C458</f>
        <v/>
      </c>
      <c r="D460" s="13">
        <f>_Consolidado!D458</f>
        <v/>
      </c>
      <c r="E460" s="13">
        <f>SE(A460="";E459;E459+SEERRO(C460;0)-SEERRO(D460;0))</f>
        <v/>
      </c>
    </row>
    <row r="461">
      <c r="A461" s="31">
        <f>_Consolidado!A459</f>
        <v/>
      </c>
      <c r="B461" s="4">
        <f>_Consolidado!B459</f>
        <v/>
      </c>
      <c r="C461" s="13">
        <f>_Consolidado!C459</f>
        <v/>
      </c>
      <c r="D461" s="13">
        <f>_Consolidado!D459</f>
        <v/>
      </c>
      <c r="E461" s="13">
        <f>SE(A461="";E460;E460+SEERRO(C461;0)-SEERRO(D461;0))</f>
        <v/>
      </c>
    </row>
    <row r="462">
      <c r="A462" s="31">
        <f>_Consolidado!A460</f>
        <v/>
      </c>
      <c r="B462" s="4">
        <f>_Consolidado!B460</f>
        <v/>
      </c>
      <c r="C462" s="13">
        <f>_Consolidado!C460</f>
        <v/>
      </c>
      <c r="D462" s="13">
        <f>_Consolidado!D460</f>
        <v/>
      </c>
      <c r="E462" s="13">
        <f>SE(A462="";E461;E461+SEERRO(C462;0)-SEERRO(D462;0))</f>
        <v/>
      </c>
    </row>
    <row r="463">
      <c r="A463" s="31">
        <f>_Consolidado!A461</f>
        <v/>
      </c>
      <c r="B463" s="4">
        <f>_Consolidado!B461</f>
        <v/>
      </c>
      <c r="C463" s="13">
        <f>_Consolidado!C461</f>
        <v/>
      </c>
      <c r="D463" s="13">
        <f>_Consolidado!D461</f>
        <v/>
      </c>
      <c r="E463" s="13">
        <f>SE(A463="";E462;E462+SEERRO(C463;0)-SEERRO(D463;0))</f>
        <v/>
      </c>
    </row>
    <row r="464">
      <c r="A464" s="31">
        <f>_Consolidado!A462</f>
        <v/>
      </c>
      <c r="B464" s="4">
        <f>_Consolidado!B462</f>
        <v/>
      </c>
      <c r="C464" s="13">
        <f>_Consolidado!C462</f>
        <v/>
      </c>
      <c r="D464" s="13">
        <f>_Consolidado!D462</f>
        <v/>
      </c>
      <c r="E464" s="13">
        <f>SE(A464="";E463;E463+SEERRO(C464;0)-SEERRO(D464;0))</f>
        <v/>
      </c>
    </row>
    <row r="465">
      <c r="A465" s="31">
        <f>_Consolidado!A463</f>
        <v/>
      </c>
      <c r="B465" s="4">
        <f>_Consolidado!B463</f>
        <v/>
      </c>
      <c r="C465" s="13">
        <f>_Consolidado!C463</f>
        <v/>
      </c>
      <c r="D465" s="13">
        <f>_Consolidado!D463</f>
        <v/>
      </c>
      <c r="E465" s="13">
        <f>SE(A465="";E464;E464+SEERRO(C465;0)-SEERRO(D465;0))</f>
        <v/>
      </c>
    </row>
    <row r="466">
      <c r="A466" s="31">
        <f>_Consolidado!A464</f>
        <v/>
      </c>
      <c r="B466" s="4">
        <f>_Consolidado!B464</f>
        <v/>
      </c>
      <c r="C466" s="13">
        <f>_Consolidado!C464</f>
        <v/>
      </c>
      <c r="D466" s="13">
        <f>_Consolidado!D464</f>
        <v/>
      </c>
      <c r="E466" s="13">
        <f>SE(A466="";E465;E465+SEERRO(C466;0)-SEERRO(D466;0))</f>
        <v/>
      </c>
    </row>
    <row r="467">
      <c r="A467" s="31">
        <f>_Consolidado!A465</f>
        <v/>
      </c>
      <c r="B467" s="4">
        <f>_Consolidado!B465</f>
        <v/>
      </c>
      <c r="C467" s="13">
        <f>_Consolidado!C465</f>
        <v/>
      </c>
      <c r="D467" s="13">
        <f>_Consolidado!D465</f>
        <v/>
      </c>
      <c r="E467" s="13">
        <f>SE(A467="";E466;E466+SEERRO(C467;0)-SEERRO(D467;0))</f>
        <v/>
      </c>
    </row>
    <row r="468">
      <c r="A468" s="31">
        <f>_Consolidado!A466</f>
        <v/>
      </c>
      <c r="B468" s="4">
        <f>_Consolidado!B466</f>
        <v/>
      </c>
      <c r="C468" s="13">
        <f>_Consolidado!C466</f>
        <v/>
      </c>
      <c r="D468" s="13">
        <f>_Consolidado!D466</f>
        <v/>
      </c>
      <c r="E468" s="13">
        <f>SE(A468="";E467;E467+SEERRO(C468;0)-SEERRO(D468;0))</f>
        <v/>
      </c>
    </row>
    <row r="469">
      <c r="A469" s="31">
        <f>_Consolidado!A467</f>
        <v/>
      </c>
      <c r="B469" s="4">
        <f>_Consolidado!B467</f>
        <v/>
      </c>
      <c r="C469" s="13">
        <f>_Consolidado!C467</f>
        <v/>
      </c>
      <c r="D469" s="13">
        <f>_Consolidado!D467</f>
        <v/>
      </c>
      <c r="E469" s="13">
        <f>SE(A469="";E468;E468+SEERRO(C469;0)-SEERRO(D469;0))</f>
        <v/>
      </c>
    </row>
    <row r="470">
      <c r="A470" s="31">
        <f>_Consolidado!A468</f>
        <v/>
      </c>
      <c r="B470" s="4">
        <f>_Consolidado!B468</f>
        <v/>
      </c>
      <c r="C470" s="13">
        <f>_Consolidado!C468</f>
        <v/>
      </c>
      <c r="D470" s="13">
        <f>_Consolidado!D468</f>
        <v/>
      </c>
      <c r="E470" s="13">
        <f>SE(A470="";E469;E469+SEERRO(C470;0)-SEERRO(D470;0))</f>
        <v/>
      </c>
    </row>
    <row r="471">
      <c r="A471" s="31">
        <f>_Consolidado!A469</f>
        <v/>
      </c>
      <c r="B471" s="4">
        <f>_Consolidado!B469</f>
        <v/>
      </c>
      <c r="C471" s="13">
        <f>_Consolidado!C469</f>
        <v/>
      </c>
      <c r="D471" s="13">
        <f>_Consolidado!D469</f>
        <v/>
      </c>
      <c r="E471" s="13">
        <f>SE(A471="";E470;E470+SEERRO(C471;0)-SEERRO(D471;0))</f>
        <v/>
      </c>
    </row>
    <row r="472">
      <c r="A472" s="31">
        <f>_Consolidado!A470</f>
        <v/>
      </c>
      <c r="B472" s="4">
        <f>_Consolidado!B470</f>
        <v/>
      </c>
      <c r="C472" s="13">
        <f>_Consolidado!C470</f>
        <v/>
      </c>
      <c r="D472" s="13">
        <f>_Consolidado!D470</f>
        <v/>
      </c>
      <c r="E472" s="13">
        <f>SE(A472="";E471;E471+SEERRO(C472;0)-SEERRO(D472;0))</f>
        <v/>
      </c>
    </row>
    <row r="473">
      <c r="A473" s="31">
        <f>_Consolidado!A471</f>
        <v/>
      </c>
      <c r="B473" s="4">
        <f>_Consolidado!B471</f>
        <v/>
      </c>
      <c r="C473" s="13">
        <f>_Consolidado!C471</f>
        <v/>
      </c>
      <c r="D473" s="13">
        <f>_Consolidado!D471</f>
        <v/>
      </c>
      <c r="E473" s="13">
        <f>SE(A473="";E472;E472+SEERRO(C473;0)-SEERRO(D473;0))</f>
        <v/>
      </c>
    </row>
    <row r="474">
      <c r="A474" s="31">
        <f>_Consolidado!A472</f>
        <v/>
      </c>
      <c r="B474" s="4">
        <f>_Consolidado!B472</f>
        <v/>
      </c>
      <c r="C474" s="13">
        <f>_Consolidado!C472</f>
        <v/>
      </c>
      <c r="D474" s="13">
        <f>_Consolidado!D472</f>
        <v/>
      </c>
      <c r="E474" s="13">
        <f>SE(A474="";E473;E473+SEERRO(C474;0)-SEERRO(D474;0))</f>
        <v/>
      </c>
    </row>
    <row r="475">
      <c r="A475" s="31">
        <f>_Consolidado!A473</f>
        <v/>
      </c>
      <c r="B475" s="4">
        <f>_Consolidado!B473</f>
        <v/>
      </c>
      <c r="C475" s="13">
        <f>_Consolidado!C473</f>
        <v/>
      </c>
      <c r="D475" s="13">
        <f>_Consolidado!D473</f>
        <v/>
      </c>
      <c r="E475" s="13">
        <f>SE(A475="";E474;E474+SEERRO(C475;0)-SEERRO(D475;0))</f>
        <v/>
      </c>
    </row>
    <row r="476">
      <c r="A476" s="31">
        <f>_Consolidado!A474</f>
        <v/>
      </c>
      <c r="B476" s="4">
        <f>_Consolidado!B474</f>
        <v/>
      </c>
      <c r="C476" s="13">
        <f>_Consolidado!C474</f>
        <v/>
      </c>
      <c r="D476" s="13">
        <f>_Consolidado!D474</f>
        <v/>
      </c>
      <c r="E476" s="13">
        <f>SE(A476="";E475;E475+SEERRO(C476;0)-SEERRO(D476;0))</f>
        <v/>
      </c>
    </row>
    <row r="477">
      <c r="A477" s="31">
        <f>_Consolidado!A475</f>
        <v/>
      </c>
      <c r="B477" s="4">
        <f>_Consolidado!B475</f>
        <v/>
      </c>
      <c r="C477" s="13">
        <f>_Consolidado!C475</f>
        <v/>
      </c>
      <c r="D477" s="13">
        <f>_Consolidado!D475</f>
        <v/>
      </c>
      <c r="E477" s="13">
        <f>SE(A477="";E476;E476+SEERRO(C477;0)-SEERRO(D477;0))</f>
        <v/>
      </c>
    </row>
    <row r="478">
      <c r="A478" s="31">
        <f>_Consolidado!A476</f>
        <v/>
      </c>
      <c r="B478" s="4">
        <f>_Consolidado!B476</f>
        <v/>
      </c>
      <c r="C478" s="13">
        <f>_Consolidado!C476</f>
        <v/>
      </c>
      <c r="D478" s="13">
        <f>_Consolidado!D476</f>
        <v/>
      </c>
      <c r="E478" s="13">
        <f>SE(A478="";E477;E477+SEERRO(C478;0)-SEERRO(D478;0))</f>
        <v/>
      </c>
    </row>
    <row r="479">
      <c r="A479" s="31">
        <f>_Consolidado!A477</f>
        <v/>
      </c>
      <c r="B479" s="4">
        <f>_Consolidado!B477</f>
        <v/>
      </c>
      <c r="C479" s="13">
        <f>_Consolidado!C477</f>
        <v/>
      </c>
      <c r="D479" s="13">
        <f>_Consolidado!D477</f>
        <v/>
      </c>
      <c r="E479" s="13">
        <f>SE(A479="";E478;E478+SEERRO(C479;0)-SEERRO(D479;0))</f>
        <v/>
      </c>
    </row>
    <row r="480">
      <c r="A480" s="31">
        <f>_Consolidado!A478</f>
        <v/>
      </c>
      <c r="B480" s="4">
        <f>_Consolidado!B478</f>
        <v/>
      </c>
      <c r="C480" s="13">
        <f>_Consolidado!C478</f>
        <v/>
      </c>
      <c r="D480" s="13">
        <f>_Consolidado!D478</f>
        <v/>
      </c>
      <c r="E480" s="13">
        <f>SE(A480="";E479;E479+SEERRO(C480;0)-SEERRO(D480;0))</f>
        <v/>
      </c>
    </row>
    <row r="481">
      <c r="A481" s="31">
        <f>_Consolidado!A479</f>
        <v/>
      </c>
      <c r="B481" s="4">
        <f>_Consolidado!B479</f>
        <v/>
      </c>
      <c r="C481" s="13">
        <f>_Consolidado!C479</f>
        <v/>
      </c>
      <c r="D481" s="13">
        <f>_Consolidado!D479</f>
        <v/>
      </c>
      <c r="E481" s="13">
        <f>SE(A481="";E480;E480+SEERRO(C481;0)-SEERRO(D481;0))</f>
        <v/>
      </c>
    </row>
    <row r="482">
      <c r="A482" s="31">
        <f>_Consolidado!A480</f>
        <v/>
      </c>
      <c r="B482" s="4">
        <f>_Consolidado!B480</f>
        <v/>
      </c>
      <c r="C482" s="13">
        <f>_Consolidado!C480</f>
        <v/>
      </c>
      <c r="D482" s="13">
        <f>_Consolidado!D480</f>
        <v/>
      </c>
      <c r="E482" s="13">
        <f>SE(A482="";E481;E481+SEERRO(C482;0)-SEERRO(D482;0))</f>
        <v/>
      </c>
    </row>
    <row r="483">
      <c r="A483" s="31">
        <f>_Consolidado!A481</f>
        <v/>
      </c>
      <c r="B483" s="4">
        <f>_Consolidado!B481</f>
        <v/>
      </c>
      <c r="C483" s="13">
        <f>_Consolidado!C481</f>
        <v/>
      </c>
      <c r="D483" s="13">
        <f>_Consolidado!D481</f>
        <v/>
      </c>
      <c r="E483" s="13">
        <f>SE(A483="";E482;E482+SEERRO(C483;0)-SEERRO(D483;0))</f>
        <v/>
      </c>
    </row>
    <row r="484">
      <c r="A484" s="31">
        <f>_Consolidado!A482</f>
        <v/>
      </c>
      <c r="B484" s="4">
        <f>_Consolidado!B482</f>
        <v/>
      </c>
      <c r="C484" s="13">
        <f>_Consolidado!C482</f>
        <v/>
      </c>
      <c r="D484" s="13">
        <f>_Consolidado!D482</f>
        <v/>
      </c>
      <c r="E484" s="13">
        <f>SE(A484="";E483;E483+SEERRO(C484;0)-SEERRO(D484;0))</f>
        <v/>
      </c>
    </row>
    <row r="485">
      <c r="A485" s="31">
        <f>_Consolidado!A483</f>
        <v/>
      </c>
      <c r="B485" s="4">
        <f>_Consolidado!B483</f>
        <v/>
      </c>
      <c r="C485" s="13">
        <f>_Consolidado!C483</f>
        <v/>
      </c>
      <c r="D485" s="13">
        <f>_Consolidado!D483</f>
        <v/>
      </c>
      <c r="E485" s="13">
        <f>SE(A485="";E484;E484+SEERRO(C485;0)-SEERRO(D485;0))</f>
        <v/>
      </c>
    </row>
    <row r="486">
      <c r="A486" s="31">
        <f>_Consolidado!A484</f>
        <v/>
      </c>
      <c r="B486" s="4">
        <f>_Consolidado!B484</f>
        <v/>
      </c>
      <c r="C486" s="13">
        <f>_Consolidado!C484</f>
        <v/>
      </c>
      <c r="D486" s="13">
        <f>_Consolidado!D484</f>
        <v/>
      </c>
      <c r="E486" s="13">
        <f>SE(A486="";E485;E485+SEERRO(C486;0)-SEERRO(D486;0))</f>
        <v/>
      </c>
    </row>
    <row r="487">
      <c r="A487" s="31">
        <f>_Consolidado!A485</f>
        <v/>
      </c>
      <c r="B487" s="4">
        <f>_Consolidado!B485</f>
        <v/>
      </c>
      <c r="C487" s="13">
        <f>_Consolidado!C485</f>
        <v/>
      </c>
      <c r="D487" s="13">
        <f>_Consolidado!D485</f>
        <v/>
      </c>
      <c r="E487" s="13">
        <f>SE(A487="";E486;E486+SEERRO(C487;0)-SEERRO(D487;0))</f>
        <v/>
      </c>
    </row>
    <row r="488">
      <c r="A488" s="31">
        <f>_Consolidado!A486</f>
        <v/>
      </c>
      <c r="B488" s="4">
        <f>_Consolidado!B486</f>
        <v/>
      </c>
      <c r="C488" s="13">
        <f>_Consolidado!C486</f>
        <v/>
      </c>
      <c r="D488" s="13">
        <f>_Consolidado!D486</f>
        <v/>
      </c>
      <c r="E488" s="13">
        <f>SE(A488="";E487;E487+SEERRO(C488;0)-SEERRO(D488;0))</f>
        <v/>
      </c>
    </row>
    <row r="489">
      <c r="A489" s="31">
        <f>_Consolidado!A487</f>
        <v/>
      </c>
      <c r="B489" s="4">
        <f>_Consolidado!B487</f>
        <v/>
      </c>
      <c r="C489" s="13">
        <f>_Consolidado!C487</f>
        <v/>
      </c>
      <c r="D489" s="13">
        <f>_Consolidado!D487</f>
        <v/>
      </c>
      <c r="E489" s="13">
        <f>SE(A489="";E488;E488+SEERRO(C489;0)-SEERRO(D489;0))</f>
        <v/>
      </c>
    </row>
    <row r="490">
      <c r="A490" s="31">
        <f>_Consolidado!A488</f>
        <v/>
      </c>
      <c r="B490" s="4">
        <f>_Consolidado!B488</f>
        <v/>
      </c>
      <c r="C490" s="13">
        <f>_Consolidado!C488</f>
        <v/>
      </c>
      <c r="D490" s="13">
        <f>_Consolidado!D488</f>
        <v/>
      </c>
      <c r="E490" s="13">
        <f>SE(A490="";E489;E489+SEERRO(C490;0)-SEERRO(D490;0))</f>
        <v/>
      </c>
    </row>
    <row r="491">
      <c r="A491" s="31">
        <f>_Consolidado!A489</f>
        <v/>
      </c>
      <c r="B491" s="4">
        <f>_Consolidado!B489</f>
        <v/>
      </c>
      <c r="C491" s="13">
        <f>_Consolidado!C489</f>
        <v/>
      </c>
      <c r="D491" s="13">
        <f>_Consolidado!D489</f>
        <v/>
      </c>
      <c r="E491" s="13">
        <f>SE(A491="";E490;E490+SEERRO(C491;0)-SEERRO(D491;0))</f>
        <v/>
      </c>
    </row>
    <row r="492">
      <c r="A492" s="31">
        <f>_Consolidado!A490</f>
        <v/>
      </c>
      <c r="B492" s="4">
        <f>_Consolidado!B490</f>
        <v/>
      </c>
      <c r="C492" s="13">
        <f>_Consolidado!C490</f>
        <v/>
      </c>
      <c r="D492" s="13">
        <f>_Consolidado!D490</f>
        <v/>
      </c>
      <c r="E492" s="13">
        <f>SE(A492="";E491;E491+SEERRO(C492;0)-SEERRO(D492;0))</f>
        <v/>
      </c>
    </row>
    <row r="493">
      <c r="A493" s="31">
        <f>_Consolidado!A491</f>
        <v/>
      </c>
      <c r="B493" s="4">
        <f>_Consolidado!B491</f>
        <v/>
      </c>
      <c r="C493" s="13">
        <f>_Consolidado!C491</f>
        <v/>
      </c>
      <c r="D493" s="13">
        <f>_Consolidado!D491</f>
        <v/>
      </c>
      <c r="E493" s="13">
        <f>SE(A493="";E492;E492+SEERRO(C493;0)-SEERRO(D493;0))</f>
        <v/>
      </c>
    </row>
    <row r="494">
      <c r="A494" s="31">
        <f>_Consolidado!A492</f>
        <v/>
      </c>
      <c r="B494" s="4">
        <f>_Consolidado!B492</f>
        <v/>
      </c>
      <c r="C494" s="13">
        <f>_Consolidado!C492</f>
        <v/>
      </c>
      <c r="D494" s="13">
        <f>_Consolidado!D492</f>
        <v/>
      </c>
      <c r="E494" s="13">
        <f>SE(A494="";E493;E493+SEERRO(C494;0)-SEERRO(D494;0))</f>
        <v/>
      </c>
    </row>
    <row r="495">
      <c r="A495" s="31">
        <f>_Consolidado!A493</f>
        <v/>
      </c>
      <c r="B495" s="4">
        <f>_Consolidado!B493</f>
        <v/>
      </c>
      <c r="C495" s="13">
        <f>_Consolidado!C493</f>
        <v/>
      </c>
      <c r="D495" s="13">
        <f>_Consolidado!D493</f>
        <v/>
      </c>
      <c r="E495" s="13">
        <f>SE(A495="";E494;E494+SEERRO(C495;0)-SEERRO(D495;0))</f>
        <v/>
      </c>
    </row>
    <row r="496">
      <c r="A496" s="31">
        <f>_Consolidado!A494</f>
        <v/>
      </c>
      <c r="B496" s="4">
        <f>_Consolidado!B494</f>
        <v/>
      </c>
      <c r="C496" s="13">
        <f>_Consolidado!C494</f>
        <v/>
      </c>
      <c r="D496" s="13">
        <f>_Consolidado!D494</f>
        <v/>
      </c>
      <c r="E496" s="13">
        <f>SE(A496="";E495;E495+SEERRO(C496;0)-SEERRO(D496;0))</f>
        <v/>
      </c>
    </row>
    <row r="497">
      <c r="A497" s="31">
        <f>_Consolidado!A495</f>
        <v/>
      </c>
      <c r="B497" s="4">
        <f>_Consolidado!B495</f>
        <v/>
      </c>
      <c r="C497" s="13">
        <f>_Consolidado!C495</f>
        <v/>
      </c>
      <c r="D497" s="13">
        <f>_Consolidado!D495</f>
        <v/>
      </c>
      <c r="E497" s="13">
        <f>SE(A497="";E496;E496+SEERRO(C497;0)-SEERRO(D497;0))</f>
        <v/>
      </c>
    </row>
    <row r="498">
      <c r="A498" s="31">
        <f>_Consolidado!A496</f>
        <v/>
      </c>
      <c r="B498" s="4">
        <f>_Consolidado!B496</f>
        <v/>
      </c>
      <c r="C498" s="13">
        <f>_Consolidado!C496</f>
        <v/>
      </c>
      <c r="D498" s="13">
        <f>_Consolidado!D496</f>
        <v/>
      </c>
      <c r="E498" s="13">
        <f>SE(A498="";E497;E497+SEERRO(C498;0)-SEERRO(D498;0))</f>
        <v/>
      </c>
    </row>
    <row r="499">
      <c r="A499" s="31">
        <f>_Consolidado!A497</f>
        <v/>
      </c>
      <c r="B499" s="4">
        <f>_Consolidado!B497</f>
        <v/>
      </c>
      <c r="C499" s="13">
        <f>_Consolidado!C497</f>
        <v/>
      </c>
      <c r="D499" s="13">
        <f>_Consolidado!D497</f>
        <v/>
      </c>
      <c r="E499" s="13">
        <f>SE(A499="";E498;E498+SEERRO(C499;0)-SEERRO(D499;0))</f>
        <v/>
      </c>
    </row>
    <row r="500">
      <c r="A500" s="31">
        <f>_Consolidado!A498</f>
        <v/>
      </c>
      <c r="B500" s="4">
        <f>_Consolidado!B498</f>
        <v/>
      </c>
      <c r="C500" s="13">
        <f>_Consolidado!C498</f>
        <v/>
      </c>
      <c r="D500" s="13">
        <f>_Consolidado!D498</f>
        <v/>
      </c>
      <c r="E500" s="13">
        <f>SE(A500="";E499;E499+SEERRO(C500;0)-SEERRO(D500;0))</f>
        <v/>
      </c>
    </row>
    <row r="501">
      <c r="A501" s="31">
        <f>_Consolidado!A499</f>
        <v/>
      </c>
      <c r="B501" s="4">
        <f>_Consolidado!B499</f>
        <v/>
      </c>
      <c r="C501" s="13">
        <f>_Consolidado!C499</f>
        <v/>
      </c>
      <c r="D501" s="13">
        <f>_Consolidado!D499</f>
        <v/>
      </c>
      <c r="E501" s="13">
        <f>SE(A501="";E500;E500+SEERRO(C501;0)-SEERRO(D501;0))</f>
        <v/>
      </c>
    </row>
    <row r="502">
      <c r="A502" s="31">
        <f>_Consolidado!A500</f>
        <v/>
      </c>
      <c r="B502" s="4">
        <f>_Consolidado!B500</f>
        <v/>
      </c>
      <c r="C502" s="13">
        <f>_Consolidado!C500</f>
        <v/>
      </c>
      <c r="D502" s="13">
        <f>_Consolidado!D500</f>
        <v/>
      </c>
      <c r="E502" s="13">
        <f>SE(A502="";E501;E501+SEERRO(C502;0)-SEERRO(D502;0))</f>
        <v/>
      </c>
    </row>
    <row r="503">
      <c r="A503" s="31">
        <f>_Consolidado!A501</f>
        <v/>
      </c>
      <c r="B503" s="4">
        <f>_Consolidado!B501</f>
        <v/>
      </c>
      <c r="C503" s="13">
        <f>_Consolidado!C501</f>
        <v/>
      </c>
      <c r="D503" s="13">
        <f>_Consolidado!D501</f>
        <v/>
      </c>
      <c r="E503" s="13">
        <f>SE(A503="";E502;E502+SEERRO(C503;0)-SEERRO(D503;0))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E2"/>
  <mergeCells count="1">
    <mergeCell ref="A1:E1"/>
  </mergeCells>
  <pageMargins left="0.75" right="0.75" top="1" bottom="1" header="0.5" footer="0.5"/>
  <pageSetup orientation="portrait" paperSize="9" fitToHeight="0" fitToWidth="1"/>
  <headerFooter>
    <oddHeader>&amp;CFluxo de Caixa</oddHeader>
    <oddFooter>&amp;CGerado pela Planilha de Tesouraria — 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1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1" t="inlineStr">
        <is>
          <t>🖨️  Relatórios para Impressão (A4)</t>
        </is>
      </c>
    </row>
    <row r="3">
      <c r="A3" s="2" t="inlineStr">
        <is>
          <t>Selecione o mês para relatórios mensais:</t>
        </is>
      </c>
      <c r="B3" s="3" t="inlineStr">
        <is>
          <t>Janeiro</t>
        </is>
      </c>
    </row>
    <row r="5">
      <c r="A5" s="32">
        <f>Configurações!$B$4</f>
        <v/>
      </c>
    </row>
    <row r="6">
      <c r="A6" s="33" t="inlineStr">
        <is>
          <t>PRESTAÇÃO DE CONTAS MENSAL</t>
        </is>
      </c>
    </row>
    <row r="7">
      <c r="A7" s="27" t="inlineStr">
        <is>
          <t>Período:</t>
        </is>
      </c>
      <c r="B7">
        <f>B3&amp;" / "&amp;Configurações!$B$3</f>
        <v/>
      </c>
      <c r="D7" s="27" t="inlineStr">
        <is>
          <t>Emissão:</t>
        </is>
      </c>
      <c r="E7" s="34">
        <f>HOJE()</f>
        <v/>
      </c>
    </row>
    <row r="9">
      <c r="A9" t="inlineStr">
        <is>
          <t>Item</t>
        </is>
      </c>
      <c r="B9" t="inlineStr">
        <is>
          <t>Valor</t>
        </is>
      </c>
    </row>
    <row r="10">
      <c r="A10" t="inlineStr">
        <is>
          <t>Dízimos</t>
        </is>
      </c>
      <c r="B10" s="35">
        <f>ÍNDICE('Resumo Financeiro'!B3:B14;CORRESP(B3;'Resumo Financeiro'!A3:A14;0))</f>
        <v/>
      </c>
    </row>
    <row r="11">
      <c r="A11" t="inlineStr">
        <is>
          <t>Doações</t>
        </is>
      </c>
      <c r="B11" s="35">
        <f>ÍNDICE('Resumo Financeiro'!C3:C14;CORRESP(B3;'Resumo Financeiro'!A3:A14;0))</f>
        <v/>
      </c>
    </row>
    <row r="12">
      <c r="A12" t="inlineStr">
        <is>
          <t>Missas</t>
        </is>
      </c>
      <c r="B12" s="35">
        <f>ÍNDICE('Resumo Financeiro'!D3:D14;CORRESP(B3;'Resumo Financeiro'!A3:A14;0))</f>
        <v/>
      </c>
    </row>
    <row r="13">
      <c r="A13" t="inlineStr">
        <is>
          <t>Total Entradas</t>
        </is>
      </c>
      <c r="B13" s="35">
        <f>ÍNDICE('Resumo Financeiro'!E3:E14;CORRESP(B3;'Resumo Financeiro'!A3:A14;0))</f>
        <v/>
      </c>
    </row>
    <row r="14">
      <c r="A14" t="inlineStr">
        <is>
          <t>Gastos</t>
        </is>
      </c>
      <c r="B14" s="35">
        <f>ÍNDICE('Resumo Financeiro'!F3:F14;CORRESP(B3;'Resumo Financeiro'!A3:A14;0))</f>
        <v/>
      </c>
    </row>
    <row r="15">
      <c r="A15" t="inlineStr">
        <is>
          <t>Saldo do Mês</t>
        </is>
      </c>
      <c r="B15" s="35">
        <f>ÍNDICE('Resumo Financeiro'!G3:G14;CORRESP(B3;'Resumo Financeiro'!A3:A14;0))</f>
        <v/>
      </c>
    </row>
    <row r="18">
      <c r="A18" s="36" t="inlineStr">
        <is>
          <t>______________________________</t>
        </is>
      </c>
      <c r="D18" s="36" t="inlineStr">
        <is>
          <t>______________________________</t>
        </is>
      </c>
    </row>
    <row r="19">
      <c r="A19" s="36" t="inlineStr">
        <is>
          <t>Tesoureiro(a)</t>
        </is>
      </c>
      <c r="D19" s="36" t="inlineStr">
        <is>
          <t>Pároco / Presidente</t>
        </is>
      </c>
    </row>
    <row r="45">
      <c r="A45" s="32">
        <f>Configurações!$B$4</f>
        <v/>
      </c>
    </row>
    <row r="46">
      <c r="A46" s="33" t="inlineStr">
        <is>
          <t>PRESTAÇÃO DE CONTAS ANUAL</t>
        </is>
      </c>
    </row>
    <row r="47">
      <c r="A47" s="27" t="inlineStr">
        <is>
          <t>Período:</t>
        </is>
      </c>
      <c r="B47">
        <f>Configurações!$B$3</f>
        <v/>
      </c>
      <c r="D47" s="27" t="inlineStr">
        <is>
          <t>Emissão:</t>
        </is>
      </c>
      <c r="E47" s="34">
        <f>HOJE()</f>
        <v/>
      </c>
    </row>
    <row r="50">
      <c r="A50" t="inlineStr">
        <is>
          <t>Total Receitas</t>
        </is>
      </c>
      <c r="B50" s="35">
        <f>'Resumo Financeiro'!E15</f>
        <v/>
      </c>
    </row>
    <row r="51">
      <c r="A51" t="inlineStr">
        <is>
          <t>Total Despesas</t>
        </is>
      </c>
      <c r="B51" s="35">
        <f>'Resumo Financeiro'!F15</f>
        <v/>
      </c>
    </row>
    <row r="52">
      <c r="A52" t="inlineStr">
        <is>
          <t>Resultado</t>
        </is>
      </c>
      <c r="B52" s="35">
        <f>'Resumo Financeiro'!G15</f>
        <v/>
      </c>
    </row>
    <row r="53">
      <c r="A53" t="inlineStr">
        <is>
          <t>Saldo Final</t>
        </is>
      </c>
      <c r="B53" s="35">
        <f>Configurações!$B$10+'Resumo Financeiro'!G15</f>
        <v/>
      </c>
    </row>
    <row r="56">
      <c r="A56" s="36" t="inlineStr">
        <is>
          <t>______________________________</t>
        </is>
      </c>
      <c r="D56" s="36" t="inlineStr">
        <is>
          <t>______________________________</t>
        </is>
      </c>
    </row>
    <row r="57">
      <c r="A57" s="36" t="inlineStr">
        <is>
          <t>Tesoureiro(a)</t>
        </is>
      </c>
      <c r="D57" s="36" t="inlineStr">
        <is>
          <t>Pároco / Presidente</t>
        </is>
      </c>
    </row>
    <row r="85">
      <c r="A85" s="32">
        <f>Configurações!$B$4</f>
        <v/>
      </c>
    </row>
    <row r="86">
      <c r="A86" s="33" t="inlineStr">
        <is>
          <t>RESUMO FINANCEIRO</t>
        </is>
      </c>
    </row>
    <row r="87">
      <c r="A87" s="27" t="inlineStr">
        <is>
          <t>Período:</t>
        </is>
      </c>
      <c r="B87">
        <f>B3</f>
        <v/>
      </c>
      <c r="D87" s="27" t="inlineStr">
        <is>
          <t>Emissão:</t>
        </is>
      </c>
      <c r="E87" s="34">
        <f>HOJE()</f>
        <v/>
      </c>
    </row>
    <row r="89">
      <c r="A89" t="inlineStr">
        <is>
          <t>Consulte as abas Relatório Anual e Relatório Despesas para detalhes.</t>
        </is>
      </c>
    </row>
    <row r="92">
      <c r="A92" s="36" t="inlineStr">
        <is>
          <t>______________________________</t>
        </is>
      </c>
      <c r="D92" s="36" t="inlineStr">
        <is>
          <t>______________________________</t>
        </is>
      </c>
    </row>
    <row r="93">
      <c r="A93" s="36" t="inlineStr">
        <is>
          <t>Tesoureiro(a)</t>
        </is>
      </c>
      <c r="D93" s="36" t="inlineStr">
        <is>
          <t>Pároco / Presidente</t>
        </is>
      </c>
    </row>
    <row r="120">
      <c r="A120" s="32">
        <f>Configurações!$B$4</f>
        <v/>
      </c>
    </row>
    <row r="121">
      <c r="A121" s="33" t="inlineStr">
        <is>
          <t>DEMONSTRATIVO DE RECEITAS E DESPESAS</t>
        </is>
      </c>
    </row>
    <row r="122">
      <c r="A122" s="27" t="inlineStr">
        <is>
          <t>Período:</t>
        </is>
      </c>
      <c r="B122">
        <f>Configurações!$B$3</f>
        <v/>
      </c>
      <c r="D122" s="27" t="inlineStr">
        <is>
          <t>Emissão:</t>
        </is>
      </c>
      <c r="E122" s="34">
        <f>HOJE()</f>
        <v/>
      </c>
    </row>
    <row r="124">
      <c r="A124" t="inlineStr">
        <is>
          <t>Consulte as abas Relatório Anual e Relatório Despesas para detalhes.</t>
        </is>
      </c>
    </row>
    <row r="127">
      <c r="A127" s="36" t="inlineStr">
        <is>
          <t>______________________________</t>
        </is>
      </c>
      <c r="D127" s="36" t="inlineStr">
        <is>
          <t>______________________________</t>
        </is>
      </c>
    </row>
    <row r="128">
      <c r="A128" s="36" t="inlineStr">
        <is>
          <t>Tesoureiro(a)</t>
        </is>
      </c>
      <c r="D128" s="36" t="inlineStr">
        <is>
          <t>Pároco / Presidente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9">
    <mergeCell ref="A46:F46"/>
    <mergeCell ref="A89:F89"/>
    <mergeCell ref="A18:C18"/>
    <mergeCell ref="A56:C56"/>
    <mergeCell ref="A120:F120"/>
    <mergeCell ref="A86:F86"/>
    <mergeCell ref="A85:F85"/>
    <mergeCell ref="A5:F5"/>
    <mergeCell ref="D18:F18"/>
    <mergeCell ref="D56:F56"/>
    <mergeCell ref="D127:F127"/>
    <mergeCell ref="D92:F92"/>
    <mergeCell ref="A121:F121"/>
    <mergeCell ref="A127:C127"/>
    <mergeCell ref="A92:C92"/>
    <mergeCell ref="A1:F1"/>
    <mergeCell ref="A45:F45"/>
    <mergeCell ref="A6:F6"/>
    <mergeCell ref="A124:F124"/>
  </mergeCells>
  <dataValidations count="1">
    <dataValidation sqref="B3" showDropDown="0" showInputMessage="0" showErrorMessage="0" allowBlank="1" errorTitle="Valor inválido" error="Selecione um valor da lista." type="list">
      <formula1>=Configurações!$B$35:$B$46</formula1>
    </dataValidation>
  </dataValidations>
  <pageMargins left="0.75" right="0.75" top="1" bottom="1" header="0.5" footer="0.5"/>
  <pageSetup orientation="portrait" paperSize="9" fitToHeight="0" fitToWidth="1"/>
  <headerFooter>
    <oddHeader>&amp;CPrestação de Contas</oddHeader>
    <oddFooter>&amp;CGerado pela Planilha de Tesouraria — Página &amp;P de &amp;N</oddFooter>
    <evenHeader/>
    <evenFooter/>
    <firstHeader/>
    <firstFooter/>
  </headerFooter>
  <rowBreaks count="3" manualBreakCount="3">
    <brk id="44" min="0" max="16383" man="1"/>
    <brk id="84" min="0" max="16383" man="1"/>
    <brk id="119" min="0" max="16383" man="1"/>
  </rowBreaks>
</worksheet>
</file>

<file path=xl/worksheets/sheet17.xml><?xml version="1.0" encoding="utf-8"?>
<worksheet xmlns="http://schemas.openxmlformats.org/spreadsheetml/2006/main">
  <sheetPr>
    <tabColor rgb="001B2A4A"/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4" max="4"/>
    <col width="18" customWidth="1" min="5" max="5"/>
    <col width="22" customWidth="1" min="7" max="7"/>
    <col width="22" customWidth="1" min="8" max="8"/>
    <col width="16" customWidth="1" min="9" max="9"/>
    <col width="14" customWidth="1" min="10" max="10"/>
  </cols>
  <sheetData>
    <row r="1" ht="40" customHeight="1">
      <c r="A1" s="1" t="inlineStr">
        <is>
          <t>⚙️  Configurações — Parâmetros e Listas</t>
        </is>
      </c>
    </row>
    <row r="3">
      <c r="A3" s="2" t="inlineStr">
        <is>
          <t>Ano de Referência</t>
        </is>
      </c>
      <c r="B3" s="3" t="n">
        <v>2026</v>
      </c>
    </row>
    <row r="4">
      <c r="A4" s="2" t="inlineStr">
        <is>
          <t>Nome da Igreja</t>
        </is>
      </c>
      <c r="B4" s="3" t="inlineStr">
        <is>
          <t>Paróquia / Comunidade</t>
        </is>
      </c>
    </row>
    <row r="6">
      <c r="A6" s="37" t="inlineStr">
        <is>
          <t>💰 SALDO INICIAL (antes dos lançamentos do ano)</t>
        </is>
      </c>
    </row>
    <row r="7">
      <c r="A7" s="38" t="inlineStr">
        <is>
          <t>Conta</t>
        </is>
      </c>
      <c r="B7" s="38" t="inlineStr">
        <is>
          <t>Saldo Inicial</t>
        </is>
      </c>
    </row>
    <row r="8">
      <c r="A8" s="2" t="inlineStr">
        <is>
          <t>Caixa</t>
        </is>
      </c>
      <c r="B8" s="17" t="n">
        <v>0</v>
      </c>
    </row>
    <row r="9">
      <c r="A9" s="2" t="inlineStr">
        <is>
          <t>Banco</t>
        </is>
      </c>
      <c r="B9" s="17" t="n">
        <v>0</v>
      </c>
    </row>
    <row r="10">
      <c r="A10" s="39" t="inlineStr">
        <is>
          <t>Total</t>
        </is>
      </c>
      <c r="B10" s="40">
        <f>SOMA(B8:B9)</f>
        <v/>
      </c>
    </row>
    <row r="12">
      <c r="A12" s="37" t="inlineStr">
        <is>
          <t>🎯 METAS MENSAIS DE ARRECADAÇÃO</t>
        </is>
      </c>
    </row>
    <row r="13">
      <c r="B13" s="41" t="inlineStr">
        <is>
          <t>Jan</t>
        </is>
      </c>
      <c r="C13" s="41" t="inlineStr">
        <is>
          <t>Fev</t>
        </is>
      </c>
      <c r="D13" s="41" t="inlineStr">
        <is>
          <t>Mar</t>
        </is>
      </c>
      <c r="E13" s="41" t="inlineStr">
        <is>
          <t>Abr</t>
        </is>
      </c>
      <c r="F13" s="41" t="inlineStr">
        <is>
          <t>Mai</t>
        </is>
      </c>
      <c r="G13" s="41" t="inlineStr">
        <is>
          <t>Jun</t>
        </is>
      </c>
      <c r="H13" s="41" t="inlineStr">
        <is>
          <t>Jul</t>
        </is>
      </c>
      <c r="I13" s="41" t="inlineStr">
        <is>
          <t>Ago</t>
        </is>
      </c>
      <c r="J13" s="41" t="inlineStr">
        <is>
          <t>Set</t>
        </is>
      </c>
      <c r="K13" s="41" t="inlineStr">
        <is>
          <t>Out</t>
        </is>
      </c>
      <c r="L13" s="41" t="inlineStr">
        <is>
          <t>Nov</t>
        </is>
      </c>
      <c r="M13" s="41" t="inlineStr">
        <is>
          <t>Dez</t>
        </is>
      </c>
    </row>
    <row r="14"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6">
      <c r="A16" s="10" t="inlineStr">
        <is>
          <t>⚠️ LIMITES MENSAIS DE GASTOS POR CATEGORIA</t>
        </is>
      </c>
    </row>
    <row r="34">
      <c r="A34" s="10" t="inlineStr">
        <is>
          <t>📅 Meses (filtros e listas)</t>
        </is>
      </c>
      <c r="B34" s="2" t="inlineStr">
        <is>
          <t>Ano Inteiro</t>
        </is>
      </c>
    </row>
    <row r="35">
      <c r="B35" t="inlineStr">
        <is>
          <t>Janeiro</t>
        </is>
      </c>
      <c r="D35" s="37" t="inlineStr">
        <is>
          <t>Formas de Pagamento</t>
        </is>
      </c>
      <c r="G35" s="37" t="inlineStr">
        <is>
          <t>Responsáveis</t>
        </is>
      </c>
      <c r="J35" s="37" t="inlineStr">
        <is>
          <t>Contas</t>
        </is>
      </c>
    </row>
    <row r="36">
      <c r="B36" t="inlineStr">
        <is>
          <t>Fevereiro</t>
        </is>
      </c>
      <c r="E36" s="42" t="inlineStr">
        <is>
          <t>Dinheiro</t>
        </is>
      </c>
      <c r="H36" s="42" t="inlineStr">
        <is>
          <t>Tesoureiro(a)</t>
        </is>
      </c>
      <c r="J36" s="42" t="inlineStr">
        <is>
          <t>Caixa</t>
        </is>
      </c>
    </row>
    <row r="37">
      <c r="B37" t="inlineStr">
        <is>
          <t>Março</t>
        </is>
      </c>
      <c r="E37" s="42" t="inlineStr">
        <is>
          <t>PIX</t>
        </is>
      </c>
      <c r="H37" s="42" t="inlineStr">
        <is>
          <t>Pároco</t>
        </is>
      </c>
      <c r="J37" s="42" t="inlineStr">
        <is>
          <t>Banco</t>
        </is>
      </c>
    </row>
    <row r="38">
      <c r="B38" t="inlineStr">
        <is>
          <t>Abril</t>
        </is>
      </c>
      <c r="E38" s="42" t="inlineStr">
        <is>
          <t>Transferência</t>
        </is>
      </c>
      <c r="H38" s="42" t="inlineStr">
        <is>
          <t>Secretário(a)</t>
        </is>
      </c>
    </row>
    <row r="39">
      <c r="B39" t="inlineStr">
        <is>
          <t>Maio</t>
        </is>
      </c>
      <c r="E39" s="42" t="inlineStr">
        <is>
          <t>Cartão Débito</t>
        </is>
      </c>
      <c r="H39" s="42" t="inlineStr">
        <is>
          <t>Vice-Tesoureiro(a)</t>
        </is>
      </c>
    </row>
    <row r="40">
      <c r="B40" t="inlineStr">
        <is>
          <t>Junho</t>
        </is>
      </c>
      <c r="E40" s="42" t="inlineStr">
        <is>
          <t>Cartão Crédito</t>
        </is>
      </c>
      <c r="H40" s="42" t="inlineStr">
        <is>
          <t>Outro</t>
        </is>
      </c>
    </row>
    <row r="41">
      <c r="B41" t="inlineStr">
        <is>
          <t>Julho</t>
        </is>
      </c>
      <c r="E41" s="42" t="inlineStr">
        <is>
          <t>Cheque</t>
        </is>
      </c>
    </row>
    <row r="42">
      <c r="B42" t="inlineStr">
        <is>
          <t>Agosto</t>
        </is>
      </c>
      <c r="E42" s="42" t="inlineStr">
        <is>
          <t>Depósito</t>
        </is>
      </c>
    </row>
    <row r="43">
      <c r="B43" t="inlineStr">
        <is>
          <t>Setembro</t>
        </is>
      </c>
    </row>
    <row r="44">
      <c r="B44" t="inlineStr">
        <is>
          <t>Outubro</t>
        </is>
      </c>
    </row>
    <row r="45">
      <c r="B45" t="inlineStr">
        <is>
          <t>Novembro</t>
        </is>
      </c>
    </row>
    <row r="46">
      <c r="B46" t="inlineStr">
        <is>
          <t>Dezembro</t>
        </is>
      </c>
    </row>
    <row r="50">
      <c r="A50" s="37" t="inlineStr">
        <is>
          <t>Tipos de Receitas</t>
        </is>
      </c>
      <c r="D50" s="37" t="inlineStr">
        <is>
          <t>Tipos de Despesas</t>
        </is>
      </c>
      <c r="H50" s="18" t="inlineStr">
        <is>
          <t>Categoria</t>
        </is>
      </c>
      <c r="I50" s="18" t="inlineStr">
        <is>
          <t>Limite Mensal</t>
        </is>
      </c>
    </row>
    <row r="51">
      <c r="B51" s="42" t="inlineStr">
        <is>
          <t>Dízimos</t>
        </is>
      </c>
      <c r="E51" s="42" t="inlineStr">
        <is>
          <t>Água</t>
        </is>
      </c>
      <c r="H51" s="42" t="inlineStr">
        <is>
          <t>Água</t>
        </is>
      </c>
      <c r="I51" s="17" t="n">
        <v>0</v>
      </c>
    </row>
    <row r="52">
      <c r="B52" s="42" t="inlineStr">
        <is>
          <t>Doações</t>
        </is>
      </c>
      <c r="E52" s="42" t="inlineStr">
        <is>
          <t>Energia</t>
        </is>
      </c>
      <c r="H52" s="42" t="inlineStr">
        <is>
          <t>Energia</t>
        </is>
      </c>
      <c r="I52" s="17" t="n">
        <v>0</v>
      </c>
    </row>
    <row r="53">
      <c r="B53" s="42" t="inlineStr">
        <is>
          <t>Missas</t>
        </is>
      </c>
      <c r="E53" s="42" t="inlineStr">
        <is>
          <t>Internet</t>
        </is>
      </c>
      <c r="H53" s="42" t="inlineStr">
        <is>
          <t>Limpeza</t>
        </is>
      </c>
      <c r="I53" s="17" t="n">
        <v>0</v>
      </c>
    </row>
    <row r="54">
      <c r="B54" s="42" t="inlineStr">
        <is>
          <t>Campanhas</t>
        </is>
      </c>
      <c r="E54" s="42" t="inlineStr">
        <is>
          <t>Limpeza</t>
        </is>
      </c>
      <c r="H54" s="42" t="inlineStr">
        <is>
          <t>Material Litúrgico</t>
        </is>
      </c>
      <c r="I54" s="17" t="n">
        <v>0</v>
      </c>
    </row>
    <row r="55">
      <c r="B55" s="42" t="inlineStr">
        <is>
          <t>Festas</t>
        </is>
      </c>
      <c r="E55" s="42" t="inlineStr">
        <is>
          <t>Material Litúrgico</t>
        </is>
      </c>
      <c r="H55" s="42" t="inlineStr">
        <is>
          <t>Hóstias</t>
        </is>
      </c>
      <c r="I55" s="17" t="n">
        <v>0</v>
      </c>
    </row>
    <row r="56">
      <c r="B56" s="42" t="inlineStr">
        <is>
          <t>Eventos</t>
        </is>
      </c>
      <c r="E56" s="42" t="inlineStr">
        <is>
          <t>Flores</t>
        </is>
      </c>
      <c r="H56" s="42" t="inlineStr">
        <is>
          <t>Vinho</t>
        </is>
      </c>
      <c r="I56" s="17" t="n">
        <v>0</v>
      </c>
    </row>
    <row r="57">
      <c r="B57" s="42" t="inlineStr">
        <is>
          <t>Rifas</t>
        </is>
      </c>
      <c r="E57" s="42" t="inlineStr">
        <is>
          <t>Manutenção</t>
        </is>
      </c>
      <c r="H57" s="42" t="inlineStr">
        <is>
          <t>Flores</t>
        </is>
      </c>
      <c r="I57" s="17" t="n">
        <v>0</v>
      </c>
    </row>
    <row r="58">
      <c r="B58" s="42" t="inlineStr">
        <is>
          <t>Outros</t>
        </is>
      </c>
      <c r="E58" s="42" t="inlineStr">
        <is>
          <t>Construção</t>
        </is>
      </c>
      <c r="H58" s="42" t="inlineStr">
        <is>
          <t>Som</t>
        </is>
      </c>
      <c r="I58" s="17" t="n">
        <v>0</v>
      </c>
    </row>
    <row r="59">
      <c r="E59" s="42" t="inlineStr">
        <is>
          <t>Equipamentos</t>
        </is>
      </c>
      <c r="H59" s="42" t="inlineStr">
        <is>
          <t>Manutenção</t>
        </is>
      </c>
      <c r="I59" s="17" t="n">
        <v>0</v>
      </c>
    </row>
    <row r="60">
      <c r="E60" s="42" t="inlineStr">
        <is>
          <t>Secretaria</t>
        </is>
      </c>
      <c r="H60" s="42" t="inlineStr">
        <is>
          <t>Obras</t>
        </is>
      </c>
      <c r="I60" s="17" t="n">
        <v>0</v>
      </c>
    </row>
    <row r="61">
      <c r="E61" s="42" t="inlineStr">
        <is>
          <t>Eventos</t>
        </is>
      </c>
      <c r="H61" s="42" t="inlineStr">
        <is>
          <t>Secretaria</t>
        </is>
      </c>
      <c r="I61" s="17" t="n">
        <v>0</v>
      </c>
    </row>
    <row r="62">
      <c r="E62" s="42" t="inlineStr">
        <is>
          <t>Transporte</t>
        </is>
      </c>
      <c r="H62" s="42" t="inlineStr">
        <is>
          <t>Eventos</t>
        </is>
      </c>
      <c r="I62" s="17" t="n">
        <v>0</v>
      </c>
    </row>
    <row r="63">
      <c r="E63" s="42" t="inlineStr">
        <is>
          <t>Outros</t>
        </is>
      </c>
      <c r="H63" s="42" t="inlineStr">
        <is>
          <t>Alimentação</t>
        </is>
      </c>
      <c r="I63" s="17" t="n">
        <v>0</v>
      </c>
    </row>
    <row r="64">
      <c r="H64" s="42" t="inlineStr">
        <is>
          <t>Transporte</t>
        </is>
      </c>
      <c r="I64" s="17" t="n">
        <v>0</v>
      </c>
    </row>
    <row r="65">
      <c r="H65" s="42" t="inlineStr">
        <is>
          <t>Outros</t>
        </is>
      </c>
      <c r="I65" s="17" t="n">
        <v>0</v>
      </c>
    </row>
    <row r="69">
      <c r="A69" s="37" t="inlineStr">
        <is>
          <t>Tipos de Doação</t>
        </is>
      </c>
    </row>
    <row r="70">
      <c r="B70" s="42" t="inlineStr">
        <is>
          <t>Monetária</t>
        </is>
      </c>
    </row>
    <row r="71">
      <c r="B71" s="42" t="inlineStr">
        <is>
          <t>Material</t>
        </is>
      </c>
    </row>
    <row r="72">
      <c r="B72" s="42" t="inlineStr">
        <is>
          <t>Alimentos</t>
        </is>
      </c>
    </row>
    <row r="73">
      <c r="B73" s="42" t="inlineStr">
        <is>
          <t>Vestuário</t>
        </is>
      </c>
    </row>
    <row r="74">
      <c r="B74" s="42" t="inlineStr">
        <is>
          <t>Equipamento</t>
        </is>
      </c>
    </row>
    <row r="75">
      <c r="B75" s="42" t="inlineStr">
        <is>
          <t>Outros</t>
        </is>
      </c>
    </row>
    <row r="77">
      <c r="A77" s="16" t="inlineStr">
        <is>
          <t>💾 Dica: salve no OneDrive ou Google Drive para backup automático na nuvem.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5">
    <mergeCell ref="A77:H77"/>
    <mergeCell ref="A12:M12"/>
    <mergeCell ref="A1:H1"/>
    <mergeCell ref="A6:B6"/>
    <mergeCell ref="A16:C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E7D32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🔄  Iniciar Novo Exercício Financeiro</t>
        </is>
      </c>
    </row>
    <row r="3" ht="36" customHeight="1">
      <c r="A3" s="43" t="inlineStr">
        <is>
          <t>▶  NOVO EXERCÍCIO</t>
        </is>
      </c>
    </row>
    <row r="5">
      <c r="A5" t="inlineStr">
        <is>
          <t>Este botão/macro executa automaticamente:</t>
        </is>
      </c>
    </row>
    <row r="6">
      <c r="A6" t="inlineStr">
        <is>
          <t xml:space="preserve">  • Limpa lançamentos do ano anterior (Dízimos, Doações, Missas, Gastos, Conciliação)</t>
        </is>
      </c>
    </row>
    <row r="7">
      <c r="A7" t="inlineStr">
        <is>
          <t xml:space="preserve">  • Mantém fórmulas, gráficos, Dashboard e configurações de listas</t>
        </is>
      </c>
    </row>
    <row r="8">
      <c r="A8" t="inlineStr">
        <is>
          <t xml:space="preserve">  • Incrementa o ano (ex: 2026 → 2027)</t>
        </is>
      </c>
    </row>
    <row r="9">
      <c r="A9" t="inlineStr">
        <is>
          <t xml:space="preserve">  • Preenche domingos do novo ano na aba Missas</t>
        </is>
      </c>
    </row>
    <row r="10">
      <c r="A10" t="inlineStr">
        <is>
          <t xml:space="preserve">  • Arquiva totais do ano no Comparativo Anual</t>
        </is>
      </c>
    </row>
    <row r="11">
      <c r="A11" t="inlineStr"/>
    </row>
    <row r="12">
      <c r="A12" t="inlineStr">
        <is>
          <t>COMO ATIVAR O BOTÃO:</t>
        </is>
      </c>
    </row>
    <row r="13">
      <c r="A13" t="inlineStr">
        <is>
          <t>1. Salve a planilha como .xlsm (Excel com macros)</t>
        </is>
      </c>
    </row>
    <row r="14">
      <c r="A14" t="inlineStr">
        <is>
          <t>2. Pressione Alt+F11 → Arquivo → Importar → vba/NovoExercicio.bas</t>
        </is>
      </c>
    </row>
    <row r="15">
      <c r="A15" t="inlineStr">
        <is>
          <t>3. Desenvolvedor → Inserir → Botão → associe à macro NovoExercicio</t>
        </is>
      </c>
    </row>
    <row r="16">
      <c r="A16" t="inlineStr"/>
    </row>
    <row r="17">
      <c r="A17" t="inlineStr">
        <is>
          <t>Alternativa sem macro: execute no terminal:</t>
        </is>
      </c>
    </row>
    <row r="18">
      <c r="A18" t="inlineStr">
        <is>
          <t xml:space="preserve">  python gerar_planilha.py --novo-exercicio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6">
    <mergeCell ref="A1:D1"/>
    <mergeCell ref="A5:D5"/>
    <mergeCell ref="A9:D9"/>
    <mergeCell ref="A17:D17"/>
    <mergeCell ref="A8:D8"/>
    <mergeCell ref="A18:D18"/>
    <mergeCell ref="A6:D6"/>
    <mergeCell ref="A12:D12"/>
    <mergeCell ref="A3:D3"/>
    <mergeCell ref="A15:D15"/>
    <mergeCell ref="A7:D7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D2001"/>
  <sheetViews>
    <sheetView workbookViewId="0">
      <selection activeCell="A1" sqref="A1"/>
    </sheetView>
  </sheetViews>
  <sheetFormatPr baseColWidth="8" defaultRowHeight="15"/>
  <sheetData>
    <row r="2">
      <c r="A2">
        <f>SE('Dízimos Mensais'!A3="";"";'Dízimos Mensais'!A3)</f>
        <v/>
      </c>
      <c r="B2">
        <f>SE('Dízimos Mensais'!A3="";"";"Dízimo - "&amp;'Dízimos Mensais'!B3)</f>
        <v/>
      </c>
      <c r="C2">
        <f>SE('Dízimos Mensais'!A3="";"";'Dízimos Mensais'!E3)</f>
        <v/>
      </c>
      <c r="D2">
        <f>SE('Dízimos Mensais'!A3="";"";0)</f>
        <v/>
      </c>
    </row>
    <row r="3">
      <c r="A3">
        <f>SE('Dízimos Mensais'!A4="";"";'Dízimos Mensais'!A4)</f>
        <v/>
      </c>
      <c r="B3">
        <f>SE('Dízimos Mensais'!A4="";"";"Dízimo - "&amp;'Dízimos Mensais'!B4)</f>
        <v/>
      </c>
      <c r="C3">
        <f>SE('Dízimos Mensais'!A4="";"";'Dízimos Mensais'!E4)</f>
        <v/>
      </c>
      <c r="D3">
        <f>SE('Dízimos Mensais'!A4="";"";0)</f>
        <v/>
      </c>
    </row>
    <row r="4">
      <c r="A4">
        <f>SE('Dízimos Mensais'!A5="";"";'Dízimos Mensais'!A5)</f>
        <v/>
      </c>
      <c r="B4">
        <f>SE('Dízimos Mensais'!A5="";"";"Dízimo - "&amp;'Dízimos Mensais'!B5)</f>
        <v/>
      </c>
      <c r="C4">
        <f>SE('Dízimos Mensais'!A5="";"";'Dízimos Mensais'!E5)</f>
        <v/>
      </c>
      <c r="D4">
        <f>SE('Dízimos Mensais'!A5="";"";0)</f>
        <v/>
      </c>
    </row>
    <row r="5">
      <c r="A5">
        <f>SE('Dízimos Mensais'!A6="";"";'Dízimos Mensais'!A6)</f>
        <v/>
      </c>
      <c r="B5">
        <f>SE('Dízimos Mensais'!A6="";"";"Dízimo - "&amp;'Dízimos Mensais'!B6)</f>
        <v/>
      </c>
      <c r="C5">
        <f>SE('Dízimos Mensais'!A6="";"";'Dízimos Mensais'!E6)</f>
        <v/>
      </c>
      <c r="D5">
        <f>SE('Dízimos Mensais'!A6="";"";0)</f>
        <v/>
      </c>
    </row>
    <row r="6">
      <c r="A6">
        <f>SE('Dízimos Mensais'!A7="";"";'Dízimos Mensais'!A7)</f>
        <v/>
      </c>
      <c r="B6">
        <f>SE('Dízimos Mensais'!A7="";"";"Dízimo - "&amp;'Dízimos Mensais'!B7)</f>
        <v/>
      </c>
      <c r="C6">
        <f>SE('Dízimos Mensais'!A7="";"";'Dízimos Mensais'!E7)</f>
        <v/>
      </c>
      <c r="D6">
        <f>SE('Dízimos Mensais'!A7="";"";0)</f>
        <v/>
      </c>
    </row>
    <row r="7">
      <c r="A7">
        <f>SE('Dízimos Mensais'!A8="";"";'Dízimos Mensais'!A8)</f>
        <v/>
      </c>
      <c r="B7">
        <f>SE('Dízimos Mensais'!A8="";"";"Dízimo - "&amp;'Dízimos Mensais'!B8)</f>
        <v/>
      </c>
      <c r="C7">
        <f>SE('Dízimos Mensais'!A8="";"";'Dízimos Mensais'!E8)</f>
        <v/>
      </c>
      <c r="D7">
        <f>SE('Dízimos Mensais'!A8="";"";0)</f>
        <v/>
      </c>
    </row>
    <row r="8">
      <c r="A8">
        <f>SE('Dízimos Mensais'!A9="";"";'Dízimos Mensais'!A9)</f>
        <v/>
      </c>
      <c r="B8">
        <f>SE('Dízimos Mensais'!A9="";"";"Dízimo - "&amp;'Dízimos Mensais'!B9)</f>
        <v/>
      </c>
      <c r="C8">
        <f>SE('Dízimos Mensais'!A9="";"";'Dízimos Mensais'!E9)</f>
        <v/>
      </c>
      <c r="D8">
        <f>SE('Dízimos Mensais'!A9="";"";0)</f>
        <v/>
      </c>
    </row>
    <row r="9">
      <c r="A9">
        <f>SE('Dízimos Mensais'!A10="";"";'Dízimos Mensais'!A10)</f>
        <v/>
      </c>
      <c r="B9">
        <f>SE('Dízimos Mensais'!A10="";"";"Dízimo - "&amp;'Dízimos Mensais'!B10)</f>
        <v/>
      </c>
      <c r="C9">
        <f>SE('Dízimos Mensais'!A10="";"";'Dízimos Mensais'!E10)</f>
        <v/>
      </c>
      <c r="D9">
        <f>SE('Dízimos Mensais'!A10="";"";0)</f>
        <v/>
      </c>
    </row>
    <row r="10">
      <c r="A10">
        <f>SE('Dízimos Mensais'!A11="";"";'Dízimos Mensais'!A11)</f>
        <v/>
      </c>
      <c r="B10">
        <f>SE('Dízimos Mensais'!A11="";"";"Dízimo - "&amp;'Dízimos Mensais'!B11)</f>
        <v/>
      </c>
      <c r="C10">
        <f>SE('Dízimos Mensais'!A11="";"";'Dízimos Mensais'!E11)</f>
        <v/>
      </c>
      <c r="D10">
        <f>SE('Dízimos Mensais'!A11="";"";0)</f>
        <v/>
      </c>
    </row>
    <row r="11">
      <c r="A11">
        <f>SE('Dízimos Mensais'!A12="";"";'Dízimos Mensais'!A12)</f>
        <v/>
      </c>
      <c r="B11">
        <f>SE('Dízimos Mensais'!A12="";"";"Dízimo - "&amp;'Dízimos Mensais'!B12)</f>
        <v/>
      </c>
      <c r="C11">
        <f>SE('Dízimos Mensais'!A12="";"";'Dízimos Mensais'!E12)</f>
        <v/>
      </c>
      <c r="D11">
        <f>SE('Dízimos Mensais'!A12="";"";0)</f>
        <v/>
      </c>
    </row>
    <row r="12">
      <c r="A12">
        <f>SE('Dízimos Mensais'!A13="";"";'Dízimos Mensais'!A13)</f>
        <v/>
      </c>
      <c r="B12">
        <f>SE('Dízimos Mensais'!A13="";"";"Dízimo - "&amp;'Dízimos Mensais'!B13)</f>
        <v/>
      </c>
      <c r="C12">
        <f>SE('Dízimos Mensais'!A13="";"";'Dízimos Mensais'!E13)</f>
        <v/>
      </c>
      <c r="D12">
        <f>SE('Dízimos Mensais'!A13="";"";0)</f>
        <v/>
      </c>
    </row>
    <row r="13">
      <c r="A13">
        <f>SE('Dízimos Mensais'!A14="";"";'Dízimos Mensais'!A14)</f>
        <v/>
      </c>
      <c r="B13">
        <f>SE('Dízimos Mensais'!A14="";"";"Dízimo - "&amp;'Dízimos Mensais'!B14)</f>
        <v/>
      </c>
      <c r="C13">
        <f>SE('Dízimos Mensais'!A14="";"";'Dízimos Mensais'!E14)</f>
        <v/>
      </c>
      <c r="D13">
        <f>SE('Dízimos Mensais'!A14="";"";0)</f>
        <v/>
      </c>
    </row>
    <row r="14">
      <c r="A14">
        <f>SE('Dízimos Mensais'!A15="";"";'Dízimos Mensais'!A15)</f>
        <v/>
      </c>
      <c r="B14">
        <f>SE('Dízimos Mensais'!A15="";"";"Dízimo - "&amp;'Dízimos Mensais'!B15)</f>
        <v/>
      </c>
      <c r="C14">
        <f>SE('Dízimos Mensais'!A15="";"";'Dízimos Mensais'!E15)</f>
        <v/>
      </c>
      <c r="D14">
        <f>SE('Dízimos Mensais'!A15="";"";0)</f>
        <v/>
      </c>
    </row>
    <row r="15">
      <c r="A15">
        <f>SE('Dízimos Mensais'!A16="";"";'Dízimos Mensais'!A16)</f>
        <v/>
      </c>
      <c r="B15">
        <f>SE('Dízimos Mensais'!A16="";"";"Dízimo - "&amp;'Dízimos Mensais'!B16)</f>
        <v/>
      </c>
      <c r="C15">
        <f>SE('Dízimos Mensais'!A16="";"";'Dízimos Mensais'!E16)</f>
        <v/>
      </c>
      <c r="D15">
        <f>SE('Dízimos Mensais'!A16="";"";0)</f>
        <v/>
      </c>
    </row>
    <row r="16">
      <c r="A16">
        <f>SE('Dízimos Mensais'!A17="";"";'Dízimos Mensais'!A17)</f>
        <v/>
      </c>
      <c r="B16">
        <f>SE('Dízimos Mensais'!A17="";"";"Dízimo - "&amp;'Dízimos Mensais'!B17)</f>
        <v/>
      </c>
      <c r="C16">
        <f>SE('Dízimos Mensais'!A17="";"";'Dízimos Mensais'!E17)</f>
        <v/>
      </c>
      <c r="D16">
        <f>SE('Dízimos Mensais'!A17="";"";0)</f>
        <v/>
      </c>
    </row>
    <row r="17">
      <c r="A17">
        <f>SE('Dízimos Mensais'!A18="";"";'Dízimos Mensais'!A18)</f>
        <v/>
      </c>
      <c r="B17">
        <f>SE('Dízimos Mensais'!A18="";"";"Dízimo - "&amp;'Dízimos Mensais'!B18)</f>
        <v/>
      </c>
      <c r="C17">
        <f>SE('Dízimos Mensais'!A18="";"";'Dízimos Mensais'!E18)</f>
        <v/>
      </c>
      <c r="D17">
        <f>SE('Dízimos Mensais'!A18="";"";0)</f>
        <v/>
      </c>
    </row>
    <row r="18">
      <c r="A18">
        <f>SE('Dízimos Mensais'!A19="";"";'Dízimos Mensais'!A19)</f>
        <v/>
      </c>
      <c r="B18">
        <f>SE('Dízimos Mensais'!A19="";"";"Dízimo - "&amp;'Dízimos Mensais'!B19)</f>
        <v/>
      </c>
      <c r="C18">
        <f>SE('Dízimos Mensais'!A19="";"";'Dízimos Mensais'!E19)</f>
        <v/>
      </c>
      <c r="D18">
        <f>SE('Dízimos Mensais'!A19="";"";0)</f>
        <v/>
      </c>
    </row>
    <row r="19">
      <c r="A19">
        <f>SE('Dízimos Mensais'!A20="";"";'Dízimos Mensais'!A20)</f>
        <v/>
      </c>
      <c r="B19">
        <f>SE('Dízimos Mensais'!A20="";"";"Dízimo - "&amp;'Dízimos Mensais'!B20)</f>
        <v/>
      </c>
      <c r="C19">
        <f>SE('Dízimos Mensais'!A20="";"";'Dízimos Mensais'!E20)</f>
        <v/>
      </c>
      <c r="D19">
        <f>SE('Dízimos Mensais'!A20="";"";0)</f>
        <v/>
      </c>
    </row>
    <row r="20">
      <c r="A20">
        <f>SE('Dízimos Mensais'!A21="";"";'Dízimos Mensais'!A21)</f>
        <v/>
      </c>
      <c r="B20">
        <f>SE('Dízimos Mensais'!A21="";"";"Dízimo - "&amp;'Dízimos Mensais'!B21)</f>
        <v/>
      </c>
      <c r="C20">
        <f>SE('Dízimos Mensais'!A21="";"";'Dízimos Mensais'!E21)</f>
        <v/>
      </c>
      <c r="D20">
        <f>SE('Dízimos Mensais'!A21="";"";0)</f>
        <v/>
      </c>
    </row>
    <row r="21">
      <c r="A21">
        <f>SE('Dízimos Mensais'!A22="";"";'Dízimos Mensais'!A22)</f>
        <v/>
      </c>
      <c r="B21">
        <f>SE('Dízimos Mensais'!A22="";"";"Dízimo - "&amp;'Dízimos Mensais'!B22)</f>
        <v/>
      </c>
      <c r="C21">
        <f>SE('Dízimos Mensais'!A22="";"";'Dízimos Mensais'!E22)</f>
        <v/>
      </c>
      <c r="D21">
        <f>SE('Dízimos Mensais'!A22="";"";0)</f>
        <v/>
      </c>
    </row>
    <row r="22">
      <c r="A22">
        <f>SE('Dízimos Mensais'!A23="";"";'Dízimos Mensais'!A23)</f>
        <v/>
      </c>
      <c r="B22">
        <f>SE('Dízimos Mensais'!A23="";"";"Dízimo - "&amp;'Dízimos Mensais'!B23)</f>
        <v/>
      </c>
      <c r="C22">
        <f>SE('Dízimos Mensais'!A23="";"";'Dízimos Mensais'!E23)</f>
        <v/>
      </c>
      <c r="D22">
        <f>SE('Dízimos Mensais'!A23="";"";0)</f>
        <v/>
      </c>
    </row>
    <row r="23">
      <c r="A23">
        <f>SE('Dízimos Mensais'!A24="";"";'Dízimos Mensais'!A24)</f>
        <v/>
      </c>
      <c r="B23">
        <f>SE('Dízimos Mensais'!A24="";"";"Dízimo - "&amp;'Dízimos Mensais'!B24)</f>
        <v/>
      </c>
      <c r="C23">
        <f>SE('Dízimos Mensais'!A24="";"";'Dízimos Mensais'!E24)</f>
        <v/>
      </c>
      <c r="D23">
        <f>SE('Dízimos Mensais'!A24="";"";0)</f>
        <v/>
      </c>
    </row>
    <row r="24">
      <c r="A24">
        <f>SE('Dízimos Mensais'!A25="";"";'Dízimos Mensais'!A25)</f>
        <v/>
      </c>
      <c r="B24">
        <f>SE('Dízimos Mensais'!A25="";"";"Dízimo - "&amp;'Dízimos Mensais'!B25)</f>
        <v/>
      </c>
      <c r="C24">
        <f>SE('Dízimos Mensais'!A25="";"";'Dízimos Mensais'!E25)</f>
        <v/>
      </c>
      <c r="D24">
        <f>SE('Dízimos Mensais'!A25="";"";0)</f>
        <v/>
      </c>
    </row>
    <row r="25">
      <c r="A25">
        <f>SE('Dízimos Mensais'!A26="";"";'Dízimos Mensais'!A26)</f>
        <v/>
      </c>
      <c r="B25">
        <f>SE('Dízimos Mensais'!A26="";"";"Dízimo - "&amp;'Dízimos Mensais'!B26)</f>
        <v/>
      </c>
      <c r="C25">
        <f>SE('Dízimos Mensais'!A26="";"";'Dízimos Mensais'!E26)</f>
        <v/>
      </c>
      <c r="D25">
        <f>SE('Dízimos Mensais'!A26="";"";0)</f>
        <v/>
      </c>
    </row>
    <row r="26">
      <c r="A26">
        <f>SE('Dízimos Mensais'!A27="";"";'Dízimos Mensais'!A27)</f>
        <v/>
      </c>
      <c r="B26">
        <f>SE('Dízimos Mensais'!A27="";"";"Dízimo - "&amp;'Dízimos Mensais'!B27)</f>
        <v/>
      </c>
      <c r="C26">
        <f>SE('Dízimos Mensais'!A27="";"";'Dízimos Mensais'!E27)</f>
        <v/>
      </c>
      <c r="D26">
        <f>SE('Dízimos Mensais'!A27="";"";0)</f>
        <v/>
      </c>
    </row>
    <row r="27">
      <c r="A27">
        <f>SE('Dízimos Mensais'!A28="";"";'Dízimos Mensais'!A28)</f>
        <v/>
      </c>
      <c r="B27">
        <f>SE('Dízimos Mensais'!A28="";"";"Dízimo - "&amp;'Dízimos Mensais'!B28)</f>
        <v/>
      </c>
      <c r="C27">
        <f>SE('Dízimos Mensais'!A28="";"";'Dízimos Mensais'!E28)</f>
        <v/>
      </c>
      <c r="D27">
        <f>SE('Dízimos Mensais'!A28="";"";0)</f>
        <v/>
      </c>
    </row>
    <row r="28">
      <c r="A28">
        <f>SE('Dízimos Mensais'!A29="";"";'Dízimos Mensais'!A29)</f>
        <v/>
      </c>
      <c r="B28">
        <f>SE('Dízimos Mensais'!A29="";"";"Dízimo - "&amp;'Dízimos Mensais'!B29)</f>
        <v/>
      </c>
      <c r="C28">
        <f>SE('Dízimos Mensais'!A29="";"";'Dízimos Mensais'!E29)</f>
        <v/>
      </c>
      <c r="D28">
        <f>SE('Dízimos Mensais'!A29="";"";0)</f>
        <v/>
      </c>
    </row>
    <row r="29">
      <c r="A29">
        <f>SE('Dízimos Mensais'!A30="";"";'Dízimos Mensais'!A30)</f>
        <v/>
      </c>
      <c r="B29">
        <f>SE('Dízimos Mensais'!A30="";"";"Dízimo - "&amp;'Dízimos Mensais'!B30)</f>
        <v/>
      </c>
      <c r="C29">
        <f>SE('Dízimos Mensais'!A30="";"";'Dízimos Mensais'!E30)</f>
        <v/>
      </c>
      <c r="D29">
        <f>SE('Dízimos Mensais'!A30="";"";0)</f>
        <v/>
      </c>
    </row>
    <row r="30">
      <c r="A30">
        <f>SE('Dízimos Mensais'!A31="";"";'Dízimos Mensais'!A31)</f>
        <v/>
      </c>
      <c r="B30">
        <f>SE('Dízimos Mensais'!A31="";"";"Dízimo - "&amp;'Dízimos Mensais'!B31)</f>
        <v/>
      </c>
      <c r="C30">
        <f>SE('Dízimos Mensais'!A31="";"";'Dízimos Mensais'!E31)</f>
        <v/>
      </c>
      <c r="D30">
        <f>SE('Dízimos Mensais'!A31="";"";0)</f>
        <v/>
      </c>
    </row>
    <row r="31">
      <c r="A31">
        <f>SE('Dízimos Mensais'!A32="";"";'Dízimos Mensais'!A32)</f>
        <v/>
      </c>
      <c r="B31">
        <f>SE('Dízimos Mensais'!A32="";"";"Dízimo - "&amp;'Dízimos Mensais'!B32)</f>
        <v/>
      </c>
      <c r="C31">
        <f>SE('Dízimos Mensais'!A32="";"";'Dízimos Mensais'!E32)</f>
        <v/>
      </c>
      <c r="D31">
        <f>SE('Dízimos Mensais'!A32="";"";0)</f>
        <v/>
      </c>
    </row>
    <row r="32">
      <c r="A32">
        <f>SE('Dízimos Mensais'!A33="";"";'Dízimos Mensais'!A33)</f>
        <v/>
      </c>
      <c r="B32">
        <f>SE('Dízimos Mensais'!A33="";"";"Dízimo - "&amp;'Dízimos Mensais'!B33)</f>
        <v/>
      </c>
      <c r="C32">
        <f>SE('Dízimos Mensais'!A33="";"";'Dízimos Mensais'!E33)</f>
        <v/>
      </c>
      <c r="D32">
        <f>SE('Dízimos Mensais'!A33="";"";0)</f>
        <v/>
      </c>
    </row>
    <row r="33">
      <c r="A33">
        <f>SE('Dízimos Mensais'!A34="";"";'Dízimos Mensais'!A34)</f>
        <v/>
      </c>
      <c r="B33">
        <f>SE('Dízimos Mensais'!A34="";"";"Dízimo - "&amp;'Dízimos Mensais'!B34)</f>
        <v/>
      </c>
      <c r="C33">
        <f>SE('Dízimos Mensais'!A34="";"";'Dízimos Mensais'!E34)</f>
        <v/>
      </c>
      <c r="D33">
        <f>SE('Dízimos Mensais'!A34="";"";0)</f>
        <v/>
      </c>
    </row>
    <row r="34">
      <c r="A34">
        <f>SE('Dízimos Mensais'!A35="";"";'Dízimos Mensais'!A35)</f>
        <v/>
      </c>
      <c r="B34">
        <f>SE('Dízimos Mensais'!A35="";"";"Dízimo - "&amp;'Dízimos Mensais'!B35)</f>
        <v/>
      </c>
      <c r="C34">
        <f>SE('Dízimos Mensais'!A35="";"";'Dízimos Mensais'!E35)</f>
        <v/>
      </c>
      <c r="D34">
        <f>SE('Dízimos Mensais'!A35="";"";0)</f>
        <v/>
      </c>
    </row>
    <row r="35">
      <c r="A35">
        <f>SE('Dízimos Mensais'!A36="";"";'Dízimos Mensais'!A36)</f>
        <v/>
      </c>
      <c r="B35">
        <f>SE('Dízimos Mensais'!A36="";"";"Dízimo - "&amp;'Dízimos Mensais'!B36)</f>
        <v/>
      </c>
      <c r="C35">
        <f>SE('Dízimos Mensais'!A36="";"";'Dízimos Mensais'!E36)</f>
        <v/>
      </c>
      <c r="D35">
        <f>SE('Dízimos Mensais'!A36="";"";0)</f>
        <v/>
      </c>
    </row>
    <row r="36">
      <c r="A36">
        <f>SE('Dízimos Mensais'!A37="";"";'Dízimos Mensais'!A37)</f>
        <v/>
      </c>
      <c r="B36">
        <f>SE('Dízimos Mensais'!A37="";"";"Dízimo - "&amp;'Dízimos Mensais'!B37)</f>
        <v/>
      </c>
      <c r="C36">
        <f>SE('Dízimos Mensais'!A37="";"";'Dízimos Mensais'!E37)</f>
        <v/>
      </c>
      <c r="D36">
        <f>SE('Dízimos Mensais'!A37="";"";0)</f>
        <v/>
      </c>
    </row>
    <row r="37">
      <c r="A37">
        <f>SE('Dízimos Mensais'!A38="";"";'Dízimos Mensais'!A38)</f>
        <v/>
      </c>
      <c r="B37">
        <f>SE('Dízimos Mensais'!A38="";"";"Dízimo - "&amp;'Dízimos Mensais'!B38)</f>
        <v/>
      </c>
      <c r="C37">
        <f>SE('Dízimos Mensais'!A38="";"";'Dízimos Mensais'!E38)</f>
        <v/>
      </c>
      <c r="D37">
        <f>SE('Dízimos Mensais'!A38="";"";0)</f>
        <v/>
      </c>
    </row>
    <row r="38">
      <c r="A38">
        <f>SE('Dízimos Mensais'!A39="";"";'Dízimos Mensais'!A39)</f>
        <v/>
      </c>
      <c r="B38">
        <f>SE('Dízimos Mensais'!A39="";"";"Dízimo - "&amp;'Dízimos Mensais'!B39)</f>
        <v/>
      </c>
      <c r="C38">
        <f>SE('Dízimos Mensais'!A39="";"";'Dízimos Mensais'!E39)</f>
        <v/>
      </c>
      <c r="D38">
        <f>SE('Dízimos Mensais'!A39="";"";0)</f>
        <v/>
      </c>
    </row>
    <row r="39">
      <c r="A39">
        <f>SE('Dízimos Mensais'!A40="";"";'Dízimos Mensais'!A40)</f>
        <v/>
      </c>
      <c r="B39">
        <f>SE('Dízimos Mensais'!A40="";"";"Dízimo - "&amp;'Dízimos Mensais'!B40)</f>
        <v/>
      </c>
      <c r="C39">
        <f>SE('Dízimos Mensais'!A40="";"";'Dízimos Mensais'!E40)</f>
        <v/>
      </c>
      <c r="D39">
        <f>SE('Dízimos Mensais'!A40="";"";0)</f>
        <v/>
      </c>
    </row>
    <row r="40">
      <c r="A40">
        <f>SE('Dízimos Mensais'!A41="";"";'Dízimos Mensais'!A41)</f>
        <v/>
      </c>
      <c r="B40">
        <f>SE('Dízimos Mensais'!A41="";"";"Dízimo - "&amp;'Dízimos Mensais'!B41)</f>
        <v/>
      </c>
      <c r="C40">
        <f>SE('Dízimos Mensais'!A41="";"";'Dízimos Mensais'!E41)</f>
        <v/>
      </c>
      <c r="D40">
        <f>SE('Dízimos Mensais'!A41="";"";0)</f>
        <v/>
      </c>
    </row>
    <row r="41">
      <c r="A41">
        <f>SE('Dízimos Mensais'!A42="";"";'Dízimos Mensais'!A42)</f>
        <v/>
      </c>
      <c r="B41">
        <f>SE('Dízimos Mensais'!A42="";"";"Dízimo - "&amp;'Dízimos Mensais'!B42)</f>
        <v/>
      </c>
      <c r="C41">
        <f>SE('Dízimos Mensais'!A42="";"";'Dízimos Mensais'!E42)</f>
        <v/>
      </c>
      <c r="D41">
        <f>SE('Dízimos Mensais'!A42="";"";0)</f>
        <v/>
      </c>
    </row>
    <row r="42">
      <c r="A42">
        <f>SE('Dízimos Mensais'!A43="";"";'Dízimos Mensais'!A43)</f>
        <v/>
      </c>
      <c r="B42">
        <f>SE('Dízimos Mensais'!A43="";"";"Dízimo - "&amp;'Dízimos Mensais'!B43)</f>
        <v/>
      </c>
      <c r="C42">
        <f>SE('Dízimos Mensais'!A43="";"";'Dízimos Mensais'!E43)</f>
        <v/>
      </c>
      <c r="D42">
        <f>SE('Dízimos Mensais'!A43="";"";0)</f>
        <v/>
      </c>
    </row>
    <row r="43">
      <c r="A43">
        <f>SE('Dízimos Mensais'!A44="";"";'Dízimos Mensais'!A44)</f>
        <v/>
      </c>
      <c r="B43">
        <f>SE('Dízimos Mensais'!A44="";"";"Dízimo - "&amp;'Dízimos Mensais'!B44)</f>
        <v/>
      </c>
      <c r="C43">
        <f>SE('Dízimos Mensais'!A44="";"";'Dízimos Mensais'!E44)</f>
        <v/>
      </c>
      <c r="D43">
        <f>SE('Dízimos Mensais'!A44="";"";0)</f>
        <v/>
      </c>
    </row>
    <row r="44">
      <c r="A44">
        <f>SE('Dízimos Mensais'!A45="";"";'Dízimos Mensais'!A45)</f>
        <v/>
      </c>
      <c r="B44">
        <f>SE('Dízimos Mensais'!A45="";"";"Dízimo - "&amp;'Dízimos Mensais'!B45)</f>
        <v/>
      </c>
      <c r="C44">
        <f>SE('Dízimos Mensais'!A45="";"";'Dízimos Mensais'!E45)</f>
        <v/>
      </c>
      <c r="D44">
        <f>SE('Dízimos Mensais'!A45="";"";0)</f>
        <v/>
      </c>
    </row>
    <row r="45">
      <c r="A45">
        <f>SE('Dízimos Mensais'!A46="";"";'Dízimos Mensais'!A46)</f>
        <v/>
      </c>
      <c r="B45">
        <f>SE('Dízimos Mensais'!A46="";"";"Dízimo - "&amp;'Dízimos Mensais'!B46)</f>
        <v/>
      </c>
      <c r="C45">
        <f>SE('Dízimos Mensais'!A46="";"";'Dízimos Mensais'!E46)</f>
        <v/>
      </c>
      <c r="D45">
        <f>SE('Dízimos Mensais'!A46="";"";0)</f>
        <v/>
      </c>
    </row>
    <row r="46">
      <c r="A46">
        <f>SE('Dízimos Mensais'!A47="";"";'Dízimos Mensais'!A47)</f>
        <v/>
      </c>
      <c r="B46">
        <f>SE('Dízimos Mensais'!A47="";"";"Dízimo - "&amp;'Dízimos Mensais'!B47)</f>
        <v/>
      </c>
      <c r="C46">
        <f>SE('Dízimos Mensais'!A47="";"";'Dízimos Mensais'!E47)</f>
        <v/>
      </c>
      <c r="D46">
        <f>SE('Dízimos Mensais'!A47="";"";0)</f>
        <v/>
      </c>
    </row>
    <row r="47">
      <c r="A47">
        <f>SE('Dízimos Mensais'!A48="";"";'Dízimos Mensais'!A48)</f>
        <v/>
      </c>
      <c r="B47">
        <f>SE('Dízimos Mensais'!A48="";"";"Dízimo - "&amp;'Dízimos Mensais'!B48)</f>
        <v/>
      </c>
      <c r="C47">
        <f>SE('Dízimos Mensais'!A48="";"";'Dízimos Mensais'!E48)</f>
        <v/>
      </c>
      <c r="D47">
        <f>SE('Dízimos Mensais'!A48="";"";0)</f>
        <v/>
      </c>
    </row>
    <row r="48">
      <c r="A48">
        <f>SE('Dízimos Mensais'!A49="";"";'Dízimos Mensais'!A49)</f>
        <v/>
      </c>
      <c r="B48">
        <f>SE('Dízimos Mensais'!A49="";"";"Dízimo - "&amp;'Dízimos Mensais'!B49)</f>
        <v/>
      </c>
      <c r="C48">
        <f>SE('Dízimos Mensais'!A49="";"";'Dízimos Mensais'!E49)</f>
        <v/>
      </c>
      <c r="D48">
        <f>SE('Dízimos Mensais'!A49="";"";0)</f>
        <v/>
      </c>
    </row>
    <row r="49">
      <c r="A49">
        <f>SE('Dízimos Mensais'!A50="";"";'Dízimos Mensais'!A50)</f>
        <v/>
      </c>
      <c r="B49">
        <f>SE('Dízimos Mensais'!A50="";"";"Dízimo - "&amp;'Dízimos Mensais'!B50)</f>
        <v/>
      </c>
      <c r="C49">
        <f>SE('Dízimos Mensais'!A50="";"";'Dízimos Mensais'!E50)</f>
        <v/>
      </c>
      <c r="D49">
        <f>SE('Dízimos Mensais'!A50="";"";0)</f>
        <v/>
      </c>
    </row>
    <row r="50">
      <c r="A50">
        <f>SE('Dízimos Mensais'!A51="";"";'Dízimos Mensais'!A51)</f>
        <v/>
      </c>
      <c r="B50">
        <f>SE('Dízimos Mensais'!A51="";"";"Dízimo - "&amp;'Dízimos Mensais'!B51)</f>
        <v/>
      </c>
      <c r="C50">
        <f>SE('Dízimos Mensais'!A51="";"";'Dízimos Mensais'!E51)</f>
        <v/>
      </c>
      <c r="D50">
        <f>SE('Dízimos Mensais'!A51="";"";0)</f>
        <v/>
      </c>
    </row>
    <row r="51">
      <c r="A51">
        <f>SE('Dízimos Mensais'!A52="";"";'Dízimos Mensais'!A52)</f>
        <v/>
      </c>
      <c r="B51">
        <f>SE('Dízimos Mensais'!A52="";"";"Dízimo - "&amp;'Dízimos Mensais'!B52)</f>
        <v/>
      </c>
      <c r="C51">
        <f>SE('Dízimos Mensais'!A52="";"";'Dízimos Mensais'!E52)</f>
        <v/>
      </c>
      <c r="D51">
        <f>SE('Dízimos Mensais'!A52="";"";0)</f>
        <v/>
      </c>
    </row>
    <row r="52">
      <c r="A52">
        <f>SE('Dízimos Mensais'!A53="";"";'Dízimos Mensais'!A53)</f>
        <v/>
      </c>
      <c r="B52">
        <f>SE('Dízimos Mensais'!A53="";"";"Dízimo - "&amp;'Dízimos Mensais'!B53)</f>
        <v/>
      </c>
      <c r="C52">
        <f>SE('Dízimos Mensais'!A53="";"";'Dízimos Mensais'!E53)</f>
        <v/>
      </c>
      <c r="D52">
        <f>SE('Dízimos Mensais'!A53="";"";0)</f>
        <v/>
      </c>
    </row>
    <row r="53">
      <c r="A53">
        <f>SE('Dízimos Mensais'!A54="";"";'Dízimos Mensais'!A54)</f>
        <v/>
      </c>
      <c r="B53">
        <f>SE('Dízimos Mensais'!A54="";"";"Dízimo - "&amp;'Dízimos Mensais'!B54)</f>
        <v/>
      </c>
      <c r="C53">
        <f>SE('Dízimos Mensais'!A54="";"";'Dízimos Mensais'!E54)</f>
        <v/>
      </c>
      <c r="D53">
        <f>SE('Dízimos Mensais'!A54="";"";0)</f>
        <v/>
      </c>
    </row>
    <row r="54">
      <c r="A54">
        <f>SE('Dízimos Mensais'!A55="";"";'Dízimos Mensais'!A55)</f>
        <v/>
      </c>
      <c r="B54">
        <f>SE('Dízimos Mensais'!A55="";"";"Dízimo - "&amp;'Dízimos Mensais'!B55)</f>
        <v/>
      </c>
      <c r="C54">
        <f>SE('Dízimos Mensais'!A55="";"";'Dízimos Mensais'!E55)</f>
        <v/>
      </c>
      <c r="D54">
        <f>SE('Dízimos Mensais'!A55="";"";0)</f>
        <v/>
      </c>
    </row>
    <row r="55">
      <c r="A55">
        <f>SE('Dízimos Mensais'!A56="";"";'Dízimos Mensais'!A56)</f>
        <v/>
      </c>
      <c r="B55">
        <f>SE('Dízimos Mensais'!A56="";"";"Dízimo - "&amp;'Dízimos Mensais'!B56)</f>
        <v/>
      </c>
      <c r="C55">
        <f>SE('Dízimos Mensais'!A56="";"";'Dízimos Mensais'!E56)</f>
        <v/>
      </c>
      <c r="D55">
        <f>SE('Dízimos Mensais'!A56="";"";0)</f>
        <v/>
      </c>
    </row>
    <row r="56">
      <c r="A56">
        <f>SE('Dízimos Mensais'!A57="";"";'Dízimos Mensais'!A57)</f>
        <v/>
      </c>
      <c r="B56">
        <f>SE('Dízimos Mensais'!A57="";"";"Dízimo - "&amp;'Dízimos Mensais'!B57)</f>
        <v/>
      </c>
      <c r="C56">
        <f>SE('Dízimos Mensais'!A57="";"";'Dízimos Mensais'!E57)</f>
        <v/>
      </c>
      <c r="D56">
        <f>SE('Dízimos Mensais'!A57="";"";0)</f>
        <v/>
      </c>
    </row>
    <row r="57">
      <c r="A57">
        <f>SE('Dízimos Mensais'!A58="";"";'Dízimos Mensais'!A58)</f>
        <v/>
      </c>
      <c r="B57">
        <f>SE('Dízimos Mensais'!A58="";"";"Dízimo - "&amp;'Dízimos Mensais'!B58)</f>
        <v/>
      </c>
      <c r="C57">
        <f>SE('Dízimos Mensais'!A58="";"";'Dízimos Mensais'!E58)</f>
        <v/>
      </c>
      <c r="D57">
        <f>SE('Dízimos Mensais'!A58="";"";0)</f>
        <v/>
      </c>
    </row>
    <row r="58">
      <c r="A58">
        <f>SE('Dízimos Mensais'!A59="";"";'Dízimos Mensais'!A59)</f>
        <v/>
      </c>
      <c r="B58">
        <f>SE('Dízimos Mensais'!A59="";"";"Dízimo - "&amp;'Dízimos Mensais'!B59)</f>
        <v/>
      </c>
      <c r="C58">
        <f>SE('Dízimos Mensais'!A59="";"";'Dízimos Mensais'!E59)</f>
        <v/>
      </c>
      <c r="D58">
        <f>SE('Dízimos Mensais'!A59="";"";0)</f>
        <v/>
      </c>
    </row>
    <row r="59">
      <c r="A59">
        <f>SE('Dízimos Mensais'!A60="";"";'Dízimos Mensais'!A60)</f>
        <v/>
      </c>
      <c r="B59">
        <f>SE('Dízimos Mensais'!A60="";"";"Dízimo - "&amp;'Dízimos Mensais'!B60)</f>
        <v/>
      </c>
      <c r="C59">
        <f>SE('Dízimos Mensais'!A60="";"";'Dízimos Mensais'!E60)</f>
        <v/>
      </c>
      <c r="D59">
        <f>SE('Dízimos Mensais'!A60="";"";0)</f>
        <v/>
      </c>
    </row>
    <row r="60">
      <c r="A60">
        <f>SE('Dízimos Mensais'!A61="";"";'Dízimos Mensais'!A61)</f>
        <v/>
      </c>
      <c r="B60">
        <f>SE('Dízimos Mensais'!A61="";"";"Dízimo - "&amp;'Dízimos Mensais'!B61)</f>
        <v/>
      </c>
      <c r="C60">
        <f>SE('Dízimos Mensais'!A61="";"";'Dízimos Mensais'!E61)</f>
        <v/>
      </c>
      <c r="D60">
        <f>SE('Dízimos Mensais'!A61="";"";0)</f>
        <v/>
      </c>
    </row>
    <row r="61">
      <c r="A61">
        <f>SE('Dízimos Mensais'!A62="";"";'Dízimos Mensais'!A62)</f>
        <v/>
      </c>
      <c r="B61">
        <f>SE('Dízimos Mensais'!A62="";"";"Dízimo - "&amp;'Dízimos Mensais'!B62)</f>
        <v/>
      </c>
      <c r="C61">
        <f>SE('Dízimos Mensais'!A62="";"";'Dízimos Mensais'!E62)</f>
        <v/>
      </c>
      <c r="D61">
        <f>SE('Dízimos Mensais'!A62="";"";0)</f>
        <v/>
      </c>
    </row>
    <row r="62">
      <c r="A62">
        <f>SE('Dízimos Mensais'!A63="";"";'Dízimos Mensais'!A63)</f>
        <v/>
      </c>
      <c r="B62">
        <f>SE('Dízimos Mensais'!A63="";"";"Dízimo - "&amp;'Dízimos Mensais'!B63)</f>
        <v/>
      </c>
      <c r="C62">
        <f>SE('Dízimos Mensais'!A63="";"";'Dízimos Mensais'!E63)</f>
        <v/>
      </c>
      <c r="D62">
        <f>SE('Dízimos Mensais'!A63="";"";0)</f>
        <v/>
      </c>
    </row>
    <row r="63">
      <c r="A63">
        <f>SE('Dízimos Mensais'!A64="";"";'Dízimos Mensais'!A64)</f>
        <v/>
      </c>
      <c r="B63">
        <f>SE('Dízimos Mensais'!A64="";"";"Dízimo - "&amp;'Dízimos Mensais'!B64)</f>
        <v/>
      </c>
      <c r="C63">
        <f>SE('Dízimos Mensais'!A64="";"";'Dízimos Mensais'!E64)</f>
        <v/>
      </c>
      <c r="D63">
        <f>SE('Dízimos Mensais'!A64="";"";0)</f>
        <v/>
      </c>
    </row>
    <row r="64">
      <c r="A64">
        <f>SE('Dízimos Mensais'!A65="";"";'Dízimos Mensais'!A65)</f>
        <v/>
      </c>
      <c r="B64">
        <f>SE('Dízimos Mensais'!A65="";"";"Dízimo - "&amp;'Dízimos Mensais'!B65)</f>
        <v/>
      </c>
      <c r="C64">
        <f>SE('Dízimos Mensais'!A65="";"";'Dízimos Mensais'!E65)</f>
        <v/>
      </c>
      <c r="D64">
        <f>SE('Dízimos Mensais'!A65="";"";0)</f>
        <v/>
      </c>
    </row>
    <row r="65">
      <c r="A65">
        <f>SE('Dízimos Mensais'!A66="";"";'Dízimos Mensais'!A66)</f>
        <v/>
      </c>
      <c r="B65">
        <f>SE('Dízimos Mensais'!A66="";"";"Dízimo - "&amp;'Dízimos Mensais'!B66)</f>
        <v/>
      </c>
      <c r="C65">
        <f>SE('Dízimos Mensais'!A66="";"";'Dízimos Mensais'!E66)</f>
        <v/>
      </c>
      <c r="D65">
        <f>SE('Dízimos Mensais'!A66="";"";0)</f>
        <v/>
      </c>
    </row>
    <row r="66">
      <c r="A66">
        <f>SE('Dízimos Mensais'!A67="";"";'Dízimos Mensais'!A67)</f>
        <v/>
      </c>
      <c r="B66">
        <f>SE('Dízimos Mensais'!A67="";"";"Dízimo - "&amp;'Dízimos Mensais'!B67)</f>
        <v/>
      </c>
      <c r="C66">
        <f>SE('Dízimos Mensais'!A67="";"";'Dízimos Mensais'!E67)</f>
        <v/>
      </c>
      <c r="D66">
        <f>SE('Dízimos Mensais'!A67="";"";0)</f>
        <v/>
      </c>
    </row>
    <row r="67">
      <c r="A67">
        <f>SE('Dízimos Mensais'!A68="";"";'Dízimos Mensais'!A68)</f>
        <v/>
      </c>
      <c r="B67">
        <f>SE('Dízimos Mensais'!A68="";"";"Dízimo - "&amp;'Dízimos Mensais'!B68)</f>
        <v/>
      </c>
      <c r="C67">
        <f>SE('Dízimos Mensais'!A68="";"";'Dízimos Mensais'!E68)</f>
        <v/>
      </c>
      <c r="D67">
        <f>SE('Dízimos Mensais'!A68="";"";0)</f>
        <v/>
      </c>
    </row>
    <row r="68">
      <c r="A68">
        <f>SE('Dízimos Mensais'!A69="";"";'Dízimos Mensais'!A69)</f>
        <v/>
      </c>
      <c r="B68">
        <f>SE('Dízimos Mensais'!A69="";"";"Dízimo - "&amp;'Dízimos Mensais'!B69)</f>
        <v/>
      </c>
      <c r="C68">
        <f>SE('Dízimos Mensais'!A69="";"";'Dízimos Mensais'!E69)</f>
        <v/>
      </c>
      <c r="D68">
        <f>SE('Dízimos Mensais'!A69="";"";0)</f>
        <v/>
      </c>
    </row>
    <row r="69">
      <c r="A69">
        <f>SE('Dízimos Mensais'!A70="";"";'Dízimos Mensais'!A70)</f>
        <v/>
      </c>
      <c r="B69">
        <f>SE('Dízimos Mensais'!A70="";"";"Dízimo - "&amp;'Dízimos Mensais'!B70)</f>
        <v/>
      </c>
      <c r="C69">
        <f>SE('Dízimos Mensais'!A70="";"";'Dízimos Mensais'!E70)</f>
        <v/>
      </c>
      <c r="D69">
        <f>SE('Dízimos Mensais'!A70="";"";0)</f>
        <v/>
      </c>
    </row>
    <row r="70">
      <c r="A70">
        <f>SE('Dízimos Mensais'!A71="";"";'Dízimos Mensais'!A71)</f>
        <v/>
      </c>
      <c r="B70">
        <f>SE('Dízimos Mensais'!A71="";"";"Dízimo - "&amp;'Dízimos Mensais'!B71)</f>
        <v/>
      </c>
      <c r="C70">
        <f>SE('Dízimos Mensais'!A71="";"";'Dízimos Mensais'!E71)</f>
        <v/>
      </c>
      <c r="D70">
        <f>SE('Dízimos Mensais'!A71="";"";0)</f>
        <v/>
      </c>
    </row>
    <row r="71">
      <c r="A71">
        <f>SE('Dízimos Mensais'!A72="";"";'Dízimos Mensais'!A72)</f>
        <v/>
      </c>
      <c r="B71">
        <f>SE('Dízimos Mensais'!A72="";"";"Dízimo - "&amp;'Dízimos Mensais'!B72)</f>
        <v/>
      </c>
      <c r="C71">
        <f>SE('Dízimos Mensais'!A72="";"";'Dízimos Mensais'!E72)</f>
        <v/>
      </c>
      <c r="D71">
        <f>SE('Dízimos Mensais'!A72="";"";0)</f>
        <v/>
      </c>
    </row>
    <row r="72">
      <c r="A72">
        <f>SE('Dízimos Mensais'!A73="";"";'Dízimos Mensais'!A73)</f>
        <v/>
      </c>
      <c r="B72">
        <f>SE('Dízimos Mensais'!A73="";"";"Dízimo - "&amp;'Dízimos Mensais'!B73)</f>
        <v/>
      </c>
      <c r="C72">
        <f>SE('Dízimos Mensais'!A73="";"";'Dízimos Mensais'!E73)</f>
        <v/>
      </c>
      <c r="D72">
        <f>SE('Dízimos Mensais'!A73="";"";0)</f>
        <v/>
      </c>
    </row>
    <row r="73">
      <c r="A73">
        <f>SE('Dízimos Mensais'!A74="";"";'Dízimos Mensais'!A74)</f>
        <v/>
      </c>
      <c r="B73">
        <f>SE('Dízimos Mensais'!A74="";"";"Dízimo - "&amp;'Dízimos Mensais'!B74)</f>
        <v/>
      </c>
      <c r="C73">
        <f>SE('Dízimos Mensais'!A74="";"";'Dízimos Mensais'!E74)</f>
        <v/>
      </c>
      <c r="D73">
        <f>SE('Dízimos Mensais'!A74="";"";0)</f>
        <v/>
      </c>
    </row>
    <row r="74">
      <c r="A74">
        <f>SE('Dízimos Mensais'!A75="";"";'Dízimos Mensais'!A75)</f>
        <v/>
      </c>
      <c r="B74">
        <f>SE('Dízimos Mensais'!A75="";"";"Dízimo - "&amp;'Dízimos Mensais'!B75)</f>
        <v/>
      </c>
      <c r="C74">
        <f>SE('Dízimos Mensais'!A75="";"";'Dízimos Mensais'!E75)</f>
        <v/>
      </c>
      <c r="D74">
        <f>SE('Dízimos Mensais'!A75="";"";0)</f>
        <v/>
      </c>
    </row>
    <row r="75">
      <c r="A75">
        <f>SE('Dízimos Mensais'!A76="";"";'Dízimos Mensais'!A76)</f>
        <v/>
      </c>
      <c r="B75">
        <f>SE('Dízimos Mensais'!A76="";"";"Dízimo - "&amp;'Dízimos Mensais'!B76)</f>
        <v/>
      </c>
      <c r="C75">
        <f>SE('Dízimos Mensais'!A76="";"";'Dízimos Mensais'!E76)</f>
        <v/>
      </c>
      <c r="D75">
        <f>SE('Dízimos Mensais'!A76="";"";0)</f>
        <v/>
      </c>
    </row>
    <row r="76">
      <c r="A76">
        <f>SE('Dízimos Mensais'!A77="";"";'Dízimos Mensais'!A77)</f>
        <v/>
      </c>
      <c r="B76">
        <f>SE('Dízimos Mensais'!A77="";"";"Dízimo - "&amp;'Dízimos Mensais'!B77)</f>
        <v/>
      </c>
      <c r="C76">
        <f>SE('Dízimos Mensais'!A77="";"";'Dízimos Mensais'!E77)</f>
        <v/>
      </c>
      <c r="D76">
        <f>SE('Dízimos Mensais'!A77="";"";0)</f>
        <v/>
      </c>
    </row>
    <row r="77">
      <c r="A77">
        <f>SE('Dízimos Mensais'!A78="";"";'Dízimos Mensais'!A78)</f>
        <v/>
      </c>
      <c r="B77">
        <f>SE('Dízimos Mensais'!A78="";"";"Dízimo - "&amp;'Dízimos Mensais'!B78)</f>
        <v/>
      </c>
      <c r="C77">
        <f>SE('Dízimos Mensais'!A78="";"";'Dízimos Mensais'!E78)</f>
        <v/>
      </c>
      <c r="D77">
        <f>SE('Dízimos Mensais'!A78="";"";0)</f>
        <v/>
      </c>
    </row>
    <row r="78">
      <c r="A78">
        <f>SE('Dízimos Mensais'!A79="";"";'Dízimos Mensais'!A79)</f>
        <v/>
      </c>
      <c r="B78">
        <f>SE('Dízimos Mensais'!A79="";"";"Dízimo - "&amp;'Dízimos Mensais'!B79)</f>
        <v/>
      </c>
      <c r="C78">
        <f>SE('Dízimos Mensais'!A79="";"";'Dízimos Mensais'!E79)</f>
        <v/>
      </c>
      <c r="D78">
        <f>SE('Dízimos Mensais'!A79="";"";0)</f>
        <v/>
      </c>
    </row>
    <row r="79">
      <c r="A79">
        <f>SE('Dízimos Mensais'!A80="";"";'Dízimos Mensais'!A80)</f>
        <v/>
      </c>
      <c r="B79">
        <f>SE('Dízimos Mensais'!A80="";"";"Dízimo - "&amp;'Dízimos Mensais'!B80)</f>
        <v/>
      </c>
      <c r="C79">
        <f>SE('Dízimos Mensais'!A80="";"";'Dízimos Mensais'!E80)</f>
        <v/>
      </c>
      <c r="D79">
        <f>SE('Dízimos Mensais'!A80="";"";0)</f>
        <v/>
      </c>
    </row>
    <row r="80">
      <c r="A80">
        <f>SE('Dízimos Mensais'!A81="";"";'Dízimos Mensais'!A81)</f>
        <v/>
      </c>
      <c r="B80">
        <f>SE('Dízimos Mensais'!A81="";"";"Dízimo - "&amp;'Dízimos Mensais'!B81)</f>
        <v/>
      </c>
      <c r="C80">
        <f>SE('Dízimos Mensais'!A81="";"";'Dízimos Mensais'!E81)</f>
        <v/>
      </c>
      <c r="D80">
        <f>SE('Dízimos Mensais'!A81="";"";0)</f>
        <v/>
      </c>
    </row>
    <row r="81">
      <c r="A81">
        <f>SE('Dízimos Mensais'!A82="";"";'Dízimos Mensais'!A82)</f>
        <v/>
      </c>
      <c r="B81">
        <f>SE('Dízimos Mensais'!A82="";"";"Dízimo - "&amp;'Dízimos Mensais'!B82)</f>
        <v/>
      </c>
      <c r="C81">
        <f>SE('Dízimos Mensais'!A82="";"";'Dízimos Mensais'!E82)</f>
        <v/>
      </c>
      <c r="D81">
        <f>SE('Dízimos Mensais'!A82="";"";0)</f>
        <v/>
      </c>
    </row>
    <row r="82">
      <c r="A82">
        <f>SE('Dízimos Mensais'!A83="";"";'Dízimos Mensais'!A83)</f>
        <v/>
      </c>
      <c r="B82">
        <f>SE('Dízimos Mensais'!A83="";"";"Dízimo - "&amp;'Dízimos Mensais'!B83)</f>
        <v/>
      </c>
      <c r="C82">
        <f>SE('Dízimos Mensais'!A83="";"";'Dízimos Mensais'!E83)</f>
        <v/>
      </c>
      <c r="D82">
        <f>SE('Dízimos Mensais'!A83="";"";0)</f>
        <v/>
      </c>
    </row>
    <row r="83">
      <c r="A83">
        <f>SE('Dízimos Mensais'!A84="";"";'Dízimos Mensais'!A84)</f>
        <v/>
      </c>
      <c r="B83">
        <f>SE('Dízimos Mensais'!A84="";"";"Dízimo - "&amp;'Dízimos Mensais'!B84)</f>
        <v/>
      </c>
      <c r="C83">
        <f>SE('Dízimos Mensais'!A84="";"";'Dízimos Mensais'!E84)</f>
        <v/>
      </c>
      <c r="D83">
        <f>SE('Dízimos Mensais'!A84="";"";0)</f>
        <v/>
      </c>
    </row>
    <row r="84">
      <c r="A84">
        <f>SE('Dízimos Mensais'!A85="";"";'Dízimos Mensais'!A85)</f>
        <v/>
      </c>
      <c r="B84">
        <f>SE('Dízimos Mensais'!A85="";"";"Dízimo - "&amp;'Dízimos Mensais'!B85)</f>
        <v/>
      </c>
      <c r="C84">
        <f>SE('Dízimos Mensais'!A85="";"";'Dízimos Mensais'!E85)</f>
        <v/>
      </c>
      <c r="D84">
        <f>SE('Dízimos Mensais'!A85="";"";0)</f>
        <v/>
      </c>
    </row>
    <row r="85">
      <c r="A85">
        <f>SE('Dízimos Mensais'!A86="";"";'Dízimos Mensais'!A86)</f>
        <v/>
      </c>
      <c r="B85">
        <f>SE('Dízimos Mensais'!A86="";"";"Dízimo - "&amp;'Dízimos Mensais'!B86)</f>
        <v/>
      </c>
      <c r="C85">
        <f>SE('Dízimos Mensais'!A86="";"";'Dízimos Mensais'!E86)</f>
        <v/>
      </c>
      <c r="D85">
        <f>SE('Dízimos Mensais'!A86="";"";0)</f>
        <v/>
      </c>
    </row>
    <row r="86">
      <c r="A86">
        <f>SE('Dízimos Mensais'!A87="";"";'Dízimos Mensais'!A87)</f>
        <v/>
      </c>
      <c r="B86">
        <f>SE('Dízimos Mensais'!A87="";"";"Dízimo - "&amp;'Dízimos Mensais'!B87)</f>
        <v/>
      </c>
      <c r="C86">
        <f>SE('Dízimos Mensais'!A87="";"";'Dízimos Mensais'!E87)</f>
        <v/>
      </c>
      <c r="D86">
        <f>SE('Dízimos Mensais'!A87="";"";0)</f>
        <v/>
      </c>
    </row>
    <row r="87">
      <c r="A87">
        <f>SE('Dízimos Mensais'!A88="";"";'Dízimos Mensais'!A88)</f>
        <v/>
      </c>
      <c r="B87">
        <f>SE('Dízimos Mensais'!A88="";"";"Dízimo - "&amp;'Dízimos Mensais'!B88)</f>
        <v/>
      </c>
      <c r="C87">
        <f>SE('Dízimos Mensais'!A88="";"";'Dízimos Mensais'!E88)</f>
        <v/>
      </c>
      <c r="D87">
        <f>SE('Dízimos Mensais'!A88="";"";0)</f>
        <v/>
      </c>
    </row>
    <row r="88">
      <c r="A88">
        <f>SE('Dízimos Mensais'!A89="";"";'Dízimos Mensais'!A89)</f>
        <v/>
      </c>
      <c r="B88">
        <f>SE('Dízimos Mensais'!A89="";"";"Dízimo - "&amp;'Dízimos Mensais'!B89)</f>
        <v/>
      </c>
      <c r="C88">
        <f>SE('Dízimos Mensais'!A89="";"";'Dízimos Mensais'!E89)</f>
        <v/>
      </c>
      <c r="D88">
        <f>SE('Dízimos Mensais'!A89="";"";0)</f>
        <v/>
      </c>
    </row>
    <row r="89">
      <c r="A89">
        <f>SE('Dízimos Mensais'!A90="";"";'Dízimos Mensais'!A90)</f>
        <v/>
      </c>
      <c r="B89">
        <f>SE('Dízimos Mensais'!A90="";"";"Dízimo - "&amp;'Dízimos Mensais'!B90)</f>
        <v/>
      </c>
      <c r="C89">
        <f>SE('Dízimos Mensais'!A90="";"";'Dízimos Mensais'!E90)</f>
        <v/>
      </c>
      <c r="D89">
        <f>SE('Dízimos Mensais'!A90="";"";0)</f>
        <v/>
      </c>
    </row>
    <row r="90">
      <c r="A90">
        <f>SE('Dízimos Mensais'!A91="";"";'Dízimos Mensais'!A91)</f>
        <v/>
      </c>
      <c r="B90">
        <f>SE('Dízimos Mensais'!A91="";"";"Dízimo - "&amp;'Dízimos Mensais'!B91)</f>
        <v/>
      </c>
      <c r="C90">
        <f>SE('Dízimos Mensais'!A91="";"";'Dízimos Mensais'!E91)</f>
        <v/>
      </c>
      <c r="D90">
        <f>SE('Dízimos Mensais'!A91="";"";0)</f>
        <v/>
      </c>
    </row>
    <row r="91">
      <c r="A91">
        <f>SE('Dízimos Mensais'!A92="";"";'Dízimos Mensais'!A92)</f>
        <v/>
      </c>
      <c r="B91">
        <f>SE('Dízimos Mensais'!A92="";"";"Dízimo - "&amp;'Dízimos Mensais'!B92)</f>
        <v/>
      </c>
      <c r="C91">
        <f>SE('Dízimos Mensais'!A92="";"";'Dízimos Mensais'!E92)</f>
        <v/>
      </c>
      <c r="D91">
        <f>SE('Dízimos Mensais'!A92="";"";0)</f>
        <v/>
      </c>
    </row>
    <row r="92">
      <c r="A92">
        <f>SE('Dízimos Mensais'!A93="";"";'Dízimos Mensais'!A93)</f>
        <v/>
      </c>
      <c r="B92">
        <f>SE('Dízimos Mensais'!A93="";"";"Dízimo - "&amp;'Dízimos Mensais'!B93)</f>
        <v/>
      </c>
      <c r="C92">
        <f>SE('Dízimos Mensais'!A93="";"";'Dízimos Mensais'!E93)</f>
        <v/>
      </c>
      <c r="D92">
        <f>SE('Dízimos Mensais'!A93="";"";0)</f>
        <v/>
      </c>
    </row>
    <row r="93">
      <c r="A93">
        <f>SE('Dízimos Mensais'!A94="";"";'Dízimos Mensais'!A94)</f>
        <v/>
      </c>
      <c r="B93">
        <f>SE('Dízimos Mensais'!A94="";"";"Dízimo - "&amp;'Dízimos Mensais'!B94)</f>
        <v/>
      </c>
      <c r="C93">
        <f>SE('Dízimos Mensais'!A94="";"";'Dízimos Mensais'!E94)</f>
        <v/>
      </c>
      <c r="D93">
        <f>SE('Dízimos Mensais'!A94="";"";0)</f>
        <v/>
      </c>
    </row>
    <row r="94">
      <c r="A94">
        <f>SE('Dízimos Mensais'!A95="";"";'Dízimos Mensais'!A95)</f>
        <v/>
      </c>
      <c r="B94">
        <f>SE('Dízimos Mensais'!A95="";"";"Dízimo - "&amp;'Dízimos Mensais'!B95)</f>
        <v/>
      </c>
      <c r="C94">
        <f>SE('Dízimos Mensais'!A95="";"";'Dízimos Mensais'!E95)</f>
        <v/>
      </c>
      <c r="D94">
        <f>SE('Dízimos Mensais'!A95="";"";0)</f>
        <v/>
      </c>
    </row>
    <row r="95">
      <c r="A95">
        <f>SE('Dízimos Mensais'!A96="";"";'Dízimos Mensais'!A96)</f>
        <v/>
      </c>
      <c r="B95">
        <f>SE('Dízimos Mensais'!A96="";"";"Dízimo - "&amp;'Dízimos Mensais'!B96)</f>
        <v/>
      </c>
      <c r="C95">
        <f>SE('Dízimos Mensais'!A96="";"";'Dízimos Mensais'!E96)</f>
        <v/>
      </c>
      <c r="D95">
        <f>SE('Dízimos Mensais'!A96="";"";0)</f>
        <v/>
      </c>
    </row>
    <row r="96">
      <c r="A96">
        <f>SE('Dízimos Mensais'!A97="";"";'Dízimos Mensais'!A97)</f>
        <v/>
      </c>
      <c r="B96">
        <f>SE('Dízimos Mensais'!A97="";"";"Dízimo - "&amp;'Dízimos Mensais'!B97)</f>
        <v/>
      </c>
      <c r="C96">
        <f>SE('Dízimos Mensais'!A97="";"";'Dízimos Mensais'!E97)</f>
        <v/>
      </c>
      <c r="D96">
        <f>SE('Dízimos Mensais'!A97="";"";0)</f>
        <v/>
      </c>
    </row>
    <row r="97">
      <c r="A97">
        <f>SE('Dízimos Mensais'!A98="";"";'Dízimos Mensais'!A98)</f>
        <v/>
      </c>
      <c r="B97">
        <f>SE('Dízimos Mensais'!A98="";"";"Dízimo - "&amp;'Dízimos Mensais'!B98)</f>
        <v/>
      </c>
      <c r="C97">
        <f>SE('Dízimos Mensais'!A98="";"";'Dízimos Mensais'!E98)</f>
        <v/>
      </c>
      <c r="D97">
        <f>SE('Dízimos Mensais'!A98="";"";0)</f>
        <v/>
      </c>
    </row>
    <row r="98">
      <c r="A98">
        <f>SE('Dízimos Mensais'!A99="";"";'Dízimos Mensais'!A99)</f>
        <v/>
      </c>
      <c r="B98">
        <f>SE('Dízimos Mensais'!A99="";"";"Dízimo - "&amp;'Dízimos Mensais'!B99)</f>
        <v/>
      </c>
      <c r="C98">
        <f>SE('Dízimos Mensais'!A99="";"";'Dízimos Mensais'!E99)</f>
        <v/>
      </c>
      <c r="D98">
        <f>SE('Dízimos Mensais'!A99="";"";0)</f>
        <v/>
      </c>
    </row>
    <row r="99">
      <c r="A99">
        <f>SE('Dízimos Mensais'!A100="";"";'Dízimos Mensais'!A100)</f>
        <v/>
      </c>
      <c r="B99">
        <f>SE('Dízimos Mensais'!A100="";"";"Dízimo - "&amp;'Dízimos Mensais'!B100)</f>
        <v/>
      </c>
      <c r="C99">
        <f>SE('Dízimos Mensais'!A100="";"";'Dízimos Mensais'!E100)</f>
        <v/>
      </c>
      <c r="D99">
        <f>SE('Dízimos Mensais'!A100="";"";0)</f>
        <v/>
      </c>
    </row>
    <row r="100">
      <c r="A100">
        <f>SE('Dízimos Mensais'!A101="";"";'Dízimos Mensais'!A101)</f>
        <v/>
      </c>
      <c r="B100">
        <f>SE('Dízimos Mensais'!A101="";"";"Dízimo - "&amp;'Dízimos Mensais'!B101)</f>
        <v/>
      </c>
      <c r="C100">
        <f>SE('Dízimos Mensais'!A101="";"";'Dízimos Mensais'!E101)</f>
        <v/>
      </c>
      <c r="D100">
        <f>SE('Dízimos Mensais'!A101="";"";0)</f>
        <v/>
      </c>
    </row>
    <row r="101">
      <c r="A101">
        <f>SE('Dízimos Mensais'!A102="";"";'Dízimos Mensais'!A102)</f>
        <v/>
      </c>
      <c r="B101">
        <f>SE('Dízimos Mensais'!A102="";"";"Dízimo - "&amp;'Dízimos Mensais'!B102)</f>
        <v/>
      </c>
      <c r="C101">
        <f>SE('Dízimos Mensais'!A102="";"";'Dízimos Mensais'!E102)</f>
        <v/>
      </c>
      <c r="D101">
        <f>SE('Dízimos Mensais'!A102="";"";0)</f>
        <v/>
      </c>
    </row>
    <row r="102">
      <c r="A102">
        <f>SE('Dízimos Mensais'!A103="";"";'Dízimos Mensais'!A103)</f>
        <v/>
      </c>
      <c r="B102">
        <f>SE('Dízimos Mensais'!A103="";"";"Dízimo - "&amp;'Dízimos Mensais'!B103)</f>
        <v/>
      </c>
      <c r="C102">
        <f>SE('Dízimos Mensais'!A103="";"";'Dízimos Mensais'!E103)</f>
        <v/>
      </c>
      <c r="D102">
        <f>SE('Dízimos Mensais'!A103="";"";0)</f>
        <v/>
      </c>
    </row>
    <row r="103">
      <c r="A103">
        <f>SE('Dízimos Mensais'!A104="";"";'Dízimos Mensais'!A104)</f>
        <v/>
      </c>
      <c r="B103">
        <f>SE('Dízimos Mensais'!A104="";"";"Dízimo - "&amp;'Dízimos Mensais'!B104)</f>
        <v/>
      </c>
      <c r="C103">
        <f>SE('Dízimos Mensais'!A104="";"";'Dízimos Mensais'!E104)</f>
        <v/>
      </c>
      <c r="D103">
        <f>SE('Dízimos Mensais'!A104="";"";0)</f>
        <v/>
      </c>
    </row>
    <row r="104">
      <c r="A104">
        <f>SE('Dízimos Mensais'!A105="";"";'Dízimos Mensais'!A105)</f>
        <v/>
      </c>
      <c r="B104">
        <f>SE('Dízimos Mensais'!A105="";"";"Dízimo - "&amp;'Dízimos Mensais'!B105)</f>
        <v/>
      </c>
      <c r="C104">
        <f>SE('Dízimos Mensais'!A105="";"";'Dízimos Mensais'!E105)</f>
        <v/>
      </c>
      <c r="D104">
        <f>SE('Dízimos Mensais'!A105="";"";0)</f>
        <v/>
      </c>
    </row>
    <row r="105">
      <c r="A105">
        <f>SE('Dízimos Mensais'!A106="";"";'Dízimos Mensais'!A106)</f>
        <v/>
      </c>
      <c r="B105">
        <f>SE('Dízimos Mensais'!A106="";"";"Dízimo - "&amp;'Dízimos Mensais'!B106)</f>
        <v/>
      </c>
      <c r="C105">
        <f>SE('Dízimos Mensais'!A106="";"";'Dízimos Mensais'!E106)</f>
        <v/>
      </c>
      <c r="D105">
        <f>SE('Dízimos Mensais'!A106="";"";0)</f>
        <v/>
      </c>
    </row>
    <row r="106">
      <c r="A106">
        <f>SE('Dízimos Mensais'!A107="";"";'Dízimos Mensais'!A107)</f>
        <v/>
      </c>
      <c r="B106">
        <f>SE('Dízimos Mensais'!A107="";"";"Dízimo - "&amp;'Dízimos Mensais'!B107)</f>
        <v/>
      </c>
      <c r="C106">
        <f>SE('Dízimos Mensais'!A107="";"";'Dízimos Mensais'!E107)</f>
        <v/>
      </c>
      <c r="D106">
        <f>SE('Dízimos Mensais'!A107="";"";0)</f>
        <v/>
      </c>
    </row>
    <row r="107">
      <c r="A107">
        <f>SE('Dízimos Mensais'!A108="";"";'Dízimos Mensais'!A108)</f>
        <v/>
      </c>
      <c r="B107">
        <f>SE('Dízimos Mensais'!A108="";"";"Dízimo - "&amp;'Dízimos Mensais'!B108)</f>
        <v/>
      </c>
      <c r="C107">
        <f>SE('Dízimos Mensais'!A108="";"";'Dízimos Mensais'!E108)</f>
        <v/>
      </c>
      <c r="D107">
        <f>SE('Dízimos Mensais'!A108="";"";0)</f>
        <v/>
      </c>
    </row>
    <row r="108">
      <c r="A108">
        <f>SE('Dízimos Mensais'!A109="";"";'Dízimos Mensais'!A109)</f>
        <v/>
      </c>
      <c r="B108">
        <f>SE('Dízimos Mensais'!A109="";"";"Dízimo - "&amp;'Dízimos Mensais'!B109)</f>
        <v/>
      </c>
      <c r="C108">
        <f>SE('Dízimos Mensais'!A109="";"";'Dízimos Mensais'!E109)</f>
        <v/>
      </c>
      <c r="D108">
        <f>SE('Dízimos Mensais'!A109="";"";0)</f>
        <v/>
      </c>
    </row>
    <row r="109">
      <c r="A109">
        <f>SE('Dízimos Mensais'!A110="";"";'Dízimos Mensais'!A110)</f>
        <v/>
      </c>
      <c r="B109">
        <f>SE('Dízimos Mensais'!A110="";"";"Dízimo - "&amp;'Dízimos Mensais'!B110)</f>
        <v/>
      </c>
      <c r="C109">
        <f>SE('Dízimos Mensais'!A110="";"";'Dízimos Mensais'!E110)</f>
        <v/>
      </c>
      <c r="D109">
        <f>SE('Dízimos Mensais'!A110="";"";0)</f>
        <v/>
      </c>
    </row>
    <row r="110">
      <c r="A110">
        <f>SE('Dízimos Mensais'!A111="";"";'Dízimos Mensais'!A111)</f>
        <v/>
      </c>
      <c r="B110">
        <f>SE('Dízimos Mensais'!A111="";"";"Dízimo - "&amp;'Dízimos Mensais'!B111)</f>
        <v/>
      </c>
      <c r="C110">
        <f>SE('Dízimos Mensais'!A111="";"";'Dízimos Mensais'!E111)</f>
        <v/>
      </c>
      <c r="D110">
        <f>SE('Dízimos Mensais'!A111="";"";0)</f>
        <v/>
      </c>
    </row>
    <row r="111">
      <c r="A111">
        <f>SE('Dízimos Mensais'!A112="";"";'Dízimos Mensais'!A112)</f>
        <v/>
      </c>
      <c r="B111">
        <f>SE('Dízimos Mensais'!A112="";"";"Dízimo - "&amp;'Dízimos Mensais'!B112)</f>
        <v/>
      </c>
      <c r="C111">
        <f>SE('Dízimos Mensais'!A112="";"";'Dízimos Mensais'!E112)</f>
        <v/>
      </c>
      <c r="D111">
        <f>SE('Dízimos Mensais'!A112="";"";0)</f>
        <v/>
      </c>
    </row>
    <row r="112">
      <c r="A112">
        <f>SE('Dízimos Mensais'!A113="";"";'Dízimos Mensais'!A113)</f>
        <v/>
      </c>
      <c r="B112">
        <f>SE('Dízimos Mensais'!A113="";"";"Dízimo - "&amp;'Dízimos Mensais'!B113)</f>
        <v/>
      </c>
      <c r="C112">
        <f>SE('Dízimos Mensais'!A113="";"";'Dízimos Mensais'!E113)</f>
        <v/>
      </c>
      <c r="D112">
        <f>SE('Dízimos Mensais'!A113="";"";0)</f>
        <v/>
      </c>
    </row>
    <row r="113">
      <c r="A113">
        <f>SE('Dízimos Mensais'!A114="";"";'Dízimos Mensais'!A114)</f>
        <v/>
      </c>
      <c r="B113">
        <f>SE('Dízimos Mensais'!A114="";"";"Dízimo - "&amp;'Dízimos Mensais'!B114)</f>
        <v/>
      </c>
      <c r="C113">
        <f>SE('Dízimos Mensais'!A114="";"";'Dízimos Mensais'!E114)</f>
        <v/>
      </c>
      <c r="D113">
        <f>SE('Dízimos Mensais'!A114="";"";0)</f>
        <v/>
      </c>
    </row>
    <row r="114">
      <c r="A114">
        <f>SE('Dízimos Mensais'!A115="";"";'Dízimos Mensais'!A115)</f>
        <v/>
      </c>
      <c r="B114">
        <f>SE('Dízimos Mensais'!A115="";"";"Dízimo - "&amp;'Dízimos Mensais'!B115)</f>
        <v/>
      </c>
      <c r="C114">
        <f>SE('Dízimos Mensais'!A115="";"";'Dízimos Mensais'!E115)</f>
        <v/>
      </c>
      <c r="D114">
        <f>SE('Dízimos Mensais'!A115="";"";0)</f>
        <v/>
      </c>
    </row>
    <row r="115">
      <c r="A115">
        <f>SE('Dízimos Mensais'!A116="";"";'Dízimos Mensais'!A116)</f>
        <v/>
      </c>
      <c r="B115">
        <f>SE('Dízimos Mensais'!A116="";"";"Dízimo - "&amp;'Dízimos Mensais'!B116)</f>
        <v/>
      </c>
      <c r="C115">
        <f>SE('Dízimos Mensais'!A116="";"";'Dízimos Mensais'!E116)</f>
        <v/>
      </c>
      <c r="D115">
        <f>SE('Dízimos Mensais'!A116="";"";0)</f>
        <v/>
      </c>
    </row>
    <row r="116">
      <c r="A116">
        <f>SE('Dízimos Mensais'!A117="";"";'Dízimos Mensais'!A117)</f>
        <v/>
      </c>
      <c r="B116">
        <f>SE('Dízimos Mensais'!A117="";"";"Dízimo - "&amp;'Dízimos Mensais'!B117)</f>
        <v/>
      </c>
      <c r="C116">
        <f>SE('Dízimos Mensais'!A117="";"";'Dízimos Mensais'!E117)</f>
        <v/>
      </c>
      <c r="D116">
        <f>SE('Dízimos Mensais'!A117="";"";0)</f>
        <v/>
      </c>
    </row>
    <row r="117">
      <c r="A117">
        <f>SE('Dízimos Mensais'!A118="";"";'Dízimos Mensais'!A118)</f>
        <v/>
      </c>
      <c r="B117">
        <f>SE('Dízimos Mensais'!A118="";"";"Dízimo - "&amp;'Dízimos Mensais'!B118)</f>
        <v/>
      </c>
      <c r="C117">
        <f>SE('Dízimos Mensais'!A118="";"";'Dízimos Mensais'!E118)</f>
        <v/>
      </c>
      <c r="D117">
        <f>SE('Dízimos Mensais'!A118="";"";0)</f>
        <v/>
      </c>
    </row>
    <row r="118">
      <c r="A118">
        <f>SE('Dízimos Mensais'!A119="";"";'Dízimos Mensais'!A119)</f>
        <v/>
      </c>
      <c r="B118">
        <f>SE('Dízimos Mensais'!A119="";"";"Dízimo - "&amp;'Dízimos Mensais'!B119)</f>
        <v/>
      </c>
      <c r="C118">
        <f>SE('Dízimos Mensais'!A119="";"";'Dízimos Mensais'!E119)</f>
        <v/>
      </c>
      <c r="D118">
        <f>SE('Dízimos Mensais'!A119="";"";0)</f>
        <v/>
      </c>
    </row>
    <row r="119">
      <c r="A119">
        <f>SE('Dízimos Mensais'!A120="";"";'Dízimos Mensais'!A120)</f>
        <v/>
      </c>
      <c r="B119">
        <f>SE('Dízimos Mensais'!A120="";"";"Dízimo - "&amp;'Dízimos Mensais'!B120)</f>
        <v/>
      </c>
      <c r="C119">
        <f>SE('Dízimos Mensais'!A120="";"";'Dízimos Mensais'!E120)</f>
        <v/>
      </c>
      <c r="D119">
        <f>SE('Dízimos Mensais'!A120="";"";0)</f>
        <v/>
      </c>
    </row>
    <row r="120">
      <c r="A120">
        <f>SE('Dízimos Mensais'!A121="";"";'Dízimos Mensais'!A121)</f>
        <v/>
      </c>
      <c r="B120">
        <f>SE('Dízimos Mensais'!A121="";"";"Dízimo - "&amp;'Dízimos Mensais'!B121)</f>
        <v/>
      </c>
      <c r="C120">
        <f>SE('Dízimos Mensais'!A121="";"";'Dízimos Mensais'!E121)</f>
        <v/>
      </c>
      <c r="D120">
        <f>SE('Dízimos Mensais'!A121="";"";0)</f>
        <v/>
      </c>
    </row>
    <row r="121">
      <c r="A121">
        <f>SE('Dízimos Mensais'!A122="";"";'Dízimos Mensais'!A122)</f>
        <v/>
      </c>
      <c r="B121">
        <f>SE('Dízimos Mensais'!A122="";"";"Dízimo - "&amp;'Dízimos Mensais'!B122)</f>
        <v/>
      </c>
      <c r="C121">
        <f>SE('Dízimos Mensais'!A122="";"";'Dízimos Mensais'!E122)</f>
        <v/>
      </c>
      <c r="D121">
        <f>SE('Dízimos Mensais'!A122="";"";0)</f>
        <v/>
      </c>
    </row>
    <row r="122">
      <c r="A122">
        <f>SE('Dízimos Mensais'!A123="";"";'Dízimos Mensais'!A123)</f>
        <v/>
      </c>
      <c r="B122">
        <f>SE('Dízimos Mensais'!A123="";"";"Dízimo - "&amp;'Dízimos Mensais'!B123)</f>
        <v/>
      </c>
      <c r="C122">
        <f>SE('Dízimos Mensais'!A123="";"";'Dízimos Mensais'!E123)</f>
        <v/>
      </c>
      <c r="D122">
        <f>SE('Dízimos Mensais'!A123="";"";0)</f>
        <v/>
      </c>
    </row>
    <row r="123">
      <c r="A123">
        <f>SE('Dízimos Mensais'!A124="";"";'Dízimos Mensais'!A124)</f>
        <v/>
      </c>
      <c r="B123">
        <f>SE('Dízimos Mensais'!A124="";"";"Dízimo - "&amp;'Dízimos Mensais'!B124)</f>
        <v/>
      </c>
      <c r="C123">
        <f>SE('Dízimos Mensais'!A124="";"";'Dízimos Mensais'!E124)</f>
        <v/>
      </c>
      <c r="D123">
        <f>SE('Dízimos Mensais'!A124="";"";0)</f>
        <v/>
      </c>
    </row>
    <row r="124">
      <c r="A124">
        <f>SE('Dízimos Mensais'!A125="";"";'Dízimos Mensais'!A125)</f>
        <v/>
      </c>
      <c r="B124">
        <f>SE('Dízimos Mensais'!A125="";"";"Dízimo - "&amp;'Dízimos Mensais'!B125)</f>
        <v/>
      </c>
      <c r="C124">
        <f>SE('Dízimos Mensais'!A125="";"";'Dízimos Mensais'!E125)</f>
        <v/>
      </c>
      <c r="D124">
        <f>SE('Dízimos Mensais'!A125="";"";0)</f>
        <v/>
      </c>
    </row>
    <row r="125">
      <c r="A125">
        <f>SE('Dízimos Mensais'!A126="";"";'Dízimos Mensais'!A126)</f>
        <v/>
      </c>
      <c r="B125">
        <f>SE('Dízimos Mensais'!A126="";"";"Dízimo - "&amp;'Dízimos Mensais'!B126)</f>
        <v/>
      </c>
      <c r="C125">
        <f>SE('Dízimos Mensais'!A126="";"";'Dízimos Mensais'!E126)</f>
        <v/>
      </c>
      <c r="D125">
        <f>SE('Dízimos Mensais'!A126="";"";0)</f>
        <v/>
      </c>
    </row>
    <row r="126">
      <c r="A126">
        <f>SE('Dízimos Mensais'!A127="";"";'Dízimos Mensais'!A127)</f>
        <v/>
      </c>
      <c r="B126">
        <f>SE('Dízimos Mensais'!A127="";"";"Dízimo - "&amp;'Dízimos Mensais'!B127)</f>
        <v/>
      </c>
      <c r="C126">
        <f>SE('Dízimos Mensais'!A127="";"";'Dízimos Mensais'!E127)</f>
        <v/>
      </c>
      <c r="D126">
        <f>SE('Dízimos Mensais'!A127="";"";0)</f>
        <v/>
      </c>
    </row>
    <row r="127">
      <c r="A127">
        <f>SE('Dízimos Mensais'!A128="";"";'Dízimos Mensais'!A128)</f>
        <v/>
      </c>
      <c r="B127">
        <f>SE('Dízimos Mensais'!A128="";"";"Dízimo - "&amp;'Dízimos Mensais'!B128)</f>
        <v/>
      </c>
      <c r="C127">
        <f>SE('Dízimos Mensais'!A128="";"";'Dízimos Mensais'!E128)</f>
        <v/>
      </c>
      <c r="D127">
        <f>SE('Dízimos Mensais'!A128="";"";0)</f>
        <v/>
      </c>
    </row>
    <row r="128">
      <c r="A128">
        <f>SE('Dízimos Mensais'!A129="";"";'Dízimos Mensais'!A129)</f>
        <v/>
      </c>
      <c r="B128">
        <f>SE('Dízimos Mensais'!A129="";"";"Dízimo - "&amp;'Dízimos Mensais'!B129)</f>
        <v/>
      </c>
      <c r="C128">
        <f>SE('Dízimos Mensais'!A129="";"";'Dízimos Mensais'!E129)</f>
        <v/>
      </c>
      <c r="D128">
        <f>SE('Dízimos Mensais'!A129="";"";0)</f>
        <v/>
      </c>
    </row>
    <row r="129">
      <c r="A129">
        <f>SE('Dízimos Mensais'!A130="";"";'Dízimos Mensais'!A130)</f>
        <v/>
      </c>
      <c r="B129">
        <f>SE('Dízimos Mensais'!A130="";"";"Dízimo - "&amp;'Dízimos Mensais'!B130)</f>
        <v/>
      </c>
      <c r="C129">
        <f>SE('Dízimos Mensais'!A130="";"";'Dízimos Mensais'!E130)</f>
        <v/>
      </c>
      <c r="D129">
        <f>SE('Dízimos Mensais'!A130="";"";0)</f>
        <v/>
      </c>
    </row>
    <row r="130">
      <c r="A130">
        <f>SE('Dízimos Mensais'!A131="";"";'Dízimos Mensais'!A131)</f>
        <v/>
      </c>
      <c r="B130">
        <f>SE('Dízimos Mensais'!A131="";"";"Dízimo - "&amp;'Dízimos Mensais'!B131)</f>
        <v/>
      </c>
      <c r="C130">
        <f>SE('Dízimos Mensais'!A131="";"";'Dízimos Mensais'!E131)</f>
        <v/>
      </c>
      <c r="D130">
        <f>SE('Dízimos Mensais'!A131="";"";0)</f>
        <v/>
      </c>
    </row>
    <row r="131">
      <c r="A131">
        <f>SE('Dízimos Mensais'!A132="";"";'Dízimos Mensais'!A132)</f>
        <v/>
      </c>
      <c r="B131">
        <f>SE('Dízimos Mensais'!A132="";"";"Dízimo - "&amp;'Dízimos Mensais'!B132)</f>
        <v/>
      </c>
      <c r="C131">
        <f>SE('Dízimos Mensais'!A132="";"";'Dízimos Mensais'!E132)</f>
        <v/>
      </c>
      <c r="D131">
        <f>SE('Dízimos Mensais'!A132="";"";0)</f>
        <v/>
      </c>
    </row>
    <row r="132">
      <c r="A132">
        <f>SE('Dízimos Mensais'!A133="";"";'Dízimos Mensais'!A133)</f>
        <v/>
      </c>
      <c r="B132">
        <f>SE('Dízimos Mensais'!A133="";"";"Dízimo - "&amp;'Dízimos Mensais'!B133)</f>
        <v/>
      </c>
      <c r="C132">
        <f>SE('Dízimos Mensais'!A133="";"";'Dízimos Mensais'!E133)</f>
        <v/>
      </c>
      <c r="D132">
        <f>SE('Dízimos Mensais'!A133="";"";0)</f>
        <v/>
      </c>
    </row>
    <row r="133">
      <c r="A133">
        <f>SE('Dízimos Mensais'!A134="";"";'Dízimos Mensais'!A134)</f>
        <v/>
      </c>
      <c r="B133">
        <f>SE('Dízimos Mensais'!A134="";"";"Dízimo - "&amp;'Dízimos Mensais'!B134)</f>
        <v/>
      </c>
      <c r="C133">
        <f>SE('Dízimos Mensais'!A134="";"";'Dízimos Mensais'!E134)</f>
        <v/>
      </c>
      <c r="D133">
        <f>SE('Dízimos Mensais'!A134="";"";0)</f>
        <v/>
      </c>
    </row>
    <row r="134">
      <c r="A134">
        <f>SE('Dízimos Mensais'!A135="";"";'Dízimos Mensais'!A135)</f>
        <v/>
      </c>
      <c r="B134">
        <f>SE('Dízimos Mensais'!A135="";"";"Dízimo - "&amp;'Dízimos Mensais'!B135)</f>
        <v/>
      </c>
      <c r="C134">
        <f>SE('Dízimos Mensais'!A135="";"";'Dízimos Mensais'!E135)</f>
        <v/>
      </c>
      <c r="D134">
        <f>SE('Dízimos Mensais'!A135="";"";0)</f>
        <v/>
      </c>
    </row>
    <row r="135">
      <c r="A135">
        <f>SE('Dízimos Mensais'!A136="";"";'Dízimos Mensais'!A136)</f>
        <v/>
      </c>
      <c r="B135">
        <f>SE('Dízimos Mensais'!A136="";"";"Dízimo - "&amp;'Dízimos Mensais'!B136)</f>
        <v/>
      </c>
      <c r="C135">
        <f>SE('Dízimos Mensais'!A136="";"";'Dízimos Mensais'!E136)</f>
        <v/>
      </c>
      <c r="D135">
        <f>SE('Dízimos Mensais'!A136="";"";0)</f>
        <v/>
      </c>
    </row>
    <row r="136">
      <c r="A136">
        <f>SE('Dízimos Mensais'!A137="";"";'Dízimos Mensais'!A137)</f>
        <v/>
      </c>
      <c r="B136">
        <f>SE('Dízimos Mensais'!A137="";"";"Dízimo - "&amp;'Dízimos Mensais'!B137)</f>
        <v/>
      </c>
      <c r="C136">
        <f>SE('Dízimos Mensais'!A137="";"";'Dízimos Mensais'!E137)</f>
        <v/>
      </c>
      <c r="D136">
        <f>SE('Dízimos Mensais'!A137="";"";0)</f>
        <v/>
      </c>
    </row>
    <row r="137">
      <c r="A137">
        <f>SE('Dízimos Mensais'!A138="";"";'Dízimos Mensais'!A138)</f>
        <v/>
      </c>
      <c r="B137">
        <f>SE('Dízimos Mensais'!A138="";"";"Dízimo - "&amp;'Dízimos Mensais'!B138)</f>
        <v/>
      </c>
      <c r="C137">
        <f>SE('Dízimos Mensais'!A138="";"";'Dízimos Mensais'!E138)</f>
        <v/>
      </c>
      <c r="D137">
        <f>SE('Dízimos Mensais'!A138="";"";0)</f>
        <v/>
      </c>
    </row>
    <row r="138">
      <c r="A138">
        <f>SE('Dízimos Mensais'!A139="";"";'Dízimos Mensais'!A139)</f>
        <v/>
      </c>
      <c r="B138">
        <f>SE('Dízimos Mensais'!A139="";"";"Dízimo - "&amp;'Dízimos Mensais'!B139)</f>
        <v/>
      </c>
      <c r="C138">
        <f>SE('Dízimos Mensais'!A139="";"";'Dízimos Mensais'!E139)</f>
        <v/>
      </c>
      <c r="D138">
        <f>SE('Dízimos Mensais'!A139="";"";0)</f>
        <v/>
      </c>
    </row>
    <row r="139">
      <c r="A139">
        <f>SE('Dízimos Mensais'!A140="";"";'Dízimos Mensais'!A140)</f>
        <v/>
      </c>
      <c r="B139">
        <f>SE('Dízimos Mensais'!A140="";"";"Dízimo - "&amp;'Dízimos Mensais'!B140)</f>
        <v/>
      </c>
      <c r="C139">
        <f>SE('Dízimos Mensais'!A140="";"";'Dízimos Mensais'!E140)</f>
        <v/>
      </c>
      <c r="D139">
        <f>SE('Dízimos Mensais'!A140="";"";0)</f>
        <v/>
      </c>
    </row>
    <row r="140">
      <c r="A140">
        <f>SE('Dízimos Mensais'!A141="";"";'Dízimos Mensais'!A141)</f>
        <v/>
      </c>
      <c r="B140">
        <f>SE('Dízimos Mensais'!A141="";"";"Dízimo - "&amp;'Dízimos Mensais'!B141)</f>
        <v/>
      </c>
      <c r="C140">
        <f>SE('Dízimos Mensais'!A141="";"";'Dízimos Mensais'!E141)</f>
        <v/>
      </c>
      <c r="D140">
        <f>SE('Dízimos Mensais'!A141="";"";0)</f>
        <v/>
      </c>
    </row>
    <row r="141">
      <c r="A141">
        <f>SE('Dízimos Mensais'!A142="";"";'Dízimos Mensais'!A142)</f>
        <v/>
      </c>
      <c r="B141">
        <f>SE('Dízimos Mensais'!A142="";"";"Dízimo - "&amp;'Dízimos Mensais'!B142)</f>
        <v/>
      </c>
      <c r="C141">
        <f>SE('Dízimos Mensais'!A142="";"";'Dízimos Mensais'!E142)</f>
        <v/>
      </c>
      <c r="D141">
        <f>SE('Dízimos Mensais'!A142="";"";0)</f>
        <v/>
      </c>
    </row>
    <row r="142">
      <c r="A142">
        <f>SE('Dízimos Mensais'!A143="";"";'Dízimos Mensais'!A143)</f>
        <v/>
      </c>
      <c r="B142">
        <f>SE('Dízimos Mensais'!A143="";"";"Dízimo - "&amp;'Dízimos Mensais'!B143)</f>
        <v/>
      </c>
      <c r="C142">
        <f>SE('Dízimos Mensais'!A143="";"";'Dízimos Mensais'!E143)</f>
        <v/>
      </c>
      <c r="D142">
        <f>SE('Dízimos Mensais'!A143="";"";0)</f>
        <v/>
      </c>
    </row>
    <row r="143">
      <c r="A143">
        <f>SE('Dízimos Mensais'!A144="";"";'Dízimos Mensais'!A144)</f>
        <v/>
      </c>
      <c r="B143">
        <f>SE('Dízimos Mensais'!A144="";"";"Dízimo - "&amp;'Dízimos Mensais'!B144)</f>
        <v/>
      </c>
      <c r="C143">
        <f>SE('Dízimos Mensais'!A144="";"";'Dízimos Mensais'!E144)</f>
        <v/>
      </c>
      <c r="D143">
        <f>SE('Dízimos Mensais'!A144="";"";0)</f>
        <v/>
      </c>
    </row>
    <row r="144">
      <c r="A144">
        <f>SE('Dízimos Mensais'!A145="";"";'Dízimos Mensais'!A145)</f>
        <v/>
      </c>
      <c r="B144">
        <f>SE('Dízimos Mensais'!A145="";"";"Dízimo - "&amp;'Dízimos Mensais'!B145)</f>
        <v/>
      </c>
      <c r="C144">
        <f>SE('Dízimos Mensais'!A145="";"";'Dízimos Mensais'!E145)</f>
        <v/>
      </c>
      <c r="D144">
        <f>SE('Dízimos Mensais'!A145="";"";0)</f>
        <v/>
      </c>
    </row>
    <row r="145">
      <c r="A145">
        <f>SE('Dízimos Mensais'!A146="";"";'Dízimos Mensais'!A146)</f>
        <v/>
      </c>
      <c r="B145">
        <f>SE('Dízimos Mensais'!A146="";"";"Dízimo - "&amp;'Dízimos Mensais'!B146)</f>
        <v/>
      </c>
      <c r="C145">
        <f>SE('Dízimos Mensais'!A146="";"";'Dízimos Mensais'!E146)</f>
        <v/>
      </c>
      <c r="D145">
        <f>SE('Dízimos Mensais'!A146="";"";0)</f>
        <v/>
      </c>
    </row>
    <row r="146">
      <c r="A146">
        <f>SE('Dízimos Mensais'!A147="";"";'Dízimos Mensais'!A147)</f>
        <v/>
      </c>
      <c r="B146">
        <f>SE('Dízimos Mensais'!A147="";"";"Dízimo - "&amp;'Dízimos Mensais'!B147)</f>
        <v/>
      </c>
      <c r="C146">
        <f>SE('Dízimos Mensais'!A147="";"";'Dízimos Mensais'!E147)</f>
        <v/>
      </c>
      <c r="D146">
        <f>SE('Dízimos Mensais'!A147="";"";0)</f>
        <v/>
      </c>
    </row>
    <row r="147">
      <c r="A147">
        <f>SE('Dízimos Mensais'!A148="";"";'Dízimos Mensais'!A148)</f>
        <v/>
      </c>
      <c r="B147">
        <f>SE('Dízimos Mensais'!A148="";"";"Dízimo - "&amp;'Dízimos Mensais'!B148)</f>
        <v/>
      </c>
      <c r="C147">
        <f>SE('Dízimos Mensais'!A148="";"";'Dízimos Mensais'!E148)</f>
        <v/>
      </c>
      <c r="D147">
        <f>SE('Dízimos Mensais'!A148="";"";0)</f>
        <v/>
      </c>
    </row>
    <row r="148">
      <c r="A148">
        <f>SE('Dízimos Mensais'!A149="";"";'Dízimos Mensais'!A149)</f>
        <v/>
      </c>
      <c r="B148">
        <f>SE('Dízimos Mensais'!A149="";"";"Dízimo - "&amp;'Dízimos Mensais'!B149)</f>
        <v/>
      </c>
      <c r="C148">
        <f>SE('Dízimos Mensais'!A149="";"";'Dízimos Mensais'!E149)</f>
        <v/>
      </c>
      <c r="D148">
        <f>SE('Dízimos Mensais'!A149="";"";0)</f>
        <v/>
      </c>
    </row>
    <row r="149">
      <c r="A149">
        <f>SE('Dízimos Mensais'!A150="";"";'Dízimos Mensais'!A150)</f>
        <v/>
      </c>
      <c r="B149">
        <f>SE('Dízimos Mensais'!A150="";"";"Dízimo - "&amp;'Dízimos Mensais'!B150)</f>
        <v/>
      </c>
      <c r="C149">
        <f>SE('Dízimos Mensais'!A150="";"";'Dízimos Mensais'!E150)</f>
        <v/>
      </c>
      <c r="D149">
        <f>SE('Dízimos Mensais'!A150="";"";0)</f>
        <v/>
      </c>
    </row>
    <row r="150">
      <c r="A150">
        <f>SE('Dízimos Mensais'!A151="";"";'Dízimos Mensais'!A151)</f>
        <v/>
      </c>
      <c r="B150">
        <f>SE('Dízimos Mensais'!A151="";"";"Dízimo - "&amp;'Dízimos Mensais'!B151)</f>
        <v/>
      </c>
      <c r="C150">
        <f>SE('Dízimos Mensais'!A151="";"";'Dízimos Mensais'!E151)</f>
        <v/>
      </c>
      <c r="D150">
        <f>SE('Dízimos Mensais'!A151="";"";0)</f>
        <v/>
      </c>
    </row>
    <row r="151">
      <c r="A151">
        <f>SE('Dízimos Mensais'!A152="";"";'Dízimos Mensais'!A152)</f>
        <v/>
      </c>
      <c r="B151">
        <f>SE('Dízimos Mensais'!A152="";"";"Dízimo - "&amp;'Dízimos Mensais'!B152)</f>
        <v/>
      </c>
      <c r="C151">
        <f>SE('Dízimos Mensais'!A152="";"";'Dízimos Mensais'!E152)</f>
        <v/>
      </c>
      <c r="D151">
        <f>SE('Dízimos Mensais'!A152="";"";0)</f>
        <v/>
      </c>
    </row>
    <row r="152">
      <c r="A152">
        <f>SE('Dízimos Mensais'!A153="";"";'Dízimos Mensais'!A153)</f>
        <v/>
      </c>
      <c r="B152">
        <f>SE('Dízimos Mensais'!A153="";"";"Dízimo - "&amp;'Dízimos Mensais'!B153)</f>
        <v/>
      </c>
      <c r="C152">
        <f>SE('Dízimos Mensais'!A153="";"";'Dízimos Mensais'!E153)</f>
        <v/>
      </c>
      <c r="D152">
        <f>SE('Dízimos Mensais'!A153="";"";0)</f>
        <v/>
      </c>
    </row>
    <row r="153">
      <c r="A153">
        <f>SE('Dízimos Mensais'!A154="";"";'Dízimos Mensais'!A154)</f>
        <v/>
      </c>
      <c r="B153">
        <f>SE('Dízimos Mensais'!A154="";"";"Dízimo - "&amp;'Dízimos Mensais'!B154)</f>
        <v/>
      </c>
      <c r="C153">
        <f>SE('Dízimos Mensais'!A154="";"";'Dízimos Mensais'!E154)</f>
        <v/>
      </c>
      <c r="D153">
        <f>SE('Dízimos Mensais'!A154="";"";0)</f>
        <v/>
      </c>
    </row>
    <row r="154">
      <c r="A154">
        <f>SE('Dízimos Mensais'!A155="";"";'Dízimos Mensais'!A155)</f>
        <v/>
      </c>
      <c r="B154">
        <f>SE('Dízimos Mensais'!A155="";"";"Dízimo - "&amp;'Dízimos Mensais'!B155)</f>
        <v/>
      </c>
      <c r="C154">
        <f>SE('Dízimos Mensais'!A155="";"";'Dízimos Mensais'!E155)</f>
        <v/>
      </c>
      <c r="D154">
        <f>SE('Dízimos Mensais'!A155="";"";0)</f>
        <v/>
      </c>
    </row>
    <row r="155">
      <c r="A155">
        <f>SE('Dízimos Mensais'!A156="";"";'Dízimos Mensais'!A156)</f>
        <v/>
      </c>
      <c r="B155">
        <f>SE('Dízimos Mensais'!A156="";"";"Dízimo - "&amp;'Dízimos Mensais'!B156)</f>
        <v/>
      </c>
      <c r="C155">
        <f>SE('Dízimos Mensais'!A156="";"";'Dízimos Mensais'!E156)</f>
        <v/>
      </c>
      <c r="D155">
        <f>SE('Dízimos Mensais'!A156="";"";0)</f>
        <v/>
      </c>
    </row>
    <row r="156">
      <c r="A156">
        <f>SE('Dízimos Mensais'!A157="";"";'Dízimos Mensais'!A157)</f>
        <v/>
      </c>
      <c r="B156">
        <f>SE('Dízimos Mensais'!A157="";"";"Dízimo - "&amp;'Dízimos Mensais'!B157)</f>
        <v/>
      </c>
      <c r="C156">
        <f>SE('Dízimos Mensais'!A157="";"";'Dízimos Mensais'!E157)</f>
        <v/>
      </c>
      <c r="D156">
        <f>SE('Dízimos Mensais'!A157="";"";0)</f>
        <v/>
      </c>
    </row>
    <row r="157">
      <c r="A157">
        <f>SE('Dízimos Mensais'!A158="";"";'Dízimos Mensais'!A158)</f>
        <v/>
      </c>
      <c r="B157">
        <f>SE('Dízimos Mensais'!A158="";"";"Dízimo - "&amp;'Dízimos Mensais'!B158)</f>
        <v/>
      </c>
      <c r="C157">
        <f>SE('Dízimos Mensais'!A158="";"";'Dízimos Mensais'!E158)</f>
        <v/>
      </c>
      <c r="D157">
        <f>SE('Dízimos Mensais'!A158="";"";0)</f>
        <v/>
      </c>
    </row>
    <row r="158">
      <c r="A158">
        <f>SE('Dízimos Mensais'!A159="";"";'Dízimos Mensais'!A159)</f>
        <v/>
      </c>
      <c r="B158">
        <f>SE('Dízimos Mensais'!A159="";"";"Dízimo - "&amp;'Dízimos Mensais'!B159)</f>
        <v/>
      </c>
      <c r="C158">
        <f>SE('Dízimos Mensais'!A159="";"";'Dízimos Mensais'!E159)</f>
        <v/>
      </c>
      <c r="D158">
        <f>SE('Dízimos Mensais'!A159="";"";0)</f>
        <v/>
      </c>
    </row>
    <row r="159">
      <c r="A159">
        <f>SE('Dízimos Mensais'!A160="";"";'Dízimos Mensais'!A160)</f>
        <v/>
      </c>
      <c r="B159">
        <f>SE('Dízimos Mensais'!A160="";"";"Dízimo - "&amp;'Dízimos Mensais'!B160)</f>
        <v/>
      </c>
      <c r="C159">
        <f>SE('Dízimos Mensais'!A160="";"";'Dízimos Mensais'!E160)</f>
        <v/>
      </c>
      <c r="D159">
        <f>SE('Dízimos Mensais'!A160="";"";0)</f>
        <v/>
      </c>
    </row>
    <row r="160">
      <c r="A160">
        <f>SE('Dízimos Mensais'!A161="";"";'Dízimos Mensais'!A161)</f>
        <v/>
      </c>
      <c r="B160">
        <f>SE('Dízimos Mensais'!A161="";"";"Dízimo - "&amp;'Dízimos Mensais'!B161)</f>
        <v/>
      </c>
      <c r="C160">
        <f>SE('Dízimos Mensais'!A161="";"";'Dízimos Mensais'!E161)</f>
        <v/>
      </c>
      <c r="D160">
        <f>SE('Dízimos Mensais'!A161="";"";0)</f>
        <v/>
      </c>
    </row>
    <row r="161">
      <c r="A161">
        <f>SE('Dízimos Mensais'!A162="";"";'Dízimos Mensais'!A162)</f>
        <v/>
      </c>
      <c r="B161">
        <f>SE('Dízimos Mensais'!A162="";"";"Dízimo - "&amp;'Dízimos Mensais'!B162)</f>
        <v/>
      </c>
      <c r="C161">
        <f>SE('Dízimos Mensais'!A162="";"";'Dízimos Mensais'!E162)</f>
        <v/>
      </c>
      <c r="D161">
        <f>SE('Dízimos Mensais'!A162="";"";0)</f>
        <v/>
      </c>
    </row>
    <row r="162">
      <c r="A162">
        <f>SE('Dízimos Mensais'!A163="";"";'Dízimos Mensais'!A163)</f>
        <v/>
      </c>
      <c r="B162">
        <f>SE('Dízimos Mensais'!A163="";"";"Dízimo - "&amp;'Dízimos Mensais'!B163)</f>
        <v/>
      </c>
      <c r="C162">
        <f>SE('Dízimos Mensais'!A163="";"";'Dízimos Mensais'!E163)</f>
        <v/>
      </c>
      <c r="D162">
        <f>SE('Dízimos Mensais'!A163="";"";0)</f>
        <v/>
      </c>
    </row>
    <row r="163">
      <c r="A163">
        <f>SE('Dízimos Mensais'!A164="";"";'Dízimos Mensais'!A164)</f>
        <v/>
      </c>
      <c r="B163">
        <f>SE('Dízimos Mensais'!A164="";"";"Dízimo - "&amp;'Dízimos Mensais'!B164)</f>
        <v/>
      </c>
      <c r="C163">
        <f>SE('Dízimos Mensais'!A164="";"";'Dízimos Mensais'!E164)</f>
        <v/>
      </c>
      <c r="D163">
        <f>SE('Dízimos Mensais'!A164="";"";0)</f>
        <v/>
      </c>
    </row>
    <row r="164">
      <c r="A164">
        <f>SE('Dízimos Mensais'!A165="";"";'Dízimos Mensais'!A165)</f>
        <v/>
      </c>
      <c r="B164">
        <f>SE('Dízimos Mensais'!A165="";"";"Dízimo - "&amp;'Dízimos Mensais'!B165)</f>
        <v/>
      </c>
      <c r="C164">
        <f>SE('Dízimos Mensais'!A165="";"";'Dízimos Mensais'!E165)</f>
        <v/>
      </c>
      <c r="D164">
        <f>SE('Dízimos Mensais'!A165="";"";0)</f>
        <v/>
      </c>
    </row>
    <row r="165">
      <c r="A165">
        <f>SE('Dízimos Mensais'!A166="";"";'Dízimos Mensais'!A166)</f>
        <v/>
      </c>
      <c r="B165">
        <f>SE('Dízimos Mensais'!A166="";"";"Dízimo - "&amp;'Dízimos Mensais'!B166)</f>
        <v/>
      </c>
      <c r="C165">
        <f>SE('Dízimos Mensais'!A166="";"";'Dízimos Mensais'!E166)</f>
        <v/>
      </c>
      <c r="D165">
        <f>SE('Dízimos Mensais'!A166="";"";0)</f>
        <v/>
      </c>
    </row>
    <row r="166">
      <c r="A166">
        <f>SE('Dízimos Mensais'!A167="";"";'Dízimos Mensais'!A167)</f>
        <v/>
      </c>
      <c r="B166">
        <f>SE('Dízimos Mensais'!A167="";"";"Dízimo - "&amp;'Dízimos Mensais'!B167)</f>
        <v/>
      </c>
      <c r="C166">
        <f>SE('Dízimos Mensais'!A167="";"";'Dízimos Mensais'!E167)</f>
        <v/>
      </c>
      <c r="D166">
        <f>SE('Dízimos Mensais'!A167="";"";0)</f>
        <v/>
      </c>
    </row>
    <row r="167">
      <c r="A167">
        <f>SE('Dízimos Mensais'!A168="";"";'Dízimos Mensais'!A168)</f>
        <v/>
      </c>
      <c r="B167">
        <f>SE('Dízimos Mensais'!A168="";"";"Dízimo - "&amp;'Dízimos Mensais'!B168)</f>
        <v/>
      </c>
      <c r="C167">
        <f>SE('Dízimos Mensais'!A168="";"";'Dízimos Mensais'!E168)</f>
        <v/>
      </c>
      <c r="D167">
        <f>SE('Dízimos Mensais'!A168="";"";0)</f>
        <v/>
      </c>
    </row>
    <row r="168">
      <c r="A168">
        <f>SE('Dízimos Mensais'!A169="";"";'Dízimos Mensais'!A169)</f>
        <v/>
      </c>
      <c r="B168">
        <f>SE('Dízimos Mensais'!A169="";"";"Dízimo - "&amp;'Dízimos Mensais'!B169)</f>
        <v/>
      </c>
      <c r="C168">
        <f>SE('Dízimos Mensais'!A169="";"";'Dízimos Mensais'!E169)</f>
        <v/>
      </c>
      <c r="D168">
        <f>SE('Dízimos Mensais'!A169="";"";0)</f>
        <v/>
      </c>
    </row>
    <row r="169">
      <c r="A169">
        <f>SE('Dízimos Mensais'!A170="";"";'Dízimos Mensais'!A170)</f>
        <v/>
      </c>
      <c r="B169">
        <f>SE('Dízimos Mensais'!A170="";"";"Dízimo - "&amp;'Dízimos Mensais'!B170)</f>
        <v/>
      </c>
      <c r="C169">
        <f>SE('Dízimos Mensais'!A170="";"";'Dízimos Mensais'!E170)</f>
        <v/>
      </c>
      <c r="D169">
        <f>SE('Dízimos Mensais'!A170="";"";0)</f>
        <v/>
      </c>
    </row>
    <row r="170">
      <c r="A170">
        <f>SE('Dízimos Mensais'!A171="";"";'Dízimos Mensais'!A171)</f>
        <v/>
      </c>
      <c r="B170">
        <f>SE('Dízimos Mensais'!A171="";"";"Dízimo - "&amp;'Dízimos Mensais'!B171)</f>
        <v/>
      </c>
      <c r="C170">
        <f>SE('Dízimos Mensais'!A171="";"";'Dízimos Mensais'!E171)</f>
        <v/>
      </c>
      <c r="D170">
        <f>SE('Dízimos Mensais'!A171="";"";0)</f>
        <v/>
      </c>
    </row>
    <row r="171">
      <c r="A171">
        <f>SE('Dízimos Mensais'!A172="";"";'Dízimos Mensais'!A172)</f>
        <v/>
      </c>
      <c r="B171">
        <f>SE('Dízimos Mensais'!A172="";"";"Dízimo - "&amp;'Dízimos Mensais'!B172)</f>
        <v/>
      </c>
      <c r="C171">
        <f>SE('Dízimos Mensais'!A172="";"";'Dízimos Mensais'!E172)</f>
        <v/>
      </c>
      <c r="D171">
        <f>SE('Dízimos Mensais'!A172="";"";0)</f>
        <v/>
      </c>
    </row>
    <row r="172">
      <c r="A172">
        <f>SE('Dízimos Mensais'!A173="";"";'Dízimos Mensais'!A173)</f>
        <v/>
      </c>
      <c r="B172">
        <f>SE('Dízimos Mensais'!A173="";"";"Dízimo - "&amp;'Dízimos Mensais'!B173)</f>
        <v/>
      </c>
      <c r="C172">
        <f>SE('Dízimos Mensais'!A173="";"";'Dízimos Mensais'!E173)</f>
        <v/>
      </c>
      <c r="D172">
        <f>SE('Dízimos Mensais'!A173="";"";0)</f>
        <v/>
      </c>
    </row>
    <row r="173">
      <c r="A173">
        <f>SE('Dízimos Mensais'!A174="";"";'Dízimos Mensais'!A174)</f>
        <v/>
      </c>
      <c r="B173">
        <f>SE('Dízimos Mensais'!A174="";"";"Dízimo - "&amp;'Dízimos Mensais'!B174)</f>
        <v/>
      </c>
      <c r="C173">
        <f>SE('Dízimos Mensais'!A174="";"";'Dízimos Mensais'!E174)</f>
        <v/>
      </c>
      <c r="D173">
        <f>SE('Dízimos Mensais'!A174="";"";0)</f>
        <v/>
      </c>
    </row>
    <row r="174">
      <c r="A174">
        <f>SE('Dízimos Mensais'!A175="";"";'Dízimos Mensais'!A175)</f>
        <v/>
      </c>
      <c r="B174">
        <f>SE('Dízimos Mensais'!A175="";"";"Dízimo - "&amp;'Dízimos Mensais'!B175)</f>
        <v/>
      </c>
      <c r="C174">
        <f>SE('Dízimos Mensais'!A175="";"";'Dízimos Mensais'!E175)</f>
        <v/>
      </c>
      <c r="D174">
        <f>SE('Dízimos Mensais'!A175="";"";0)</f>
        <v/>
      </c>
    </row>
    <row r="175">
      <c r="A175">
        <f>SE('Dízimos Mensais'!A176="";"";'Dízimos Mensais'!A176)</f>
        <v/>
      </c>
      <c r="B175">
        <f>SE('Dízimos Mensais'!A176="";"";"Dízimo - "&amp;'Dízimos Mensais'!B176)</f>
        <v/>
      </c>
      <c r="C175">
        <f>SE('Dízimos Mensais'!A176="";"";'Dízimos Mensais'!E176)</f>
        <v/>
      </c>
      <c r="D175">
        <f>SE('Dízimos Mensais'!A176="";"";0)</f>
        <v/>
      </c>
    </row>
    <row r="176">
      <c r="A176">
        <f>SE('Dízimos Mensais'!A177="";"";'Dízimos Mensais'!A177)</f>
        <v/>
      </c>
      <c r="B176">
        <f>SE('Dízimos Mensais'!A177="";"";"Dízimo - "&amp;'Dízimos Mensais'!B177)</f>
        <v/>
      </c>
      <c r="C176">
        <f>SE('Dízimos Mensais'!A177="";"";'Dízimos Mensais'!E177)</f>
        <v/>
      </c>
      <c r="D176">
        <f>SE('Dízimos Mensais'!A177="";"";0)</f>
        <v/>
      </c>
    </row>
    <row r="177">
      <c r="A177">
        <f>SE('Dízimos Mensais'!A178="";"";'Dízimos Mensais'!A178)</f>
        <v/>
      </c>
      <c r="B177">
        <f>SE('Dízimos Mensais'!A178="";"";"Dízimo - "&amp;'Dízimos Mensais'!B178)</f>
        <v/>
      </c>
      <c r="C177">
        <f>SE('Dízimos Mensais'!A178="";"";'Dízimos Mensais'!E178)</f>
        <v/>
      </c>
      <c r="D177">
        <f>SE('Dízimos Mensais'!A178="";"";0)</f>
        <v/>
      </c>
    </row>
    <row r="178">
      <c r="A178">
        <f>SE('Dízimos Mensais'!A179="";"";'Dízimos Mensais'!A179)</f>
        <v/>
      </c>
      <c r="B178">
        <f>SE('Dízimos Mensais'!A179="";"";"Dízimo - "&amp;'Dízimos Mensais'!B179)</f>
        <v/>
      </c>
      <c r="C178">
        <f>SE('Dízimos Mensais'!A179="";"";'Dízimos Mensais'!E179)</f>
        <v/>
      </c>
      <c r="D178">
        <f>SE('Dízimos Mensais'!A179="";"";0)</f>
        <v/>
      </c>
    </row>
    <row r="179">
      <c r="A179">
        <f>SE('Dízimos Mensais'!A180="";"";'Dízimos Mensais'!A180)</f>
        <v/>
      </c>
      <c r="B179">
        <f>SE('Dízimos Mensais'!A180="";"";"Dízimo - "&amp;'Dízimos Mensais'!B180)</f>
        <v/>
      </c>
      <c r="C179">
        <f>SE('Dízimos Mensais'!A180="";"";'Dízimos Mensais'!E180)</f>
        <v/>
      </c>
      <c r="D179">
        <f>SE('Dízimos Mensais'!A180="";"";0)</f>
        <v/>
      </c>
    </row>
    <row r="180">
      <c r="A180">
        <f>SE('Dízimos Mensais'!A181="";"";'Dízimos Mensais'!A181)</f>
        <v/>
      </c>
      <c r="B180">
        <f>SE('Dízimos Mensais'!A181="";"";"Dízimo - "&amp;'Dízimos Mensais'!B181)</f>
        <v/>
      </c>
      <c r="C180">
        <f>SE('Dízimos Mensais'!A181="";"";'Dízimos Mensais'!E181)</f>
        <v/>
      </c>
      <c r="D180">
        <f>SE('Dízimos Mensais'!A181="";"";0)</f>
        <v/>
      </c>
    </row>
    <row r="181">
      <c r="A181">
        <f>SE('Dízimos Mensais'!A182="";"";'Dízimos Mensais'!A182)</f>
        <v/>
      </c>
      <c r="B181">
        <f>SE('Dízimos Mensais'!A182="";"";"Dízimo - "&amp;'Dízimos Mensais'!B182)</f>
        <v/>
      </c>
      <c r="C181">
        <f>SE('Dízimos Mensais'!A182="";"";'Dízimos Mensais'!E182)</f>
        <v/>
      </c>
      <c r="D181">
        <f>SE('Dízimos Mensais'!A182="";"";0)</f>
        <v/>
      </c>
    </row>
    <row r="182">
      <c r="A182">
        <f>SE('Dízimos Mensais'!A183="";"";'Dízimos Mensais'!A183)</f>
        <v/>
      </c>
      <c r="B182">
        <f>SE('Dízimos Mensais'!A183="";"";"Dízimo - "&amp;'Dízimos Mensais'!B183)</f>
        <v/>
      </c>
      <c r="C182">
        <f>SE('Dízimos Mensais'!A183="";"";'Dízimos Mensais'!E183)</f>
        <v/>
      </c>
      <c r="D182">
        <f>SE('Dízimos Mensais'!A183="";"";0)</f>
        <v/>
      </c>
    </row>
    <row r="183">
      <c r="A183">
        <f>SE('Dízimos Mensais'!A184="";"";'Dízimos Mensais'!A184)</f>
        <v/>
      </c>
      <c r="B183">
        <f>SE('Dízimos Mensais'!A184="";"";"Dízimo - "&amp;'Dízimos Mensais'!B184)</f>
        <v/>
      </c>
      <c r="C183">
        <f>SE('Dízimos Mensais'!A184="";"";'Dízimos Mensais'!E184)</f>
        <v/>
      </c>
      <c r="D183">
        <f>SE('Dízimos Mensais'!A184="";"";0)</f>
        <v/>
      </c>
    </row>
    <row r="184">
      <c r="A184">
        <f>SE('Dízimos Mensais'!A185="";"";'Dízimos Mensais'!A185)</f>
        <v/>
      </c>
      <c r="B184">
        <f>SE('Dízimos Mensais'!A185="";"";"Dízimo - "&amp;'Dízimos Mensais'!B185)</f>
        <v/>
      </c>
      <c r="C184">
        <f>SE('Dízimos Mensais'!A185="";"";'Dízimos Mensais'!E185)</f>
        <v/>
      </c>
      <c r="D184">
        <f>SE('Dízimos Mensais'!A185="";"";0)</f>
        <v/>
      </c>
    </row>
    <row r="185">
      <c r="A185">
        <f>SE('Dízimos Mensais'!A186="";"";'Dízimos Mensais'!A186)</f>
        <v/>
      </c>
      <c r="B185">
        <f>SE('Dízimos Mensais'!A186="";"";"Dízimo - "&amp;'Dízimos Mensais'!B186)</f>
        <v/>
      </c>
      <c r="C185">
        <f>SE('Dízimos Mensais'!A186="";"";'Dízimos Mensais'!E186)</f>
        <v/>
      </c>
      <c r="D185">
        <f>SE('Dízimos Mensais'!A186="";"";0)</f>
        <v/>
      </c>
    </row>
    <row r="186">
      <c r="A186">
        <f>SE('Dízimos Mensais'!A187="";"";'Dízimos Mensais'!A187)</f>
        <v/>
      </c>
      <c r="B186">
        <f>SE('Dízimos Mensais'!A187="";"";"Dízimo - "&amp;'Dízimos Mensais'!B187)</f>
        <v/>
      </c>
      <c r="C186">
        <f>SE('Dízimos Mensais'!A187="";"";'Dízimos Mensais'!E187)</f>
        <v/>
      </c>
      <c r="D186">
        <f>SE('Dízimos Mensais'!A187="";"";0)</f>
        <v/>
      </c>
    </row>
    <row r="187">
      <c r="A187">
        <f>SE('Dízimos Mensais'!A188="";"";'Dízimos Mensais'!A188)</f>
        <v/>
      </c>
      <c r="B187">
        <f>SE('Dízimos Mensais'!A188="";"";"Dízimo - "&amp;'Dízimos Mensais'!B188)</f>
        <v/>
      </c>
      <c r="C187">
        <f>SE('Dízimos Mensais'!A188="";"";'Dízimos Mensais'!E188)</f>
        <v/>
      </c>
      <c r="D187">
        <f>SE('Dízimos Mensais'!A188="";"";0)</f>
        <v/>
      </c>
    </row>
    <row r="188">
      <c r="A188">
        <f>SE('Dízimos Mensais'!A189="";"";'Dízimos Mensais'!A189)</f>
        <v/>
      </c>
      <c r="B188">
        <f>SE('Dízimos Mensais'!A189="";"";"Dízimo - "&amp;'Dízimos Mensais'!B189)</f>
        <v/>
      </c>
      <c r="C188">
        <f>SE('Dízimos Mensais'!A189="";"";'Dízimos Mensais'!E189)</f>
        <v/>
      </c>
      <c r="D188">
        <f>SE('Dízimos Mensais'!A189="";"";0)</f>
        <v/>
      </c>
    </row>
    <row r="189">
      <c r="A189">
        <f>SE('Dízimos Mensais'!A190="";"";'Dízimos Mensais'!A190)</f>
        <v/>
      </c>
      <c r="B189">
        <f>SE('Dízimos Mensais'!A190="";"";"Dízimo - "&amp;'Dízimos Mensais'!B190)</f>
        <v/>
      </c>
      <c r="C189">
        <f>SE('Dízimos Mensais'!A190="";"";'Dízimos Mensais'!E190)</f>
        <v/>
      </c>
      <c r="D189">
        <f>SE('Dízimos Mensais'!A190="";"";0)</f>
        <v/>
      </c>
    </row>
    <row r="190">
      <c r="A190">
        <f>SE('Dízimos Mensais'!A191="";"";'Dízimos Mensais'!A191)</f>
        <v/>
      </c>
      <c r="B190">
        <f>SE('Dízimos Mensais'!A191="";"";"Dízimo - "&amp;'Dízimos Mensais'!B191)</f>
        <v/>
      </c>
      <c r="C190">
        <f>SE('Dízimos Mensais'!A191="";"";'Dízimos Mensais'!E191)</f>
        <v/>
      </c>
      <c r="D190">
        <f>SE('Dízimos Mensais'!A191="";"";0)</f>
        <v/>
      </c>
    </row>
    <row r="191">
      <c r="A191">
        <f>SE('Dízimos Mensais'!A192="";"";'Dízimos Mensais'!A192)</f>
        <v/>
      </c>
      <c r="B191">
        <f>SE('Dízimos Mensais'!A192="";"";"Dízimo - "&amp;'Dízimos Mensais'!B192)</f>
        <v/>
      </c>
      <c r="C191">
        <f>SE('Dízimos Mensais'!A192="";"";'Dízimos Mensais'!E192)</f>
        <v/>
      </c>
      <c r="D191">
        <f>SE('Dízimos Mensais'!A192="";"";0)</f>
        <v/>
      </c>
    </row>
    <row r="192">
      <c r="A192">
        <f>SE('Dízimos Mensais'!A193="";"";'Dízimos Mensais'!A193)</f>
        <v/>
      </c>
      <c r="B192">
        <f>SE('Dízimos Mensais'!A193="";"";"Dízimo - "&amp;'Dízimos Mensais'!B193)</f>
        <v/>
      </c>
      <c r="C192">
        <f>SE('Dízimos Mensais'!A193="";"";'Dízimos Mensais'!E193)</f>
        <v/>
      </c>
      <c r="D192">
        <f>SE('Dízimos Mensais'!A193="";"";0)</f>
        <v/>
      </c>
    </row>
    <row r="193">
      <c r="A193">
        <f>SE('Dízimos Mensais'!A194="";"";'Dízimos Mensais'!A194)</f>
        <v/>
      </c>
      <c r="B193">
        <f>SE('Dízimos Mensais'!A194="";"";"Dízimo - "&amp;'Dízimos Mensais'!B194)</f>
        <v/>
      </c>
      <c r="C193">
        <f>SE('Dízimos Mensais'!A194="";"";'Dízimos Mensais'!E194)</f>
        <v/>
      </c>
      <c r="D193">
        <f>SE('Dízimos Mensais'!A194="";"";0)</f>
        <v/>
      </c>
    </row>
    <row r="194">
      <c r="A194">
        <f>SE('Dízimos Mensais'!A195="";"";'Dízimos Mensais'!A195)</f>
        <v/>
      </c>
      <c r="B194">
        <f>SE('Dízimos Mensais'!A195="";"";"Dízimo - "&amp;'Dízimos Mensais'!B195)</f>
        <v/>
      </c>
      <c r="C194">
        <f>SE('Dízimos Mensais'!A195="";"";'Dízimos Mensais'!E195)</f>
        <v/>
      </c>
      <c r="D194">
        <f>SE('Dízimos Mensais'!A195="";"";0)</f>
        <v/>
      </c>
    </row>
    <row r="195">
      <c r="A195">
        <f>SE('Dízimos Mensais'!A196="";"";'Dízimos Mensais'!A196)</f>
        <v/>
      </c>
      <c r="B195">
        <f>SE('Dízimos Mensais'!A196="";"";"Dízimo - "&amp;'Dízimos Mensais'!B196)</f>
        <v/>
      </c>
      <c r="C195">
        <f>SE('Dízimos Mensais'!A196="";"";'Dízimos Mensais'!E196)</f>
        <v/>
      </c>
      <c r="D195">
        <f>SE('Dízimos Mensais'!A196="";"";0)</f>
        <v/>
      </c>
    </row>
    <row r="196">
      <c r="A196">
        <f>SE('Dízimos Mensais'!A197="";"";'Dízimos Mensais'!A197)</f>
        <v/>
      </c>
      <c r="B196">
        <f>SE('Dízimos Mensais'!A197="";"";"Dízimo - "&amp;'Dízimos Mensais'!B197)</f>
        <v/>
      </c>
      <c r="C196">
        <f>SE('Dízimos Mensais'!A197="";"";'Dízimos Mensais'!E197)</f>
        <v/>
      </c>
      <c r="D196">
        <f>SE('Dízimos Mensais'!A197="";"";0)</f>
        <v/>
      </c>
    </row>
    <row r="197">
      <c r="A197">
        <f>SE('Dízimos Mensais'!A198="";"";'Dízimos Mensais'!A198)</f>
        <v/>
      </c>
      <c r="B197">
        <f>SE('Dízimos Mensais'!A198="";"";"Dízimo - "&amp;'Dízimos Mensais'!B198)</f>
        <v/>
      </c>
      <c r="C197">
        <f>SE('Dízimos Mensais'!A198="";"";'Dízimos Mensais'!E198)</f>
        <v/>
      </c>
      <c r="D197">
        <f>SE('Dízimos Mensais'!A198="";"";0)</f>
        <v/>
      </c>
    </row>
    <row r="198">
      <c r="A198">
        <f>SE('Dízimos Mensais'!A199="";"";'Dízimos Mensais'!A199)</f>
        <v/>
      </c>
      <c r="B198">
        <f>SE('Dízimos Mensais'!A199="";"";"Dízimo - "&amp;'Dízimos Mensais'!B199)</f>
        <v/>
      </c>
      <c r="C198">
        <f>SE('Dízimos Mensais'!A199="";"";'Dízimos Mensais'!E199)</f>
        <v/>
      </c>
      <c r="D198">
        <f>SE('Dízimos Mensais'!A199="";"";0)</f>
        <v/>
      </c>
    </row>
    <row r="199">
      <c r="A199">
        <f>SE('Dízimos Mensais'!A200="";"";'Dízimos Mensais'!A200)</f>
        <v/>
      </c>
      <c r="B199">
        <f>SE('Dízimos Mensais'!A200="";"";"Dízimo - "&amp;'Dízimos Mensais'!B200)</f>
        <v/>
      </c>
      <c r="C199">
        <f>SE('Dízimos Mensais'!A200="";"";'Dízimos Mensais'!E200)</f>
        <v/>
      </c>
      <c r="D199">
        <f>SE('Dízimos Mensais'!A200="";"";0)</f>
        <v/>
      </c>
    </row>
    <row r="200">
      <c r="A200">
        <f>SE('Dízimos Mensais'!A201="";"";'Dízimos Mensais'!A201)</f>
        <v/>
      </c>
      <c r="B200">
        <f>SE('Dízimos Mensais'!A201="";"";"Dízimo - "&amp;'Dízimos Mensais'!B201)</f>
        <v/>
      </c>
      <c r="C200">
        <f>SE('Dízimos Mensais'!A201="";"";'Dízimos Mensais'!E201)</f>
        <v/>
      </c>
      <c r="D200">
        <f>SE('Dízimos Mensais'!A201="";"";0)</f>
        <v/>
      </c>
    </row>
    <row r="201">
      <c r="A201">
        <f>SE('Dízimos Mensais'!A202="";"";'Dízimos Mensais'!A202)</f>
        <v/>
      </c>
      <c r="B201">
        <f>SE('Dízimos Mensais'!A202="";"";"Dízimo - "&amp;'Dízimos Mensais'!B202)</f>
        <v/>
      </c>
      <c r="C201">
        <f>SE('Dízimos Mensais'!A202="";"";'Dízimos Mensais'!E202)</f>
        <v/>
      </c>
      <c r="D201">
        <f>SE('Dízimos Mensais'!A202="";"";0)</f>
        <v/>
      </c>
    </row>
    <row r="202">
      <c r="A202">
        <f>SE('Dízimos Mensais'!A203="";"";'Dízimos Mensais'!A203)</f>
        <v/>
      </c>
      <c r="B202">
        <f>SE('Dízimos Mensais'!A203="";"";"Dízimo - "&amp;'Dízimos Mensais'!B203)</f>
        <v/>
      </c>
      <c r="C202">
        <f>SE('Dízimos Mensais'!A203="";"";'Dízimos Mensais'!E203)</f>
        <v/>
      </c>
      <c r="D202">
        <f>SE('Dízimos Mensais'!A203="";"";0)</f>
        <v/>
      </c>
    </row>
    <row r="203">
      <c r="A203">
        <f>SE('Dízimos Mensais'!A204="";"";'Dízimos Mensais'!A204)</f>
        <v/>
      </c>
      <c r="B203">
        <f>SE('Dízimos Mensais'!A204="";"";"Dízimo - "&amp;'Dízimos Mensais'!B204)</f>
        <v/>
      </c>
      <c r="C203">
        <f>SE('Dízimos Mensais'!A204="";"";'Dízimos Mensais'!E204)</f>
        <v/>
      </c>
      <c r="D203">
        <f>SE('Dízimos Mensais'!A204="";"";0)</f>
        <v/>
      </c>
    </row>
    <row r="204">
      <c r="A204">
        <f>SE('Dízimos Mensais'!A205="";"";'Dízimos Mensais'!A205)</f>
        <v/>
      </c>
      <c r="B204">
        <f>SE('Dízimos Mensais'!A205="";"";"Dízimo - "&amp;'Dízimos Mensais'!B205)</f>
        <v/>
      </c>
      <c r="C204">
        <f>SE('Dízimos Mensais'!A205="";"";'Dízimos Mensais'!E205)</f>
        <v/>
      </c>
      <c r="D204">
        <f>SE('Dízimos Mensais'!A205="";"";0)</f>
        <v/>
      </c>
    </row>
    <row r="205">
      <c r="A205">
        <f>SE('Dízimos Mensais'!A206="";"";'Dízimos Mensais'!A206)</f>
        <v/>
      </c>
      <c r="B205">
        <f>SE('Dízimos Mensais'!A206="";"";"Dízimo - "&amp;'Dízimos Mensais'!B206)</f>
        <v/>
      </c>
      <c r="C205">
        <f>SE('Dízimos Mensais'!A206="";"";'Dízimos Mensais'!E206)</f>
        <v/>
      </c>
      <c r="D205">
        <f>SE('Dízimos Mensais'!A206="";"";0)</f>
        <v/>
      </c>
    </row>
    <row r="206">
      <c r="A206">
        <f>SE('Dízimos Mensais'!A207="";"";'Dízimos Mensais'!A207)</f>
        <v/>
      </c>
      <c r="B206">
        <f>SE('Dízimos Mensais'!A207="";"";"Dízimo - "&amp;'Dízimos Mensais'!B207)</f>
        <v/>
      </c>
      <c r="C206">
        <f>SE('Dízimos Mensais'!A207="";"";'Dízimos Mensais'!E207)</f>
        <v/>
      </c>
      <c r="D206">
        <f>SE('Dízimos Mensais'!A207="";"";0)</f>
        <v/>
      </c>
    </row>
    <row r="207">
      <c r="A207">
        <f>SE('Dízimos Mensais'!A208="";"";'Dízimos Mensais'!A208)</f>
        <v/>
      </c>
      <c r="B207">
        <f>SE('Dízimos Mensais'!A208="";"";"Dízimo - "&amp;'Dízimos Mensais'!B208)</f>
        <v/>
      </c>
      <c r="C207">
        <f>SE('Dízimos Mensais'!A208="";"";'Dízimos Mensais'!E208)</f>
        <v/>
      </c>
      <c r="D207">
        <f>SE('Dízimos Mensais'!A208="";"";0)</f>
        <v/>
      </c>
    </row>
    <row r="208">
      <c r="A208">
        <f>SE('Dízimos Mensais'!A209="";"";'Dízimos Mensais'!A209)</f>
        <v/>
      </c>
      <c r="B208">
        <f>SE('Dízimos Mensais'!A209="";"";"Dízimo - "&amp;'Dízimos Mensais'!B209)</f>
        <v/>
      </c>
      <c r="C208">
        <f>SE('Dízimos Mensais'!A209="";"";'Dízimos Mensais'!E209)</f>
        <v/>
      </c>
      <c r="D208">
        <f>SE('Dízimos Mensais'!A209="";"";0)</f>
        <v/>
      </c>
    </row>
    <row r="209">
      <c r="A209">
        <f>SE('Dízimos Mensais'!A210="";"";'Dízimos Mensais'!A210)</f>
        <v/>
      </c>
      <c r="B209">
        <f>SE('Dízimos Mensais'!A210="";"";"Dízimo - "&amp;'Dízimos Mensais'!B210)</f>
        <v/>
      </c>
      <c r="C209">
        <f>SE('Dízimos Mensais'!A210="";"";'Dízimos Mensais'!E210)</f>
        <v/>
      </c>
      <c r="D209">
        <f>SE('Dízimos Mensais'!A210="";"";0)</f>
        <v/>
      </c>
    </row>
    <row r="210">
      <c r="A210">
        <f>SE('Dízimos Mensais'!A211="";"";'Dízimos Mensais'!A211)</f>
        <v/>
      </c>
      <c r="B210">
        <f>SE('Dízimos Mensais'!A211="";"";"Dízimo - "&amp;'Dízimos Mensais'!B211)</f>
        <v/>
      </c>
      <c r="C210">
        <f>SE('Dízimos Mensais'!A211="";"";'Dízimos Mensais'!E211)</f>
        <v/>
      </c>
      <c r="D210">
        <f>SE('Dízimos Mensais'!A211="";"";0)</f>
        <v/>
      </c>
    </row>
    <row r="211">
      <c r="A211">
        <f>SE('Dízimos Mensais'!A212="";"";'Dízimos Mensais'!A212)</f>
        <v/>
      </c>
      <c r="B211">
        <f>SE('Dízimos Mensais'!A212="";"";"Dízimo - "&amp;'Dízimos Mensais'!B212)</f>
        <v/>
      </c>
      <c r="C211">
        <f>SE('Dízimos Mensais'!A212="";"";'Dízimos Mensais'!E212)</f>
        <v/>
      </c>
      <c r="D211">
        <f>SE('Dízimos Mensais'!A212="";"";0)</f>
        <v/>
      </c>
    </row>
    <row r="212">
      <c r="A212">
        <f>SE('Dízimos Mensais'!A213="";"";'Dízimos Mensais'!A213)</f>
        <v/>
      </c>
      <c r="B212">
        <f>SE('Dízimos Mensais'!A213="";"";"Dízimo - "&amp;'Dízimos Mensais'!B213)</f>
        <v/>
      </c>
      <c r="C212">
        <f>SE('Dízimos Mensais'!A213="";"";'Dízimos Mensais'!E213)</f>
        <v/>
      </c>
      <c r="D212">
        <f>SE('Dízimos Mensais'!A213="";"";0)</f>
        <v/>
      </c>
    </row>
    <row r="213">
      <c r="A213">
        <f>SE('Dízimos Mensais'!A214="";"";'Dízimos Mensais'!A214)</f>
        <v/>
      </c>
      <c r="B213">
        <f>SE('Dízimos Mensais'!A214="";"";"Dízimo - "&amp;'Dízimos Mensais'!B214)</f>
        <v/>
      </c>
      <c r="C213">
        <f>SE('Dízimos Mensais'!A214="";"";'Dízimos Mensais'!E214)</f>
        <v/>
      </c>
      <c r="D213">
        <f>SE('Dízimos Mensais'!A214="";"";0)</f>
        <v/>
      </c>
    </row>
    <row r="214">
      <c r="A214">
        <f>SE('Dízimos Mensais'!A215="";"";'Dízimos Mensais'!A215)</f>
        <v/>
      </c>
      <c r="B214">
        <f>SE('Dízimos Mensais'!A215="";"";"Dízimo - "&amp;'Dízimos Mensais'!B215)</f>
        <v/>
      </c>
      <c r="C214">
        <f>SE('Dízimos Mensais'!A215="";"";'Dízimos Mensais'!E215)</f>
        <v/>
      </c>
      <c r="D214">
        <f>SE('Dízimos Mensais'!A215="";"";0)</f>
        <v/>
      </c>
    </row>
    <row r="215">
      <c r="A215">
        <f>SE('Dízimos Mensais'!A216="";"";'Dízimos Mensais'!A216)</f>
        <v/>
      </c>
      <c r="B215">
        <f>SE('Dízimos Mensais'!A216="";"";"Dízimo - "&amp;'Dízimos Mensais'!B216)</f>
        <v/>
      </c>
      <c r="C215">
        <f>SE('Dízimos Mensais'!A216="";"";'Dízimos Mensais'!E216)</f>
        <v/>
      </c>
      <c r="D215">
        <f>SE('Dízimos Mensais'!A216="";"";0)</f>
        <v/>
      </c>
    </row>
    <row r="216">
      <c r="A216">
        <f>SE('Dízimos Mensais'!A217="";"";'Dízimos Mensais'!A217)</f>
        <v/>
      </c>
      <c r="B216">
        <f>SE('Dízimos Mensais'!A217="";"";"Dízimo - "&amp;'Dízimos Mensais'!B217)</f>
        <v/>
      </c>
      <c r="C216">
        <f>SE('Dízimos Mensais'!A217="";"";'Dízimos Mensais'!E217)</f>
        <v/>
      </c>
      <c r="D216">
        <f>SE('Dízimos Mensais'!A217="";"";0)</f>
        <v/>
      </c>
    </row>
    <row r="217">
      <c r="A217">
        <f>SE('Dízimos Mensais'!A218="";"";'Dízimos Mensais'!A218)</f>
        <v/>
      </c>
      <c r="B217">
        <f>SE('Dízimos Mensais'!A218="";"";"Dízimo - "&amp;'Dízimos Mensais'!B218)</f>
        <v/>
      </c>
      <c r="C217">
        <f>SE('Dízimos Mensais'!A218="";"";'Dízimos Mensais'!E218)</f>
        <v/>
      </c>
      <c r="D217">
        <f>SE('Dízimos Mensais'!A218="";"";0)</f>
        <v/>
      </c>
    </row>
    <row r="218">
      <c r="A218">
        <f>SE('Dízimos Mensais'!A219="";"";'Dízimos Mensais'!A219)</f>
        <v/>
      </c>
      <c r="B218">
        <f>SE('Dízimos Mensais'!A219="";"";"Dízimo - "&amp;'Dízimos Mensais'!B219)</f>
        <v/>
      </c>
      <c r="C218">
        <f>SE('Dízimos Mensais'!A219="";"";'Dízimos Mensais'!E219)</f>
        <v/>
      </c>
      <c r="D218">
        <f>SE('Dízimos Mensais'!A219="";"";0)</f>
        <v/>
      </c>
    </row>
    <row r="219">
      <c r="A219">
        <f>SE('Dízimos Mensais'!A220="";"";'Dízimos Mensais'!A220)</f>
        <v/>
      </c>
      <c r="B219">
        <f>SE('Dízimos Mensais'!A220="";"";"Dízimo - "&amp;'Dízimos Mensais'!B220)</f>
        <v/>
      </c>
      <c r="C219">
        <f>SE('Dízimos Mensais'!A220="";"";'Dízimos Mensais'!E220)</f>
        <v/>
      </c>
      <c r="D219">
        <f>SE('Dízimos Mensais'!A220="";"";0)</f>
        <v/>
      </c>
    </row>
    <row r="220">
      <c r="A220">
        <f>SE('Dízimos Mensais'!A221="";"";'Dízimos Mensais'!A221)</f>
        <v/>
      </c>
      <c r="B220">
        <f>SE('Dízimos Mensais'!A221="";"";"Dízimo - "&amp;'Dízimos Mensais'!B221)</f>
        <v/>
      </c>
      <c r="C220">
        <f>SE('Dízimos Mensais'!A221="";"";'Dízimos Mensais'!E221)</f>
        <v/>
      </c>
      <c r="D220">
        <f>SE('Dízimos Mensais'!A221="";"";0)</f>
        <v/>
      </c>
    </row>
    <row r="221">
      <c r="A221">
        <f>SE('Dízimos Mensais'!A222="";"";'Dízimos Mensais'!A222)</f>
        <v/>
      </c>
      <c r="B221">
        <f>SE('Dízimos Mensais'!A222="";"";"Dízimo - "&amp;'Dízimos Mensais'!B222)</f>
        <v/>
      </c>
      <c r="C221">
        <f>SE('Dízimos Mensais'!A222="";"";'Dízimos Mensais'!E222)</f>
        <v/>
      </c>
      <c r="D221">
        <f>SE('Dízimos Mensais'!A222="";"";0)</f>
        <v/>
      </c>
    </row>
    <row r="222">
      <c r="A222">
        <f>SE('Dízimos Mensais'!A223="";"";'Dízimos Mensais'!A223)</f>
        <v/>
      </c>
      <c r="B222">
        <f>SE('Dízimos Mensais'!A223="";"";"Dízimo - "&amp;'Dízimos Mensais'!B223)</f>
        <v/>
      </c>
      <c r="C222">
        <f>SE('Dízimos Mensais'!A223="";"";'Dízimos Mensais'!E223)</f>
        <v/>
      </c>
      <c r="D222">
        <f>SE('Dízimos Mensais'!A223="";"";0)</f>
        <v/>
      </c>
    </row>
    <row r="223">
      <c r="A223">
        <f>SE('Dízimos Mensais'!A224="";"";'Dízimos Mensais'!A224)</f>
        <v/>
      </c>
      <c r="B223">
        <f>SE('Dízimos Mensais'!A224="";"";"Dízimo - "&amp;'Dízimos Mensais'!B224)</f>
        <v/>
      </c>
      <c r="C223">
        <f>SE('Dízimos Mensais'!A224="";"";'Dízimos Mensais'!E224)</f>
        <v/>
      </c>
      <c r="D223">
        <f>SE('Dízimos Mensais'!A224="";"";0)</f>
        <v/>
      </c>
    </row>
    <row r="224">
      <c r="A224">
        <f>SE('Dízimos Mensais'!A225="";"";'Dízimos Mensais'!A225)</f>
        <v/>
      </c>
      <c r="B224">
        <f>SE('Dízimos Mensais'!A225="";"";"Dízimo - "&amp;'Dízimos Mensais'!B225)</f>
        <v/>
      </c>
      <c r="C224">
        <f>SE('Dízimos Mensais'!A225="";"";'Dízimos Mensais'!E225)</f>
        <v/>
      </c>
      <c r="D224">
        <f>SE('Dízimos Mensais'!A225="";"";0)</f>
        <v/>
      </c>
    </row>
    <row r="225">
      <c r="A225">
        <f>SE('Dízimos Mensais'!A226="";"";'Dízimos Mensais'!A226)</f>
        <v/>
      </c>
      <c r="B225">
        <f>SE('Dízimos Mensais'!A226="";"";"Dízimo - "&amp;'Dízimos Mensais'!B226)</f>
        <v/>
      </c>
      <c r="C225">
        <f>SE('Dízimos Mensais'!A226="";"";'Dízimos Mensais'!E226)</f>
        <v/>
      </c>
      <c r="D225">
        <f>SE('Dízimos Mensais'!A226="";"";0)</f>
        <v/>
      </c>
    </row>
    <row r="226">
      <c r="A226">
        <f>SE('Dízimos Mensais'!A227="";"";'Dízimos Mensais'!A227)</f>
        <v/>
      </c>
      <c r="B226">
        <f>SE('Dízimos Mensais'!A227="";"";"Dízimo - "&amp;'Dízimos Mensais'!B227)</f>
        <v/>
      </c>
      <c r="C226">
        <f>SE('Dízimos Mensais'!A227="";"";'Dízimos Mensais'!E227)</f>
        <v/>
      </c>
      <c r="D226">
        <f>SE('Dízimos Mensais'!A227="";"";0)</f>
        <v/>
      </c>
    </row>
    <row r="227">
      <c r="A227">
        <f>SE('Dízimos Mensais'!A228="";"";'Dízimos Mensais'!A228)</f>
        <v/>
      </c>
      <c r="B227">
        <f>SE('Dízimos Mensais'!A228="";"";"Dízimo - "&amp;'Dízimos Mensais'!B228)</f>
        <v/>
      </c>
      <c r="C227">
        <f>SE('Dízimos Mensais'!A228="";"";'Dízimos Mensais'!E228)</f>
        <v/>
      </c>
      <c r="D227">
        <f>SE('Dízimos Mensais'!A228="";"";0)</f>
        <v/>
      </c>
    </row>
    <row r="228">
      <c r="A228">
        <f>SE('Dízimos Mensais'!A229="";"";'Dízimos Mensais'!A229)</f>
        <v/>
      </c>
      <c r="B228">
        <f>SE('Dízimos Mensais'!A229="";"";"Dízimo - "&amp;'Dízimos Mensais'!B229)</f>
        <v/>
      </c>
      <c r="C228">
        <f>SE('Dízimos Mensais'!A229="";"";'Dízimos Mensais'!E229)</f>
        <v/>
      </c>
      <c r="D228">
        <f>SE('Dízimos Mensais'!A229="";"";0)</f>
        <v/>
      </c>
    </row>
    <row r="229">
      <c r="A229">
        <f>SE('Dízimos Mensais'!A230="";"";'Dízimos Mensais'!A230)</f>
        <v/>
      </c>
      <c r="B229">
        <f>SE('Dízimos Mensais'!A230="";"";"Dízimo - "&amp;'Dízimos Mensais'!B230)</f>
        <v/>
      </c>
      <c r="C229">
        <f>SE('Dízimos Mensais'!A230="";"";'Dízimos Mensais'!E230)</f>
        <v/>
      </c>
      <c r="D229">
        <f>SE('Dízimos Mensais'!A230="";"";0)</f>
        <v/>
      </c>
    </row>
    <row r="230">
      <c r="A230">
        <f>SE('Dízimos Mensais'!A231="";"";'Dízimos Mensais'!A231)</f>
        <v/>
      </c>
      <c r="B230">
        <f>SE('Dízimos Mensais'!A231="";"";"Dízimo - "&amp;'Dízimos Mensais'!B231)</f>
        <v/>
      </c>
      <c r="C230">
        <f>SE('Dízimos Mensais'!A231="";"";'Dízimos Mensais'!E231)</f>
        <v/>
      </c>
      <c r="D230">
        <f>SE('Dízimos Mensais'!A231="";"";0)</f>
        <v/>
      </c>
    </row>
    <row r="231">
      <c r="A231">
        <f>SE('Dízimos Mensais'!A232="";"";'Dízimos Mensais'!A232)</f>
        <v/>
      </c>
      <c r="B231">
        <f>SE('Dízimos Mensais'!A232="";"";"Dízimo - "&amp;'Dízimos Mensais'!B232)</f>
        <v/>
      </c>
      <c r="C231">
        <f>SE('Dízimos Mensais'!A232="";"";'Dízimos Mensais'!E232)</f>
        <v/>
      </c>
      <c r="D231">
        <f>SE('Dízimos Mensais'!A232="";"";0)</f>
        <v/>
      </c>
    </row>
    <row r="232">
      <c r="A232">
        <f>SE('Dízimos Mensais'!A233="";"";'Dízimos Mensais'!A233)</f>
        <v/>
      </c>
      <c r="B232">
        <f>SE('Dízimos Mensais'!A233="";"";"Dízimo - "&amp;'Dízimos Mensais'!B233)</f>
        <v/>
      </c>
      <c r="C232">
        <f>SE('Dízimos Mensais'!A233="";"";'Dízimos Mensais'!E233)</f>
        <v/>
      </c>
      <c r="D232">
        <f>SE('Dízimos Mensais'!A233="";"";0)</f>
        <v/>
      </c>
    </row>
    <row r="233">
      <c r="A233">
        <f>SE('Dízimos Mensais'!A234="";"";'Dízimos Mensais'!A234)</f>
        <v/>
      </c>
      <c r="B233">
        <f>SE('Dízimos Mensais'!A234="";"";"Dízimo - "&amp;'Dízimos Mensais'!B234)</f>
        <v/>
      </c>
      <c r="C233">
        <f>SE('Dízimos Mensais'!A234="";"";'Dízimos Mensais'!E234)</f>
        <v/>
      </c>
      <c r="D233">
        <f>SE('Dízimos Mensais'!A234="";"";0)</f>
        <v/>
      </c>
    </row>
    <row r="234">
      <c r="A234">
        <f>SE('Dízimos Mensais'!A235="";"";'Dízimos Mensais'!A235)</f>
        <v/>
      </c>
      <c r="B234">
        <f>SE('Dízimos Mensais'!A235="";"";"Dízimo - "&amp;'Dízimos Mensais'!B235)</f>
        <v/>
      </c>
      <c r="C234">
        <f>SE('Dízimos Mensais'!A235="";"";'Dízimos Mensais'!E235)</f>
        <v/>
      </c>
      <c r="D234">
        <f>SE('Dízimos Mensais'!A235="";"";0)</f>
        <v/>
      </c>
    </row>
    <row r="235">
      <c r="A235">
        <f>SE('Dízimos Mensais'!A236="";"";'Dízimos Mensais'!A236)</f>
        <v/>
      </c>
      <c r="B235">
        <f>SE('Dízimos Mensais'!A236="";"";"Dízimo - "&amp;'Dízimos Mensais'!B236)</f>
        <v/>
      </c>
      <c r="C235">
        <f>SE('Dízimos Mensais'!A236="";"";'Dízimos Mensais'!E236)</f>
        <v/>
      </c>
      <c r="D235">
        <f>SE('Dízimos Mensais'!A236="";"";0)</f>
        <v/>
      </c>
    </row>
    <row r="236">
      <c r="A236">
        <f>SE('Dízimos Mensais'!A237="";"";'Dízimos Mensais'!A237)</f>
        <v/>
      </c>
      <c r="B236">
        <f>SE('Dízimos Mensais'!A237="";"";"Dízimo - "&amp;'Dízimos Mensais'!B237)</f>
        <v/>
      </c>
      <c r="C236">
        <f>SE('Dízimos Mensais'!A237="";"";'Dízimos Mensais'!E237)</f>
        <v/>
      </c>
      <c r="D236">
        <f>SE('Dízimos Mensais'!A237="";"";0)</f>
        <v/>
      </c>
    </row>
    <row r="237">
      <c r="A237">
        <f>SE('Dízimos Mensais'!A238="";"";'Dízimos Mensais'!A238)</f>
        <v/>
      </c>
      <c r="B237">
        <f>SE('Dízimos Mensais'!A238="";"";"Dízimo - "&amp;'Dízimos Mensais'!B238)</f>
        <v/>
      </c>
      <c r="C237">
        <f>SE('Dízimos Mensais'!A238="";"";'Dízimos Mensais'!E238)</f>
        <v/>
      </c>
      <c r="D237">
        <f>SE('Dízimos Mensais'!A238="";"";0)</f>
        <v/>
      </c>
    </row>
    <row r="238">
      <c r="A238">
        <f>SE('Dízimos Mensais'!A239="";"";'Dízimos Mensais'!A239)</f>
        <v/>
      </c>
      <c r="B238">
        <f>SE('Dízimos Mensais'!A239="";"";"Dízimo - "&amp;'Dízimos Mensais'!B239)</f>
        <v/>
      </c>
      <c r="C238">
        <f>SE('Dízimos Mensais'!A239="";"";'Dízimos Mensais'!E239)</f>
        <v/>
      </c>
      <c r="D238">
        <f>SE('Dízimos Mensais'!A239="";"";0)</f>
        <v/>
      </c>
    </row>
    <row r="239">
      <c r="A239">
        <f>SE('Dízimos Mensais'!A240="";"";'Dízimos Mensais'!A240)</f>
        <v/>
      </c>
      <c r="B239">
        <f>SE('Dízimos Mensais'!A240="";"";"Dízimo - "&amp;'Dízimos Mensais'!B240)</f>
        <v/>
      </c>
      <c r="C239">
        <f>SE('Dízimos Mensais'!A240="";"";'Dízimos Mensais'!E240)</f>
        <v/>
      </c>
      <c r="D239">
        <f>SE('Dízimos Mensais'!A240="";"";0)</f>
        <v/>
      </c>
    </row>
    <row r="240">
      <c r="A240">
        <f>SE('Dízimos Mensais'!A241="";"";'Dízimos Mensais'!A241)</f>
        <v/>
      </c>
      <c r="B240">
        <f>SE('Dízimos Mensais'!A241="";"";"Dízimo - "&amp;'Dízimos Mensais'!B241)</f>
        <v/>
      </c>
      <c r="C240">
        <f>SE('Dízimos Mensais'!A241="";"";'Dízimos Mensais'!E241)</f>
        <v/>
      </c>
      <c r="D240">
        <f>SE('Dízimos Mensais'!A241="";"";0)</f>
        <v/>
      </c>
    </row>
    <row r="241">
      <c r="A241">
        <f>SE('Dízimos Mensais'!A242="";"";'Dízimos Mensais'!A242)</f>
        <v/>
      </c>
      <c r="B241">
        <f>SE('Dízimos Mensais'!A242="";"";"Dízimo - "&amp;'Dízimos Mensais'!B242)</f>
        <v/>
      </c>
      <c r="C241">
        <f>SE('Dízimos Mensais'!A242="";"";'Dízimos Mensais'!E242)</f>
        <v/>
      </c>
      <c r="D241">
        <f>SE('Dízimos Mensais'!A242="";"";0)</f>
        <v/>
      </c>
    </row>
    <row r="242">
      <c r="A242">
        <f>SE('Dízimos Mensais'!A243="";"";'Dízimos Mensais'!A243)</f>
        <v/>
      </c>
      <c r="B242">
        <f>SE('Dízimos Mensais'!A243="";"";"Dízimo - "&amp;'Dízimos Mensais'!B243)</f>
        <v/>
      </c>
      <c r="C242">
        <f>SE('Dízimos Mensais'!A243="";"";'Dízimos Mensais'!E243)</f>
        <v/>
      </c>
      <c r="D242">
        <f>SE('Dízimos Mensais'!A243="";"";0)</f>
        <v/>
      </c>
    </row>
    <row r="243">
      <c r="A243">
        <f>SE('Dízimos Mensais'!A244="";"";'Dízimos Mensais'!A244)</f>
        <v/>
      </c>
      <c r="B243">
        <f>SE('Dízimos Mensais'!A244="";"";"Dízimo - "&amp;'Dízimos Mensais'!B244)</f>
        <v/>
      </c>
      <c r="C243">
        <f>SE('Dízimos Mensais'!A244="";"";'Dízimos Mensais'!E244)</f>
        <v/>
      </c>
      <c r="D243">
        <f>SE('Dízimos Mensais'!A244="";"";0)</f>
        <v/>
      </c>
    </row>
    <row r="244">
      <c r="A244">
        <f>SE('Dízimos Mensais'!A245="";"";'Dízimos Mensais'!A245)</f>
        <v/>
      </c>
      <c r="B244">
        <f>SE('Dízimos Mensais'!A245="";"";"Dízimo - "&amp;'Dízimos Mensais'!B245)</f>
        <v/>
      </c>
      <c r="C244">
        <f>SE('Dízimos Mensais'!A245="";"";'Dízimos Mensais'!E245)</f>
        <v/>
      </c>
      <c r="D244">
        <f>SE('Dízimos Mensais'!A245="";"";0)</f>
        <v/>
      </c>
    </row>
    <row r="245">
      <c r="A245">
        <f>SE('Dízimos Mensais'!A246="";"";'Dízimos Mensais'!A246)</f>
        <v/>
      </c>
      <c r="B245">
        <f>SE('Dízimos Mensais'!A246="";"";"Dízimo - "&amp;'Dízimos Mensais'!B246)</f>
        <v/>
      </c>
      <c r="C245">
        <f>SE('Dízimos Mensais'!A246="";"";'Dízimos Mensais'!E246)</f>
        <v/>
      </c>
      <c r="D245">
        <f>SE('Dízimos Mensais'!A246="";"";0)</f>
        <v/>
      </c>
    </row>
    <row r="246">
      <c r="A246">
        <f>SE('Dízimos Mensais'!A247="";"";'Dízimos Mensais'!A247)</f>
        <v/>
      </c>
      <c r="B246">
        <f>SE('Dízimos Mensais'!A247="";"";"Dízimo - "&amp;'Dízimos Mensais'!B247)</f>
        <v/>
      </c>
      <c r="C246">
        <f>SE('Dízimos Mensais'!A247="";"";'Dízimos Mensais'!E247)</f>
        <v/>
      </c>
      <c r="D246">
        <f>SE('Dízimos Mensais'!A247="";"";0)</f>
        <v/>
      </c>
    </row>
    <row r="247">
      <c r="A247">
        <f>SE('Dízimos Mensais'!A248="";"";'Dízimos Mensais'!A248)</f>
        <v/>
      </c>
      <c r="B247">
        <f>SE('Dízimos Mensais'!A248="";"";"Dízimo - "&amp;'Dízimos Mensais'!B248)</f>
        <v/>
      </c>
      <c r="C247">
        <f>SE('Dízimos Mensais'!A248="";"";'Dízimos Mensais'!E248)</f>
        <v/>
      </c>
      <c r="D247">
        <f>SE('Dízimos Mensais'!A248="";"";0)</f>
        <v/>
      </c>
    </row>
    <row r="248">
      <c r="A248">
        <f>SE('Dízimos Mensais'!A249="";"";'Dízimos Mensais'!A249)</f>
        <v/>
      </c>
      <c r="B248">
        <f>SE('Dízimos Mensais'!A249="";"";"Dízimo - "&amp;'Dízimos Mensais'!B249)</f>
        <v/>
      </c>
      <c r="C248">
        <f>SE('Dízimos Mensais'!A249="";"";'Dízimos Mensais'!E249)</f>
        <v/>
      </c>
      <c r="D248">
        <f>SE('Dízimos Mensais'!A249="";"";0)</f>
        <v/>
      </c>
    </row>
    <row r="249">
      <c r="A249">
        <f>SE('Dízimos Mensais'!A250="";"";'Dízimos Mensais'!A250)</f>
        <v/>
      </c>
      <c r="B249">
        <f>SE('Dízimos Mensais'!A250="";"";"Dízimo - "&amp;'Dízimos Mensais'!B250)</f>
        <v/>
      </c>
      <c r="C249">
        <f>SE('Dízimos Mensais'!A250="";"";'Dízimos Mensais'!E250)</f>
        <v/>
      </c>
      <c r="D249">
        <f>SE('Dízimos Mensais'!A250="";"";0)</f>
        <v/>
      </c>
    </row>
    <row r="250">
      <c r="A250">
        <f>SE('Dízimos Mensais'!A251="";"";'Dízimos Mensais'!A251)</f>
        <v/>
      </c>
      <c r="B250">
        <f>SE('Dízimos Mensais'!A251="";"";"Dízimo - "&amp;'Dízimos Mensais'!B251)</f>
        <v/>
      </c>
      <c r="C250">
        <f>SE('Dízimos Mensais'!A251="";"";'Dízimos Mensais'!E251)</f>
        <v/>
      </c>
      <c r="D250">
        <f>SE('Dízimos Mensais'!A251="";"";0)</f>
        <v/>
      </c>
    </row>
    <row r="251">
      <c r="A251">
        <f>SE('Dízimos Mensais'!A252="";"";'Dízimos Mensais'!A252)</f>
        <v/>
      </c>
      <c r="B251">
        <f>SE('Dízimos Mensais'!A252="";"";"Dízimo - "&amp;'Dízimos Mensais'!B252)</f>
        <v/>
      </c>
      <c r="C251">
        <f>SE('Dízimos Mensais'!A252="";"";'Dízimos Mensais'!E252)</f>
        <v/>
      </c>
      <c r="D251">
        <f>SE('Dízimos Mensais'!A252="";"";0)</f>
        <v/>
      </c>
    </row>
    <row r="252">
      <c r="A252">
        <f>SE('Dízimos Mensais'!A253="";"";'Dízimos Mensais'!A253)</f>
        <v/>
      </c>
      <c r="B252">
        <f>SE('Dízimos Mensais'!A253="";"";"Dízimo - "&amp;'Dízimos Mensais'!B253)</f>
        <v/>
      </c>
      <c r="C252">
        <f>SE('Dízimos Mensais'!A253="";"";'Dízimos Mensais'!E253)</f>
        <v/>
      </c>
      <c r="D252">
        <f>SE('Dízimos Mensais'!A253="";"";0)</f>
        <v/>
      </c>
    </row>
    <row r="253">
      <c r="A253">
        <f>SE('Dízimos Mensais'!A254="";"";'Dízimos Mensais'!A254)</f>
        <v/>
      </c>
      <c r="B253">
        <f>SE('Dízimos Mensais'!A254="";"";"Dízimo - "&amp;'Dízimos Mensais'!B254)</f>
        <v/>
      </c>
      <c r="C253">
        <f>SE('Dízimos Mensais'!A254="";"";'Dízimos Mensais'!E254)</f>
        <v/>
      </c>
      <c r="D253">
        <f>SE('Dízimos Mensais'!A254="";"";0)</f>
        <v/>
      </c>
    </row>
    <row r="254">
      <c r="A254">
        <f>SE('Dízimos Mensais'!A255="";"";'Dízimos Mensais'!A255)</f>
        <v/>
      </c>
      <c r="B254">
        <f>SE('Dízimos Mensais'!A255="";"";"Dízimo - "&amp;'Dízimos Mensais'!B255)</f>
        <v/>
      </c>
      <c r="C254">
        <f>SE('Dízimos Mensais'!A255="";"";'Dízimos Mensais'!E255)</f>
        <v/>
      </c>
      <c r="D254">
        <f>SE('Dízimos Mensais'!A255="";"";0)</f>
        <v/>
      </c>
    </row>
    <row r="255">
      <c r="A255">
        <f>SE('Dízimos Mensais'!A256="";"";'Dízimos Mensais'!A256)</f>
        <v/>
      </c>
      <c r="B255">
        <f>SE('Dízimos Mensais'!A256="";"";"Dízimo - "&amp;'Dízimos Mensais'!B256)</f>
        <v/>
      </c>
      <c r="C255">
        <f>SE('Dízimos Mensais'!A256="";"";'Dízimos Mensais'!E256)</f>
        <v/>
      </c>
      <c r="D255">
        <f>SE('Dízimos Mensais'!A256="";"";0)</f>
        <v/>
      </c>
    </row>
    <row r="256">
      <c r="A256">
        <f>SE('Dízimos Mensais'!A257="";"";'Dízimos Mensais'!A257)</f>
        <v/>
      </c>
      <c r="B256">
        <f>SE('Dízimos Mensais'!A257="";"";"Dízimo - "&amp;'Dízimos Mensais'!B257)</f>
        <v/>
      </c>
      <c r="C256">
        <f>SE('Dízimos Mensais'!A257="";"";'Dízimos Mensais'!E257)</f>
        <v/>
      </c>
      <c r="D256">
        <f>SE('Dízimos Mensais'!A257="";"";0)</f>
        <v/>
      </c>
    </row>
    <row r="257">
      <c r="A257">
        <f>SE('Dízimos Mensais'!A258="";"";'Dízimos Mensais'!A258)</f>
        <v/>
      </c>
      <c r="B257">
        <f>SE('Dízimos Mensais'!A258="";"";"Dízimo - "&amp;'Dízimos Mensais'!B258)</f>
        <v/>
      </c>
      <c r="C257">
        <f>SE('Dízimos Mensais'!A258="";"";'Dízimos Mensais'!E258)</f>
        <v/>
      </c>
      <c r="D257">
        <f>SE('Dízimos Mensais'!A258="";"";0)</f>
        <v/>
      </c>
    </row>
    <row r="258">
      <c r="A258">
        <f>SE('Dízimos Mensais'!A259="";"";'Dízimos Mensais'!A259)</f>
        <v/>
      </c>
      <c r="B258">
        <f>SE('Dízimos Mensais'!A259="";"";"Dízimo - "&amp;'Dízimos Mensais'!B259)</f>
        <v/>
      </c>
      <c r="C258">
        <f>SE('Dízimos Mensais'!A259="";"";'Dízimos Mensais'!E259)</f>
        <v/>
      </c>
      <c r="D258">
        <f>SE('Dízimos Mensais'!A259="";"";0)</f>
        <v/>
      </c>
    </row>
    <row r="259">
      <c r="A259">
        <f>SE('Dízimos Mensais'!A260="";"";'Dízimos Mensais'!A260)</f>
        <v/>
      </c>
      <c r="B259">
        <f>SE('Dízimos Mensais'!A260="";"";"Dízimo - "&amp;'Dízimos Mensais'!B260)</f>
        <v/>
      </c>
      <c r="C259">
        <f>SE('Dízimos Mensais'!A260="";"";'Dízimos Mensais'!E260)</f>
        <v/>
      </c>
      <c r="D259">
        <f>SE('Dízimos Mensais'!A260="";"";0)</f>
        <v/>
      </c>
    </row>
    <row r="260">
      <c r="A260">
        <f>SE('Dízimos Mensais'!A261="";"";'Dízimos Mensais'!A261)</f>
        <v/>
      </c>
      <c r="B260">
        <f>SE('Dízimos Mensais'!A261="";"";"Dízimo - "&amp;'Dízimos Mensais'!B261)</f>
        <v/>
      </c>
      <c r="C260">
        <f>SE('Dízimos Mensais'!A261="";"";'Dízimos Mensais'!E261)</f>
        <v/>
      </c>
      <c r="D260">
        <f>SE('Dízimos Mensais'!A261="";"";0)</f>
        <v/>
      </c>
    </row>
    <row r="261">
      <c r="A261">
        <f>SE('Dízimos Mensais'!A262="";"";'Dízimos Mensais'!A262)</f>
        <v/>
      </c>
      <c r="B261">
        <f>SE('Dízimos Mensais'!A262="";"";"Dízimo - "&amp;'Dízimos Mensais'!B262)</f>
        <v/>
      </c>
      <c r="C261">
        <f>SE('Dízimos Mensais'!A262="";"";'Dízimos Mensais'!E262)</f>
        <v/>
      </c>
      <c r="D261">
        <f>SE('Dízimos Mensais'!A262="";"";0)</f>
        <v/>
      </c>
    </row>
    <row r="262">
      <c r="A262">
        <f>SE('Dízimos Mensais'!A263="";"";'Dízimos Mensais'!A263)</f>
        <v/>
      </c>
      <c r="B262">
        <f>SE('Dízimos Mensais'!A263="";"";"Dízimo - "&amp;'Dízimos Mensais'!B263)</f>
        <v/>
      </c>
      <c r="C262">
        <f>SE('Dízimos Mensais'!A263="";"";'Dízimos Mensais'!E263)</f>
        <v/>
      </c>
      <c r="D262">
        <f>SE('Dízimos Mensais'!A263="";"";0)</f>
        <v/>
      </c>
    </row>
    <row r="263">
      <c r="A263">
        <f>SE('Dízimos Mensais'!A264="";"";'Dízimos Mensais'!A264)</f>
        <v/>
      </c>
      <c r="B263">
        <f>SE('Dízimos Mensais'!A264="";"";"Dízimo - "&amp;'Dízimos Mensais'!B264)</f>
        <v/>
      </c>
      <c r="C263">
        <f>SE('Dízimos Mensais'!A264="";"";'Dízimos Mensais'!E264)</f>
        <v/>
      </c>
      <c r="D263">
        <f>SE('Dízimos Mensais'!A264="";"";0)</f>
        <v/>
      </c>
    </row>
    <row r="264">
      <c r="A264">
        <f>SE('Dízimos Mensais'!A265="";"";'Dízimos Mensais'!A265)</f>
        <v/>
      </c>
      <c r="B264">
        <f>SE('Dízimos Mensais'!A265="";"";"Dízimo - "&amp;'Dízimos Mensais'!B265)</f>
        <v/>
      </c>
      <c r="C264">
        <f>SE('Dízimos Mensais'!A265="";"";'Dízimos Mensais'!E265)</f>
        <v/>
      </c>
      <c r="D264">
        <f>SE('Dízimos Mensais'!A265="";"";0)</f>
        <v/>
      </c>
    </row>
    <row r="265">
      <c r="A265">
        <f>SE('Dízimos Mensais'!A266="";"";'Dízimos Mensais'!A266)</f>
        <v/>
      </c>
      <c r="B265">
        <f>SE('Dízimos Mensais'!A266="";"";"Dízimo - "&amp;'Dízimos Mensais'!B266)</f>
        <v/>
      </c>
      <c r="C265">
        <f>SE('Dízimos Mensais'!A266="";"";'Dízimos Mensais'!E266)</f>
        <v/>
      </c>
      <c r="D265">
        <f>SE('Dízimos Mensais'!A266="";"";0)</f>
        <v/>
      </c>
    </row>
    <row r="266">
      <c r="A266">
        <f>SE('Dízimos Mensais'!A267="";"";'Dízimos Mensais'!A267)</f>
        <v/>
      </c>
      <c r="B266">
        <f>SE('Dízimos Mensais'!A267="";"";"Dízimo - "&amp;'Dízimos Mensais'!B267)</f>
        <v/>
      </c>
      <c r="C266">
        <f>SE('Dízimos Mensais'!A267="";"";'Dízimos Mensais'!E267)</f>
        <v/>
      </c>
      <c r="D266">
        <f>SE('Dízimos Mensais'!A267="";"";0)</f>
        <v/>
      </c>
    </row>
    <row r="267">
      <c r="A267">
        <f>SE('Dízimos Mensais'!A268="";"";'Dízimos Mensais'!A268)</f>
        <v/>
      </c>
      <c r="B267">
        <f>SE('Dízimos Mensais'!A268="";"";"Dízimo - "&amp;'Dízimos Mensais'!B268)</f>
        <v/>
      </c>
      <c r="C267">
        <f>SE('Dízimos Mensais'!A268="";"";'Dízimos Mensais'!E268)</f>
        <v/>
      </c>
      <c r="D267">
        <f>SE('Dízimos Mensais'!A268="";"";0)</f>
        <v/>
      </c>
    </row>
    <row r="268">
      <c r="A268">
        <f>SE('Dízimos Mensais'!A269="";"";'Dízimos Mensais'!A269)</f>
        <v/>
      </c>
      <c r="B268">
        <f>SE('Dízimos Mensais'!A269="";"";"Dízimo - "&amp;'Dízimos Mensais'!B269)</f>
        <v/>
      </c>
      <c r="C268">
        <f>SE('Dízimos Mensais'!A269="";"";'Dízimos Mensais'!E269)</f>
        <v/>
      </c>
      <c r="D268">
        <f>SE('Dízimos Mensais'!A269="";"";0)</f>
        <v/>
      </c>
    </row>
    <row r="269">
      <c r="A269">
        <f>SE('Dízimos Mensais'!A270="";"";'Dízimos Mensais'!A270)</f>
        <v/>
      </c>
      <c r="B269">
        <f>SE('Dízimos Mensais'!A270="";"";"Dízimo - "&amp;'Dízimos Mensais'!B270)</f>
        <v/>
      </c>
      <c r="C269">
        <f>SE('Dízimos Mensais'!A270="";"";'Dízimos Mensais'!E270)</f>
        <v/>
      </c>
      <c r="D269">
        <f>SE('Dízimos Mensais'!A270="";"";0)</f>
        <v/>
      </c>
    </row>
    <row r="270">
      <c r="A270">
        <f>SE('Dízimos Mensais'!A271="";"";'Dízimos Mensais'!A271)</f>
        <v/>
      </c>
      <c r="B270">
        <f>SE('Dízimos Mensais'!A271="";"";"Dízimo - "&amp;'Dízimos Mensais'!B271)</f>
        <v/>
      </c>
      <c r="C270">
        <f>SE('Dízimos Mensais'!A271="";"";'Dízimos Mensais'!E271)</f>
        <v/>
      </c>
      <c r="D270">
        <f>SE('Dízimos Mensais'!A271="";"";0)</f>
        <v/>
      </c>
    </row>
    <row r="271">
      <c r="A271">
        <f>SE('Dízimos Mensais'!A272="";"";'Dízimos Mensais'!A272)</f>
        <v/>
      </c>
      <c r="B271">
        <f>SE('Dízimos Mensais'!A272="";"";"Dízimo - "&amp;'Dízimos Mensais'!B272)</f>
        <v/>
      </c>
      <c r="C271">
        <f>SE('Dízimos Mensais'!A272="";"";'Dízimos Mensais'!E272)</f>
        <v/>
      </c>
      <c r="D271">
        <f>SE('Dízimos Mensais'!A272="";"";0)</f>
        <v/>
      </c>
    </row>
    <row r="272">
      <c r="A272">
        <f>SE('Dízimos Mensais'!A273="";"";'Dízimos Mensais'!A273)</f>
        <v/>
      </c>
      <c r="B272">
        <f>SE('Dízimos Mensais'!A273="";"";"Dízimo - "&amp;'Dízimos Mensais'!B273)</f>
        <v/>
      </c>
      <c r="C272">
        <f>SE('Dízimos Mensais'!A273="";"";'Dízimos Mensais'!E273)</f>
        <v/>
      </c>
      <c r="D272">
        <f>SE('Dízimos Mensais'!A273="";"";0)</f>
        <v/>
      </c>
    </row>
    <row r="273">
      <c r="A273">
        <f>SE('Dízimos Mensais'!A274="";"";'Dízimos Mensais'!A274)</f>
        <v/>
      </c>
      <c r="B273">
        <f>SE('Dízimos Mensais'!A274="";"";"Dízimo - "&amp;'Dízimos Mensais'!B274)</f>
        <v/>
      </c>
      <c r="C273">
        <f>SE('Dízimos Mensais'!A274="";"";'Dízimos Mensais'!E274)</f>
        <v/>
      </c>
      <c r="D273">
        <f>SE('Dízimos Mensais'!A274="";"";0)</f>
        <v/>
      </c>
    </row>
    <row r="274">
      <c r="A274">
        <f>SE('Dízimos Mensais'!A275="";"";'Dízimos Mensais'!A275)</f>
        <v/>
      </c>
      <c r="B274">
        <f>SE('Dízimos Mensais'!A275="";"";"Dízimo - "&amp;'Dízimos Mensais'!B275)</f>
        <v/>
      </c>
      <c r="C274">
        <f>SE('Dízimos Mensais'!A275="";"";'Dízimos Mensais'!E275)</f>
        <v/>
      </c>
      <c r="D274">
        <f>SE('Dízimos Mensais'!A275="";"";0)</f>
        <v/>
      </c>
    </row>
    <row r="275">
      <c r="A275">
        <f>SE('Dízimos Mensais'!A276="";"";'Dízimos Mensais'!A276)</f>
        <v/>
      </c>
      <c r="B275">
        <f>SE('Dízimos Mensais'!A276="";"";"Dízimo - "&amp;'Dízimos Mensais'!B276)</f>
        <v/>
      </c>
      <c r="C275">
        <f>SE('Dízimos Mensais'!A276="";"";'Dízimos Mensais'!E276)</f>
        <v/>
      </c>
      <c r="D275">
        <f>SE('Dízimos Mensais'!A276="";"";0)</f>
        <v/>
      </c>
    </row>
    <row r="276">
      <c r="A276">
        <f>SE('Dízimos Mensais'!A277="";"";'Dízimos Mensais'!A277)</f>
        <v/>
      </c>
      <c r="B276">
        <f>SE('Dízimos Mensais'!A277="";"";"Dízimo - "&amp;'Dízimos Mensais'!B277)</f>
        <v/>
      </c>
      <c r="C276">
        <f>SE('Dízimos Mensais'!A277="";"";'Dízimos Mensais'!E277)</f>
        <v/>
      </c>
      <c r="D276">
        <f>SE('Dízimos Mensais'!A277="";"";0)</f>
        <v/>
      </c>
    </row>
    <row r="277">
      <c r="A277">
        <f>SE('Dízimos Mensais'!A278="";"";'Dízimos Mensais'!A278)</f>
        <v/>
      </c>
      <c r="B277">
        <f>SE('Dízimos Mensais'!A278="";"";"Dízimo - "&amp;'Dízimos Mensais'!B278)</f>
        <v/>
      </c>
      <c r="C277">
        <f>SE('Dízimos Mensais'!A278="";"";'Dízimos Mensais'!E278)</f>
        <v/>
      </c>
      <c r="D277">
        <f>SE('Dízimos Mensais'!A278="";"";0)</f>
        <v/>
      </c>
    </row>
    <row r="278">
      <c r="A278">
        <f>SE('Dízimos Mensais'!A279="";"";'Dízimos Mensais'!A279)</f>
        <v/>
      </c>
      <c r="B278">
        <f>SE('Dízimos Mensais'!A279="";"";"Dízimo - "&amp;'Dízimos Mensais'!B279)</f>
        <v/>
      </c>
      <c r="C278">
        <f>SE('Dízimos Mensais'!A279="";"";'Dízimos Mensais'!E279)</f>
        <v/>
      </c>
      <c r="D278">
        <f>SE('Dízimos Mensais'!A279="";"";0)</f>
        <v/>
      </c>
    </row>
    <row r="279">
      <c r="A279">
        <f>SE('Dízimos Mensais'!A280="";"";'Dízimos Mensais'!A280)</f>
        <v/>
      </c>
      <c r="B279">
        <f>SE('Dízimos Mensais'!A280="";"";"Dízimo - "&amp;'Dízimos Mensais'!B280)</f>
        <v/>
      </c>
      <c r="C279">
        <f>SE('Dízimos Mensais'!A280="";"";'Dízimos Mensais'!E280)</f>
        <v/>
      </c>
      <c r="D279">
        <f>SE('Dízimos Mensais'!A280="";"";0)</f>
        <v/>
      </c>
    </row>
    <row r="280">
      <c r="A280">
        <f>SE('Dízimos Mensais'!A281="";"";'Dízimos Mensais'!A281)</f>
        <v/>
      </c>
      <c r="B280">
        <f>SE('Dízimos Mensais'!A281="";"";"Dízimo - "&amp;'Dízimos Mensais'!B281)</f>
        <v/>
      </c>
      <c r="C280">
        <f>SE('Dízimos Mensais'!A281="";"";'Dízimos Mensais'!E281)</f>
        <v/>
      </c>
      <c r="D280">
        <f>SE('Dízimos Mensais'!A281="";"";0)</f>
        <v/>
      </c>
    </row>
    <row r="281">
      <c r="A281">
        <f>SE('Dízimos Mensais'!A282="";"";'Dízimos Mensais'!A282)</f>
        <v/>
      </c>
      <c r="B281">
        <f>SE('Dízimos Mensais'!A282="";"";"Dízimo - "&amp;'Dízimos Mensais'!B282)</f>
        <v/>
      </c>
      <c r="C281">
        <f>SE('Dízimos Mensais'!A282="";"";'Dízimos Mensais'!E282)</f>
        <v/>
      </c>
      <c r="D281">
        <f>SE('Dízimos Mensais'!A282="";"";0)</f>
        <v/>
      </c>
    </row>
    <row r="282">
      <c r="A282">
        <f>SE('Dízimos Mensais'!A283="";"";'Dízimos Mensais'!A283)</f>
        <v/>
      </c>
      <c r="B282">
        <f>SE('Dízimos Mensais'!A283="";"";"Dízimo - "&amp;'Dízimos Mensais'!B283)</f>
        <v/>
      </c>
      <c r="C282">
        <f>SE('Dízimos Mensais'!A283="";"";'Dízimos Mensais'!E283)</f>
        <v/>
      </c>
      <c r="D282">
        <f>SE('Dízimos Mensais'!A283="";"";0)</f>
        <v/>
      </c>
    </row>
    <row r="283">
      <c r="A283">
        <f>SE('Dízimos Mensais'!A284="";"";'Dízimos Mensais'!A284)</f>
        <v/>
      </c>
      <c r="B283">
        <f>SE('Dízimos Mensais'!A284="";"";"Dízimo - "&amp;'Dízimos Mensais'!B284)</f>
        <v/>
      </c>
      <c r="C283">
        <f>SE('Dízimos Mensais'!A284="";"";'Dízimos Mensais'!E284)</f>
        <v/>
      </c>
      <c r="D283">
        <f>SE('Dízimos Mensais'!A284="";"";0)</f>
        <v/>
      </c>
    </row>
    <row r="284">
      <c r="A284">
        <f>SE('Dízimos Mensais'!A285="";"";'Dízimos Mensais'!A285)</f>
        <v/>
      </c>
      <c r="B284">
        <f>SE('Dízimos Mensais'!A285="";"";"Dízimo - "&amp;'Dízimos Mensais'!B285)</f>
        <v/>
      </c>
      <c r="C284">
        <f>SE('Dízimos Mensais'!A285="";"";'Dízimos Mensais'!E285)</f>
        <v/>
      </c>
      <c r="D284">
        <f>SE('Dízimos Mensais'!A285="";"";0)</f>
        <v/>
      </c>
    </row>
    <row r="285">
      <c r="A285">
        <f>SE('Dízimos Mensais'!A286="";"";'Dízimos Mensais'!A286)</f>
        <v/>
      </c>
      <c r="B285">
        <f>SE('Dízimos Mensais'!A286="";"";"Dízimo - "&amp;'Dízimos Mensais'!B286)</f>
        <v/>
      </c>
      <c r="C285">
        <f>SE('Dízimos Mensais'!A286="";"";'Dízimos Mensais'!E286)</f>
        <v/>
      </c>
      <c r="D285">
        <f>SE('Dízimos Mensais'!A286="";"";0)</f>
        <v/>
      </c>
    </row>
    <row r="286">
      <c r="A286">
        <f>SE('Dízimos Mensais'!A287="";"";'Dízimos Mensais'!A287)</f>
        <v/>
      </c>
      <c r="B286">
        <f>SE('Dízimos Mensais'!A287="";"";"Dízimo - "&amp;'Dízimos Mensais'!B287)</f>
        <v/>
      </c>
      <c r="C286">
        <f>SE('Dízimos Mensais'!A287="";"";'Dízimos Mensais'!E287)</f>
        <v/>
      </c>
      <c r="D286">
        <f>SE('Dízimos Mensais'!A287="";"";0)</f>
        <v/>
      </c>
    </row>
    <row r="287">
      <c r="A287">
        <f>SE('Dízimos Mensais'!A288="";"";'Dízimos Mensais'!A288)</f>
        <v/>
      </c>
      <c r="B287">
        <f>SE('Dízimos Mensais'!A288="";"";"Dízimo - "&amp;'Dízimos Mensais'!B288)</f>
        <v/>
      </c>
      <c r="C287">
        <f>SE('Dízimos Mensais'!A288="";"";'Dízimos Mensais'!E288)</f>
        <v/>
      </c>
      <c r="D287">
        <f>SE('Dízimos Mensais'!A288="";"";0)</f>
        <v/>
      </c>
    </row>
    <row r="288">
      <c r="A288">
        <f>SE('Dízimos Mensais'!A289="";"";'Dízimos Mensais'!A289)</f>
        <v/>
      </c>
      <c r="B288">
        <f>SE('Dízimos Mensais'!A289="";"";"Dízimo - "&amp;'Dízimos Mensais'!B289)</f>
        <v/>
      </c>
      <c r="C288">
        <f>SE('Dízimos Mensais'!A289="";"";'Dízimos Mensais'!E289)</f>
        <v/>
      </c>
      <c r="D288">
        <f>SE('Dízimos Mensais'!A289="";"";0)</f>
        <v/>
      </c>
    </row>
    <row r="289">
      <c r="A289">
        <f>SE('Dízimos Mensais'!A290="";"";'Dízimos Mensais'!A290)</f>
        <v/>
      </c>
      <c r="B289">
        <f>SE('Dízimos Mensais'!A290="";"";"Dízimo - "&amp;'Dízimos Mensais'!B290)</f>
        <v/>
      </c>
      <c r="C289">
        <f>SE('Dízimos Mensais'!A290="";"";'Dízimos Mensais'!E290)</f>
        <v/>
      </c>
      <c r="D289">
        <f>SE('Dízimos Mensais'!A290="";"";0)</f>
        <v/>
      </c>
    </row>
    <row r="290">
      <c r="A290">
        <f>SE('Dízimos Mensais'!A291="";"";'Dízimos Mensais'!A291)</f>
        <v/>
      </c>
      <c r="B290">
        <f>SE('Dízimos Mensais'!A291="";"";"Dízimo - "&amp;'Dízimos Mensais'!B291)</f>
        <v/>
      </c>
      <c r="C290">
        <f>SE('Dízimos Mensais'!A291="";"";'Dízimos Mensais'!E291)</f>
        <v/>
      </c>
      <c r="D290">
        <f>SE('Dízimos Mensais'!A291="";"";0)</f>
        <v/>
      </c>
    </row>
    <row r="291">
      <c r="A291">
        <f>SE('Dízimos Mensais'!A292="";"";'Dízimos Mensais'!A292)</f>
        <v/>
      </c>
      <c r="B291">
        <f>SE('Dízimos Mensais'!A292="";"";"Dízimo - "&amp;'Dízimos Mensais'!B292)</f>
        <v/>
      </c>
      <c r="C291">
        <f>SE('Dízimos Mensais'!A292="";"";'Dízimos Mensais'!E292)</f>
        <v/>
      </c>
      <c r="D291">
        <f>SE('Dízimos Mensais'!A292="";"";0)</f>
        <v/>
      </c>
    </row>
    <row r="292">
      <c r="A292">
        <f>SE('Dízimos Mensais'!A293="";"";'Dízimos Mensais'!A293)</f>
        <v/>
      </c>
      <c r="B292">
        <f>SE('Dízimos Mensais'!A293="";"";"Dízimo - "&amp;'Dízimos Mensais'!B293)</f>
        <v/>
      </c>
      <c r="C292">
        <f>SE('Dízimos Mensais'!A293="";"";'Dízimos Mensais'!E293)</f>
        <v/>
      </c>
      <c r="D292">
        <f>SE('Dízimos Mensais'!A293="";"";0)</f>
        <v/>
      </c>
    </row>
    <row r="293">
      <c r="A293">
        <f>SE('Dízimos Mensais'!A294="";"";'Dízimos Mensais'!A294)</f>
        <v/>
      </c>
      <c r="B293">
        <f>SE('Dízimos Mensais'!A294="";"";"Dízimo - "&amp;'Dízimos Mensais'!B294)</f>
        <v/>
      </c>
      <c r="C293">
        <f>SE('Dízimos Mensais'!A294="";"";'Dízimos Mensais'!E294)</f>
        <v/>
      </c>
      <c r="D293">
        <f>SE('Dízimos Mensais'!A294="";"";0)</f>
        <v/>
      </c>
    </row>
    <row r="294">
      <c r="A294">
        <f>SE('Dízimos Mensais'!A295="";"";'Dízimos Mensais'!A295)</f>
        <v/>
      </c>
      <c r="B294">
        <f>SE('Dízimos Mensais'!A295="";"";"Dízimo - "&amp;'Dízimos Mensais'!B295)</f>
        <v/>
      </c>
      <c r="C294">
        <f>SE('Dízimos Mensais'!A295="";"";'Dízimos Mensais'!E295)</f>
        <v/>
      </c>
      <c r="D294">
        <f>SE('Dízimos Mensais'!A295="";"";0)</f>
        <v/>
      </c>
    </row>
    <row r="295">
      <c r="A295">
        <f>SE('Dízimos Mensais'!A296="";"";'Dízimos Mensais'!A296)</f>
        <v/>
      </c>
      <c r="B295">
        <f>SE('Dízimos Mensais'!A296="";"";"Dízimo - "&amp;'Dízimos Mensais'!B296)</f>
        <v/>
      </c>
      <c r="C295">
        <f>SE('Dízimos Mensais'!A296="";"";'Dízimos Mensais'!E296)</f>
        <v/>
      </c>
      <c r="D295">
        <f>SE('Dízimos Mensais'!A296="";"";0)</f>
        <v/>
      </c>
    </row>
    <row r="296">
      <c r="A296">
        <f>SE('Dízimos Mensais'!A297="";"";'Dízimos Mensais'!A297)</f>
        <v/>
      </c>
      <c r="B296">
        <f>SE('Dízimos Mensais'!A297="";"";"Dízimo - "&amp;'Dízimos Mensais'!B297)</f>
        <v/>
      </c>
      <c r="C296">
        <f>SE('Dízimos Mensais'!A297="";"";'Dízimos Mensais'!E297)</f>
        <v/>
      </c>
      <c r="D296">
        <f>SE('Dízimos Mensais'!A297="";"";0)</f>
        <v/>
      </c>
    </row>
    <row r="297">
      <c r="A297">
        <f>SE('Dízimos Mensais'!A298="";"";'Dízimos Mensais'!A298)</f>
        <v/>
      </c>
      <c r="B297">
        <f>SE('Dízimos Mensais'!A298="";"";"Dízimo - "&amp;'Dízimos Mensais'!B298)</f>
        <v/>
      </c>
      <c r="C297">
        <f>SE('Dízimos Mensais'!A298="";"";'Dízimos Mensais'!E298)</f>
        <v/>
      </c>
      <c r="D297">
        <f>SE('Dízimos Mensais'!A298="";"";0)</f>
        <v/>
      </c>
    </row>
    <row r="298">
      <c r="A298">
        <f>SE('Dízimos Mensais'!A299="";"";'Dízimos Mensais'!A299)</f>
        <v/>
      </c>
      <c r="B298">
        <f>SE('Dízimos Mensais'!A299="";"";"Dízimo - "&amp;'Dízimos Mensais'!B299)</f>
        <v/>
      </c>
      <c r="C298">
        <f>SE('Dízimos Mensais'!A299="";"";'Dízimos Mensais'!E299)</f>
        <v/>
      </c>
      <c r="D298">
        <f>SE('Dízimos Mensais'!A299="";"";0)</f>
        <v/>
      </c>
    </row>
    <row r="299">
      <c r="A299">
        <f>SE('Dízimos Mensais'!A300="";"";'Dízimos Mensais'!A300)</f>
        <v/>
      </c>
      <c r="B299">
        <f>SE('Dízimos Mensais'!A300="";"";"Dízimo - "&amp;'Dízimos Mensais'!B300)</f>
        <v/>
      </c>
      <c r="C299">
        <f>SE('Dízimos Mensais'!A300="";"";'Dízimos Mensais'!E300)</f>
        <v/>
      </c>
      <c r="D299">
        <f>SE('Dízimos Mensais'!A300="";"";0)</f>
        <v/>
      </c>
    </row>
    <row r="300">
      <c r="A300">
        <f>SE('Dízimos Mensais'!A301="";"";'Dízimos Mensais'!A301)</f>
        <v/>
      </c>
      <c r="B300">
        <f>SE('Dízimos Mensais'!A301="";"";"Dízimo - "&amp;'Dízimos Mensais'!B301)</f>
        <v/>
      </c>
      <c r="C300">
        <f>SE('Dízimos Mensais'!A301="";"";'Dízimos Mensais'!E301)</f>
        <v/>
      </c>
      <c r="D300">
        <f>SE('Dízimos Mensais'!A301="";"";0)</f>
        <v/>
      </c>
    </row>
    <row r="301">
      <c r="A301">
        <f>SE('Dízimos Mensais'!A302="";"";'Dízimos Mensais'!A302)</f>
        <v/>
      </c>
      <c r="B301">
        <f>SE('Dízimos Mensais'!A302="";"";"Dízimo - "&amp;'Dízimos Mensais'!B302)</f>
        <v/>
      </c>
      <c r="C301">
        <f>SE('Dízimos Mensais'!A302="";"";'Dízimos Mensais'!E302)</f>
        <v/>
      </c>
      <c r="D301">
        <f>SE('Dízimos Mensais'!A302="";"";0)</f>
        <v/>
      </c>
    </row>
    <row r="302">
      <c r="A302">
        <f>SE('Dízimos Mensais'!A303="";"";'Dízimos Mensais'!A303)</f>
        <v/>
      </c>
      <c r="B302">
        <f>SE('Dízimos Mensais'!A303="";"";"Dízimo - "&amp;'Dízimos Mensais'!B303)</f>
        <v/>
      </c>
      <c r="C302">
        <f>SE('Dízimos Mensais'!A303="";"";'Dízimos Mensais'!E303)</f>
        <v/>
      </c>
      <c r="D302">
        <f>SE('Dízimos Mensais'!A303="";"";0)</f>
        <v/>
      </c>
    </row>
    <row r="303">
      <c r="A303">
        <f>SE('Dízimos Mensais'!A304="";"";'Dízimos Mensais'!A304)</f>
        <v/>
      </c>
      <c r="B303">
        <f>SE('Dízimos Mensais'!A304="";"";"Dízimo - "&amp;'Dízimos Mensais'!B304)</f>
        <v/>
      </c>
      <c r="C303">
        <f>SE('Dízimos Mensais'!A304="";"";'Dízimos Mensais'!E304)</f>
        <v/>
      </c>
      <c r="D303">
        <f>SE('Dízimos Mensais'!A304="";"";0)</f>
        <v/>
      </c>
    </row>
    <row r="304">
      <c r="A304">
        <f>SE('Dízimos Mensais'!A305="";"";'Dízimos Mensais'!A305)</f>
        <v/>
      </c>
      <c r="B304">
        <f>SE('Dízimos Mensais'!A305="";"";"Dízimo - "&amp;'Dízimos Mensais'!B305)</f>
        <v/>
      </c>
      <c r="C304">
        <f>SE('Dízimos Mensais'!A305="";"";'Dízimos Mensais'!E305)</f>
        <v/>
      </c>
      <c r="D304">
        <f>SE('Dízimos Mensais'!A305="";"";0)</f>
        <v/>
      </c>
    </row>
    <row r="305">
      <c r="A305">
        <f>SE('Dízimos Mensais'!A306="";"";'Dízimos Mensais'!A306)</f>
        <v/>
      </c>
      <c r="B305">
        <f>SE('Dízimos Mensais'!A306="";"";"Dízimo - "&amp;'Dízimos Mensais'!B306)</f>
        <v/>
      </c>
      <c r="C305">
        <f>SE('Dízimos Mensais'!A306="";"";'Dízimos Mensais'!E306)</f>
        <v/>
      </c>
      <c r="D305">
        <f>SE('Dízimos Mensais'!A306="";"";0)</f>
        <v/>
      </c>
    </row>
    <row r="306">
      <c r="A306">
        <f>SE('Dízimos Mensais'!A307="";"";'Dízimos Mensais'!A307)</f>
        <v/>
      </c>
      <c r="B306">
        <f>SE('Dízimos Mensais'!A307="";"";"Dízimo - "&amp;'Dízimos Mensais'!B307)</f>
        <v/>
      </c>
      <c r="C306">
        <f>SE('Dízimos Mensais'!A307="";"";'Dízimos Mensais'!E307)</f>
        <v/>
      </c>
      <c r="D306">
        <f>SE('Dízimos Mensais'!A307="";"";0)</f>
        <v/>
      </c>
    </row>
    <row r="307">
      <c r="A307">
        <f>SE('Dízimos Mensais'!A308="";"";'Dízimos Mensais'!A308)</f>
        <v/>
      </c>
      <c r="B307">
        <f>SE('Dízimos Mensais'!A308="";"";"Dízimo - "&amp;'Dízimos Mensais'!B308)</f>
        <v/>
      </c>
      <c r="C307">
        <f>SE('Dízimos Mensais'!A308="";"";'Dízimos Mensais'!E308)</f>
        <v/>
      </c>
      <c r="D307">
        <f>SE('Dízimos Mensais'!A308="";"";0)</f>
        <v/>
      </c>
    </row>
    <row r="308">
      <c r="A308">
        <f>SE('Dízimos Mensais'!A309="";"";'Dízimos Mensais'!A309)</f>
        <v/>
      </c>
      <c r="B308">
        <f>SE('Dízimos Mensais'!A309="";"";"Dízimo - "&amp;'Dízimos Mensais'!B309)</f>
        <v/>
      </c>
      <c r="C308">
        <f>SE('Dízimos Mensais'!A309="";"";'Dízimos Mensais'!E309)</f>
        <v/>
      </c>
      <c r="D308">
        <f>SE('Dízimos Mensais'!A309="";"";0)</f>
        <v/>
      </c>
    </row>
    <row r="309">
      <c r="A309">
        <f>SE('Dízimos Mensais'!A310="";"";'Dízimos Mensais'!A310)</f>
        <v/>
      </c>
      <c r="B309">
        <f>SE('Dízimos Mensais'!A310="";"";"Dízimo - "&amp;'Dízimos Mensais'!B310)</f>
        <v/>
      </c>
      <c r="C309">
        <f>SE('Dízimos Mensais'!A310="";"";'Dízimos Mensais'!E310)</f>
        <v/>
      </c>
      <c r="D309">
        <f>SE('Dízimos Mensais'!A310="";"";0)</f>
        <v/>
      </c>
    </row>
    <row r="310">
      <c r="A310">
        <f>SE('Dízimos Mensais'!A311="";"";'Dízimos Mensais'!A311)</f>
        <v/>
      </c>
      <c r="B310">
        <f>SE('Dízimos Mensais'!A311="";"";"Dízimo - "&amp;'Dízimos Mensais'!B311)</f>
        <v/>
      </c>
      <c r="C310">
        <f>SE('Dízimos Mensais'!A311="";"";'Dízimos Mensais'!E311)</f>
        <v/>
      </c>
      <c r="D310">
        <f>SE('Dízimos Mensais'!A311="";"";0)</f>
        <v/>
      </c>
    </row>
    <row r="311">
      <c r="A311">
        <f>SE('Dízimos Mensais'!A312="";"";'Dízimos Mensais'!A312)</f>
        <v/>
      </c>
      <c r="B311">
        <f>SE('Dízimos Mensais'!A312="";"";"Dízimo - "&amp;'Dízimos Mensais'!B312)</f>
        <v/>
      </c>
      <c r="C311">
        <f>SE('Dízimos Mensais'!A312="";"";'Dízimos Mensais'!E312)</f>
        <v/>
      </c>
      <c r="D311">
        <f>SE('Dízimos Mensais'!A312="";"";0)</f>
        <v/>
      </c>
    </row>
    <row r="312">
      <c r="A312">
        <f>SE('Dízimos Mensais'!A313="";"";'Dízimos Mensais'!A313)</f>
        <v/>
      </c>
      <c r="B312">
        <f>SE('Dízimos Mensais'!A313="";"";"Dízimo - "&amp;'Dízimos Mensais'!B313)</f>
        <v/>
      </c>
      <c r="C312">
        <f>SE('Dízimos Mensais'!A313="";"";'Dízimos Mensais'!E313)</f>
        <v/>
      </c>
      <c r="D312">
        <f>SE('Dízimos Mensais'!A313="";"";0)</f>
        <v/>
      </c>
    </row>
    <row r="313">
      <c r="A313">
        <f>SE('Dízimos Mensais'!A314="";"";'Dízimos Mensais'!A314)</f>
        <v/>
      </c>
      <c r="B313">
        <f>SE('Dízimos Mensais'!A314="";"";"Dízimo - "&amp;'Dízimos Mensais'!B314)</f>
        <v/>
      </c>
      <c r="C313">
        <f>SE('Dízimos Mensais'!A314="";"";'Dízimos Mensais'!E314)</f>
        <v/>
      </c>
      <c r="D313">
        <f>SE('Dízimos Mensais'!A314="";"";0)</f>
        <v/>
      </c>
    </row>
    <row r="314">
      <c r="A314">
        <f>SE('Dízimos Mensais'!A315="";"";'Dízimos Mensais'!A315)</f>
        <v/>
      </c>
      <c r="B314">
        <f>SE('Dízimos Mensais'!A315="";"";"Dízimo - "&amp;'Dízimos Mensais'!B315)</f>
        <v/>
      </c>
      <c r="C314">
        <f>SE('Dízimos Mensais'!A315="";"";'Dízimos Mensais'!E315)</f>
        <v/>
      </c>
      <c r="D314">
        <f>SE('Dízimos Mensais'!A315="";"";0)</f>
        <v/>
      </c>
    </row>
    <row r="315">
      <c r="A315">
        <f>SE('Dízimos Mensais'!A316="";"";'Dízimos Mensais'!A316)</f>
        <v/>
      </c>
      <c r="B315">
        <f>SE('Dízimos Mensais'!A316="";"";"Dízimo - "&amp;'Dízimos Mensais'!B316)</f>
        <v/>
      </c>
      <c r="C315">
        <f>SE('Dízimos Mensais'!A316="";"";'Dízimos Mensais'!E316)</f>
        <v/>
      </c>
      <c r="D315">
        <f>SE('Dízimos Mensais'!A316="";"";0)</f>
        <v/>
      </c>
    </row>
    <row r="316">
      <c r="A316">
        <f>SE('Dízimos Mensais'!A317="";"";'Dízimos Mensais'!A317)</f>
        <v/>
      </c>
      <c r="B316">
        <f>SE('Dízimos Mensais'!A317="";"";"Dízimo - "&amp;'Dízimos Mensais'!B317)</f>
        <v/>
      </c>
      <c r="C316">
        <f>SE('Dízimos Mensais'!A317="";"";'Dízimos Mensais'!E317)</f>
        <v/>
      </c>
      <c r="D316">
        <f>SE('Dízimos Mensais'!A317="";"";0)</f>
        <v/>
      </c>
    </row>
    <row r="317">
      <c r="A317">
        <f>SE('Dízimos Mensais'!A318="";"";'Dízimos Mensais'!A318)</f>
        <v/>
      </c>
      <c r="B317">
        <f>SE('Dízimos Mensais'!A318="";"";"Dízimo - "&amp;'Dízimos Mensais'!B318)</f>
        <v/>
      </c>
      <c r="C317">
        <f>SE('Dízimos Mensais'!A318="";"";'Dízimos Mensais'!E318)</f>
        <v/>
      </c>
      <c r="D317">
        <f>SE('Dízimos Mensais'!A318="";"";0)</f>
        <v/>
      </c>
    </row>
    <row r="318">
      <c r="A318">
        <f>SE('Dízimos Mensais'!A319="";"";'Dízimos Mensais'!A319)</f>
        <v/>
      </c>
      <c r="B318">
        <f>SE('Dízimos Mensais'!A319="";"";"Dízimo - "&amp;'Dízimos Mensais'!B319)</f>
        <v/>
      </c>
      <c r="C318">
        <f>SE('Dízimos Mensais'!A319="";"";'Dízimos Mensais'!E319)</f>
        <v/>
      </c>
      <c r="D318">
        <f>SE('Dízimos Mensais'!A319="";"";0)</f>
        <v/>
      </c>
    </row>
    <row r="319">
      <c r="A319">
        <f>SE('Dízimos Mensais'!A320="";"";'Dízimos Mensais'!A320)</f>
        <v/>
      </c>
      <c r="B319">
        <f>SE('Dízimos Mensais'!A320="";"";"Dízimo - "&amp;'Dízimos Mensais'!B320)</f>
        <v/>
      </c>
      <c r="C319">
        <f>SE('Dízimos Mensais'!A320="";"";'Dízimos Mensais'!E320)</f>
        <v/>
      </c>
      <c r="D319">
        <f>SE('Dízimos Mensais'!A320="";"";0)</f>
        <v/>
      </c>
    </row>
    <row r="320">
      <c r="A320">
        <f>SE('Dízimos Mensais'!A321="";"";'Dízimos Mensais'!A321)</f>
        <v/>
      </c>
      <c r="B320">
        <f>SE('Dízimos Mensais'!A321="";"";"Dízimo - "&amp;'Dízimos Mensais'!B321)</f>
        <v/>
      </c>
      <c r="C320">
        <f>SE('Dízimos Mensais'!A321="";"";'Dízimos Mensais'!E321)</f>
        <v/>
      </c>
      <c r="D320">
        <f>SE('Dízimos Mensais'!A321="";"";0)</f>
        <v/>
      </c>
    </row>
    <row r="321">
      <c r="A321">
        <f>SE('Dízimos Mensais'!A322="";"";'Dízimos Mensais'!A322)</f>
        <v/>
      </c>
      <c r="B321">
        <f>SE('Dízimos Mensais'!A322="";"";"Dízimo - "&amp;'Dízimos Mensais'!B322)</f>
        <v/>
      </c>
      <c r="C321">
        <f>SE('Dízimos Mensais'!A322="";"";'Dízimos Mensais'!E322)</f>
        <v/>
      </c>
      <c r="D321">
        <f>SE('Dízimos Mensais'!A322="";"";0)</f>
        <v/>
      </c>
    </row>
    <row r="322">
      <c r="A322">
        <f>SE('Dízimos Mensais'!A323="";"";'Dízimos Mensais'!A323)</f>
        <v/>
      </c>
      <c r="B322">
        <f>SE('Dízimos Mensais'!A323="";"";"Dízimo - "&amp;'Dízimos Mensais'!B323)</f>
        <v/>
      </c>
      <c r="C322">
        <f>SE('Dízimos Mensais'!A323="";"";'Dízimos Mensais'!E323)</f>
        <v/>
      </c>
      <c r="D322">
        <f>SE('Dízimos Mensais'!A323="";"";0)</f>
        <v/>
      </c>
    </row>
    <row r="323">
      <c r="A323">
        <f>SE('Dízimos Mensais'!A324="";"";'Dízimos Mensais'!A324)</f>
        <v/>
      </c>
      <c r="B323">
        <f>SE('Dízimos Mensais'!A324="";"";"Dízimo - "&amp;'Dízimos Mensais'!B324)</f>
        <v/>
      </c>
      <c r="C323">
        <f>SE('Dízimos Mensais'!A324="";"";'Dízimos Mensais'!E324)</f>
        <v/>
      </c>
      <c r="D323">
        <f>SE('Dízimos Mensais'!A324="";"";0)</f>
        <v/>
      </c>
    </row>
    <row r="324">
      <c r="A324">
        <f>SE('Dízimos Mensais'!A325="";"";'Dízimos Mensais'!A325)</f>
        <v/>
      </c>
      <c r="B324">
        <f>SE('Dízimos Mensais'!A325="";"";"Dízimo - "&amp;'Dízimos Mensais'!B325)</f>
        <v/>
      </c>
      <c r="C324">
        <f>SE('Dízimos Mensais'!A325="";"";'Dízimos Mensais'!E325)</f>
        <v/>
      </c>
      <c r="D324">
        <f>SE('Dízimos Mensais'!A325="";"";0)</f>
        <v/>
      </c>
    </row>
    <row r="325">
      <c r="A325">
        <f>SE('Dízimos Mensais'!A326="";"";'Dízimos Mensais'!A326)</f>
        <v/>
      </c>
      <c r="B325">
        <f>SE('Dízimos Mensais'!A326="";"";"Dízimo - "&amp;'Dízimos Mensais'!B326)</f>
        <v/>
      </c>
      <c r="C325">
        <f>SE('Dízimos Mensais'!A326="";"";'Dízimos Mensais'!E326)</f>
        <v/>
      </c>
      <c r="D325">
        <f>SE('Dízimos Mensais'!A326="";"";0)</f>
        <v/>
      </c>
    </row>
    <row r="326">
      <c r="A326">
        <f>SE('Dízimos Mensais'!A327="";"";'Dízimos Mensais'!A327)</f>
        <v/>
      </c>
      <c r="B326">
        <f>SE('Dízimos Mensais'!A327="";"";"Dízimo - "&amp;'Dízimos Mensais'!B327)</f>
        <v/>
      </c>
      <c r="C326">
        <f>SE('Dízimos Mensais'!A327="";"";'Dízimos Mensais'!E327)</f>
        <v/>
      </c>
      <c r="D326">
        <f>SE('Dízimos Mensais'!A327="";"";0)</f>
        <v/>
      </c>
    </row>
    <row r="327">
      <c r="A327">
        <f>SE('Dízimos Mensais'!A328="";"";'Dízimos Mensais'!A328)</f>
        <v/>
      </c>
      <c r="B327">
        <f>SE('Dízimos Mensais'!A328="";"";"Dízimo - "&amp;'Dízimos Mensais'!B328)</f>
        <v/>
      </c>
      <c r="C327">
        <f>SE('Dízimos Mensais'!A328="";"";'Dízimos Mensais'!E328)</f>
        <v/>
      </c>
      <c r="D327">
        <f>SE('Dízimos Mensais'!A328="";"";0)</f>
        <v/>
      </c>
    </row>
    <row r="328">
      <c r="A328">
        <f>SE('Dízimos Mensais'!A329="";"";'Dízimos Mensais'!A329)</f>
        <v/>
      </c>
      <c r="B328">
        <f>SE('Dízimos Mensais'!A329="";"";"Dízimo - "&amp;'Dízimos Mensais'!B329)</f>
        <v/>
      </c>
      <c r="C328">
        <f>SE('Dízimos Mensais'!A329="";"";'Dízimos Mensais'!E329)</f>
        <v/>
      </c>
      <c r="D328">
        <f>SE('Dízimos Mensais'!A329="";"";0)</f>
        <v/>
      </c>
    </row>
    <row r="329">
      <c r="A329">
        <f>SE('Dízimos Mensais'!A330="";"";'Dízimos Mensais'!A330)</f>
        <v/>
      </c>
      <c r="B329">
        <f>SE('Dízimos Mensais'!A330="";"";"Dízimo - "&amp;'Dízimos Mensais'!B330)</f>
        <v/>
      </c>
      <c r="C329">
        <f>SE('Dízimos Mensais'!A330="";"";'Dízimos Mensais'!E330)</f>
        <v/>
      </c>
      <c r="D329">
        <f>SE('Dízimos Mensais'!A330="";"";0)</f>
        <v/>
      </c>
    </row>
    <row r="330">
      <c r="A330">
        <f>SE('Dízimos Mensais'!A331="";"";'Dízimos Mensais'!A331)</f>
        <v/>
      </c>
      <c r="B330">
        <f>SE('Dízimos Mensais'!A331="";"";"Dízimo - "&amp;'Dízimos Mensais'!B331)</f>
        <v/>
      </c>
      <c r="C330">
        <f>SE('Dízimos Mensais'!A331="";"";'Dízimos Mensais'!E331)</f>
        <v/>
      </c>
      <c r="D330">
        <f>SE('Dízimos Mensais'!A331="";"";0)</f>
        <v/>
      </c>
    </row>
    <row r="331">
      <c r="A331">
        <f>SE('Dízimos Mensais'!A332="";"";'Dízimos Mensais'!A332)</f>
        <v/>
      </c>
      <c r="B331">
        <f>SE('Dízimos Mensais'!A332="";"";"Dízimo - "&amp;'Dízimos Mensais'!B332)</f>
        <v/>
      </c>
      <c r="C331">
        <f>SE('Dízimos Mensais'!A332="";"";'Dízimos Mensais'!E332)</f>
        <v/>
      </c>
      <c r="D331">
        <f>SE('Dízimos Mensais'!A332="";"";0)</f>
        <v/>
      </c>
    </row>
    <row r="332">
      <c r="A332">
        <f>SE('Dízimos Mensais'!A333="";"";'Dízimos Mensais'!A333)</f>
        <v/>
      </c>
      <c r="B332">
        <f>SE('Dízimos Mensais'!A333="";"";"Dízimo - "&amp;'Dízimos Mensais'!B333)</f>
        <v/>
      </c>
      <c r="C332">
        <f>SE('Dízimos Mensais'!A333="";"";'Dízimos Mensais'!E333)</f>
        <v/>
      </c>
      <c r="D332">
        <f>SE('Dízimos Mensais'!A333="";"";0)</f>
        <v/>
      </c>
    </row>
    <row r="333">
      <c r="A333">
        <f>SE('Dízimos Mensais'!A334="";"";'Dízimos Mensais'!A334)</f>
        <v/>
      </c>
      <c r="B333">
        <f>SE('Dízimos Mensais'!A334="";"";"Dízimo - "&amp;'Dízimos Mensais'!B334)</f>
        <v/>
      </c>
      <c r="C333">
        <f>SE('Dízimos Mensais'!A334="";"";'Dízimos Mensais'!E334)</f>
        <v/>
      </c>
      <c r="D333">
        <f>SE('Dízimos Mensais'!A334="";"";0)</f>
        <v/>
      </c>
    </row>
    <row r="334">
      <c r="A334">
        <f>SE('Dízimos Mensais'!A335="";"";'Dízimos Mensais'!A335)</f>
        <v/>
      </c>
      <c r="B334">
        <f>SE('Dízimos Mensais'!A335="";"";"Dízimo - "&amp;'Dízimos Mensais'!B335)</f>
        <v/>
      </c>
      <c r="C334">
        <f>SE('Dízimos Mensais'!A335="";"";'Dízimos Mensais'!E335)</f>
        <v/>
      </c>
      <c r="D334">
        <f>SE('Dízimos Mensais'!A335="";"";0)</f>
        <v/>
      </c>
    </row>
    <row r="335">
      <c r="A335">
        <f>SE('Dízimos Mensais'!A336="";"";'Dízimos Mensais'!A336)</f>
        <v/>
      </c>
      <c r="B335">
        <f>SE('Dízimos Mensais'!A336="";"";"Dízimo - "&amp;'Dízimos Mensais'!B336)</f>
        <v/>
      </c>
      <c r="C335">
        <f>SE('Dízimos Mensais'!A336="";"";'Dízimos Mensais'!E336)</f>
        <v/>
      </c>
      <c r="D335">
        <f>SE('Dízimos Mensais'!A336="";"";0)</f>
        <v/>
      </c>
    </row>
    <row r="336">
      <c r="A336">
        <f>SE('Dízimos Mensais'!A337="";"";'Dízimos Mensais'!A337)</f>
        <v/>
      </c>
      <c r="B336">
        <f>SE('Dízimos Mensais'!A337="";"";"Dízimo - "&amp;'Dízimos Mensais'!B337)</f>
        <v/>
      </c>
      <c r="C336">
        <f>SE('Dízimos Mensais'!A337="";"";'Dízimos Mensais'!E337)</f>
        <v/>
      </c>
      <c r="D336">
        <f>SE('Dízimos Mensais'!A337="";"";0)</f>
        <v/>
      </c>
    </row>
    <row r="337">
      <c r="A337">
        <f>SE('Dízimos Mensais'!A338="";"";'Dízimos Mensais'!A338)</f>
        <v/>
      </c>
      <c r="B337">
        <f>SE('Dízimos Mensais'!A338="";"";"Dízimo - "&amp;'Dízimos Mensais'!B338)</f>
        <v/>
      </c>
      <c r="C337">
        <f>SE('Dízimos Mensais'!A338="";"";'Dízimos Mensais'!E338)</f>
        <v/>
      </c>
      <c r="D337">
        <f>SE('Dízimos Mensais'!A338="";"";0)</f>
        <v/>
      </c>
    </row>
    <row r="338">
      <c r="A338">
        <f>SE('Dízimos Mensais'!A339="";"";'Dízimos Mensais'!A339)</f>
        <v/>
      </c>
      <c r="B338">
        <f>SE('Dízimos Mensais'!A339="";"";"Dízimo - "&amp;'Dízimos Mensais'!B339)</f>
        <v/>
      </c>
      <c r="C338">
        <f>SE('Dízimos Mensais'!A339="";"";'Dízimos Mensais'!E339)</f>
        <v/>
      </c>
      <c r="D338">
        <f>SE('Dízimos Mensais'!A339="";"";0)</f>
        <v/>
      </c>
    </row>
    <row r="339">
      <c r="A339">
        <f>SE('Dízimos Mensais'!A340="";"";'Dízimos Mensais'!A340)</f>
        <v/>
      </c>
      <c r="B339">
        <f>SE('Dízimos Mensais'!A340="";"";"Dízimo - "&amp;'Dízimos Mensais'!B340)</f>
        <v/>
      </c>
      <c r="C339">
        <f>SE('Dízimos Mensais'!A340="";"";'Dízimos Mensais'!E340)</f>
        <v/>
      </c>
      <c r="D339">
        <f>SE('Dízimos Mensais'!A340="";"";0)</f>
        <v/>
      </c>
    </row>
    <row r="340">
      <c r="A340">
        <f>SE('Dízimos Mensais'!A341="";"";'Dízimos Mensais'!A341)</f>
        <v/>
      </c>
      <c r="B340">
        <f>SE('Dízimos Mensais'!A341="";"";"Dízimo - "&amp;'Dízimos Mensais'!B341)</f>
        <v/>
      </c>
      <c r="C340">
        <f>SE('Dízimos Mensais'!A341="";"";'Dízimos Mensais'!E341)</f>
        <v/>
      </c>
      <c r="D340">
        <f>SE('Dízimos Mensais'!A341="";"";0)</f>
        <v/>
      </c>
    </row>
    <row r="341">
      <c r="A341">
        <f>SE('Dízimos Mensais'!A342="";"";'Dízimos Mensais'!A342)</f>
        <v/>
      </c>
      <c r="B341">
        <f>SE('Dízimos Mensais'!A342="";"";"Dízimo - "&amp;'Dízimos Mensais'!B342)</f>
        <v/>
      </c>
      <c r="C341">
        <f>SE('Dízimos Mensais'!A342="";"";'Dízimos Mensais'!E342)</f>
        <v/>
      </c>
      <c r="D341">
        <f>SE('Dízimos Mensais'!A342="";"";0)</f>
        <v/>
      </c>
    </row>
    <row r="342">
      <c r="A342">
        <f>SE('Dízimos Mensais'!A343="";"";'Dízimos Mensais'!A343)</f>
        <v/>
      </c>
      <c r="B342">
        <f>SE('Dízimos Mensais'!A343="";"";"Dízimo - "&amp;'Dízimos Mensais'!B343)</f>
        <v/>
      </c>
      <c r="C342">
        <f>SE('Dízimos Mensais'!A343="";"";'Dízimos Mensais'!E343)</f>
        <v/>
      </c>
      <c r="D342">
        <f>SE('Dízimos Mensais'!A343="";"";0)</f>
        <v/>
      </c>
    </row>
    <row r="343">
      <c r="A343">
        <f>SE('Dízimos Mensais'!A344="";"";'Dízimos Mensais'!A344)</f>
        <v/>
      </c>
      <c r="B343">
        <f>SE('Dízimos Mensais'!A344="";"";"Dízimo - "&amp;'Dízimos Mensais'!B344)</f>
        <v/>
      </c>
      <c r="C343">
        <f>SE('Dízimos Mensais'!A344="";"";'Dízimos Mensais'!E344)</f>
        <v/>
      </c>
      <c r="D343">
        <f>SE('Dízimos Mensais'!A344="";"";0)</f>
        <v/>
      </c>
    </row>
    <row r="344">
      <c r="A344">
        <f>SE('Dízimos Mensais'!A345="";"";'Dízimos Mensais'!A345)</f>
        <v/>
      </c>
      <c r="B344">
        <f>SE('Dízimos Mensais'!A345="";"";"Dízimo - "&amp;'Dízimos Mensais'!B345)</f>
        <v/>
      </c>
      <c r="C344">
        <f>SE('Dízimos Mensais'!A345="";"";'Dízimos Mensais'!E345)</f>
        <v/>
      </c>
      <c r="D344">
        <f>SE('Dízimos Mensais'!A345="";"";0)</f>
        <v/>
      </c>
    </row>
    <row r="345">
      <c r="A345">
        <f>SE('Dízimos Mensais'!A346="";"";'Dízimos Mensais'!A346)</f>
        <v/>
      </c>
      <c r="B345">
        <f>SE('Dízimos Mensais'!A346="";"";"Dízimo - "&amp;'Dízimos Mensais'!B346)</f>
        <v/>
      </c>
      <c r="C345">
        <f>SE('Dízimos Mensais'!A346="";"";'Dízimos Mensais'!E346)</f>
        <v/>
      </c>
      <c r="D345">
        <f>SE('Dízimos Mensais'!A346="";"";0)</f>
        <v/>
      </c>
    </row>
    <row r="346">
      <c r="A346">
        <f>SE('Dízimos Mensais'!A347="";"";'Dízimos Mensais'!A347)</f>
        <v/>
      </c>
      <c r="B346">
        <f>SE('Dízimos Mensais'!A347="";"";"Dízimo - "&amp;'Dízimos Mensais'!B347)</f>
        <v/>
      </c>
      <c r="C346">
        <f>SE('Dízimos Mensais'!A347="";"";'Dízimos Mensais'!E347)</f>
        <v/>
      </c>
      <c r="D346">
        <f>SE('Dízimos Mensais'!A347="";"";0)</f>
        <v/>
      </c>
    </row>
    <row r="347">
      <c r="A347">
        <f>SE('Dízimos Mensais'!A348="";"";'Dízimos Mensais'!A348)</f>
        <v/>
      </c>
      <c r="B347">
        <f>SE('Dízimos Mensais'!A348="";"";"Dízimo - "&amp;'Dízimos Mensais'!B348)</f>
        <v/>
      </c>
      <c r="C347">
        <f>SE('Dízimos Mensais'!A348="";"";'Dízimos Mensais'!E348)</f>
        <v/>
      </c>
      <c r="D347">
        <f>SE('Dízimos Mensais'!A348="";"";0)</f>
        <v/>
      </c>
    </row>
    <row r="348">
      <c r="A348">
        <f>SE('Dízimos Mensais'!A349="";"";'Dízimos Mensais'!A349)</f>
        <v/>
      </c>
      <c r="B348">
        <f>SE('Dízimos Mensais'!A349="";"";"Dízimo - "&amp;'Dízimos Mensais'!B349)</f>
        <v/>
      </c>
      <c r="C348">
        <f>SE('Dízimos Mensais'!A349="";"";'Dízimos Mensais'!E349)</f>
        <v/>
      </c>
      <c r="D348">
        <f>SE('Dízimos Mensais'!A349="";"";0)</f>
        <v/>
      </c>
    </row>
    <row r="349">
      <c r="A349">
        <f>SE('Dízimos Mensais'!A350="";"";'Dízimos Mensais'!A350)</f>
        <v/>
      </c>
      <c r="B349">
        <f>SE('Dízimos Mensais'!A350="";"";"Dízimo - "&amp;'Dízimos Mensais'!B350)</f>
        <v/>
      </c>
      <c r="C349">
        <f>SE('Dízimos Mensais'!A350="";"";'Dízimos Mensais'!E350)</f>
        <v/>
      </c>
      <c r="D349">
        <f>SE('Dízimos Mensais'!A350="";"";0)</f>
        <v/>
      </c>
    </row>
    <row r="350">
      <c r="A350">
        <f>SE('Dízimos Mensais'!A351="";"";'Dízimos Mensais'!A351)</f>
        <v/>
      </c>
      <c r="B350">
        <f>SE('Dízimos Mensais'!A351="";"";"Dízimo - "&amp;'Dízimos Mensais'!B351)</f>
        <v/>
      </c>
      <c r="C350">
        <f>SE('Dízimos Mensais'!A351="";"";'Dízimos Mensais'!E351)</f>
        <v/>
      </c>
      <c r="D350">
        <f>SE('Dízimos Mensais'!A351="";"";0)</f>
        <v/>
      </c>
    </row>
    <row r="351">
      <c r="A351">
        <f>SE('Dízimos Mensais'!A352="";"";'Dízimos Mensais'!A352)</f>
        <v/>
      </c>
      <c r="B351">
        <f>SE('Dízimos Mensais'!A352="";"";"Dízimo - "&amp;'Dízimos Mensais'!B352)</f>
        <v/>
      </c>
      <c r="C351">
        <f>SE('Dízimos Mensais'!A352="";"";'Dízimos Mensais'!E352)</f>
        <v/>
      </c>
      <c r="D351">
        <f>SE('Dízimos Mensais'!A352="";"";0)</f>
        <v/>
      </c>
    </row>
    <row r="352">
      <c r="A352">
        <f>SE('Dízimos Mensais'!A353="";"";'Dízimos Mensais'!A353)</f>
        <v/>
      </c>
      <c r="B352">
        <f>SE('Dízimos Mensais'!A353="";"";"Dízimo - "&amp;'Dízimos Mensais'!B353)</f>
        <v/>
      </c>
      <c r="C352">
        <f>SE('Dízimos Mensais'!A353="";"";'Dízimos Mensais'!E353)</f>
        <v/>
      </c>
      <c r="D352">
        <f>SE('Dízimos Mensais'!A353="";"";0)</f>
        <v/>
      </c>
    </row>
    <row r="353">
      <c r="A353">
        <f>SE('Dízimos Mensais'!A354="";"";'Dízimos Mensais'!A354)</f>
        <v/>
      </c>
      <c r="B353">
        <f>SE('Dízimos Mensais'!A354="";"";"Dízimo - "&amp;'Dízimos Mensais'!B354)</f>
        <v/>
      </c>
      <c r="C353">
        <f>SE('Dízimos Mensais'!A354="";"";'Dízimos Mensais'!E354)</f>
        <v/>
      </c>
      <c r="D353">
        <f>SE('Dízimos Mensais'!A354="";"";0)</f>
        <v/>
      </c>
    </row>
    <row r="354">
      <c r="A354">
        <f>SE('Dízimos Mensais'!A355="";"";'Dízimos Mensais'!A355)</f>
        <v/>
      </c>
      <c r="B354">
        <f>SE('Dízimos Mensais'!A355="";"";"Dízimo - "&amp;'Dízimos Mensais'!B355)</f>
        <v/>
      </c>
      <c r="C354">
        <f>SE('Dízimos Mensais'!A355="";"";'Dízimos Mensais'!E355)</f>
        <v/>
      </c>
      <c r="D354">
        <f>SE('Dízimos Mensais'!A355="";"";0)</f>
        <v/>
      </c>
    </row>
    <row r="355">
      <c r="A355">
        <f>SE('Dízimos Mensais'!A356="";"";'Dízimos Mensais'!A356)</f>
        <v/>
      </c>
      <c r="B355">
        <f>SE('Dízimos Mensais'!A356="";"";"Dízimo - "&amp;'Dízimos Mensais'!B356)</f>
        <v/>
      </c>
      <c r="C355">
        <f>SE('Dízimos Mensais'!A356="";"";'Dízimos Mensais'!E356)</f>
        <v/>
      </c>
      <c r="D355">
        <f>SE('Dízimos Mensais'!A356="";"";0)</f>
        <v/>
      </c>
    </row>
    <row r="356">
      <c r="A356">
        <f>SE('Dízimos Mensais'!A357="";"";'Dízimos Mensais'!A357)</f>
        <v/>
      </c>
      <c r="B356">
        <f>SE('Dízimos Mensais'!A357="";"";"Dízimo - "&amp;'Dízimos Mensais'!B357)</f>
        <v/>
      </c>
      <c r="C356">
        <f>SE('Dízimos Mensais'!A357="";"";'Dízimos Mensais'!E357)</f>
        <v/>
      </c>
      <c r="D356">
        <f>SE('Dízimos Mensais'!A357="";"";0)</f>
        <v/>
      </c>
    </row>
    <row r="357">
      <c r="A357">
        <f>SE('Dízimos Mensais'!A358="";"";'Dízimos Mensais'!A358)</f>
        <v/>
      </c>
      <c r="B357">
        <f>SE('Dízimos Mensais'!A358="";"";"Dízimo - "&amp;'Dízimos Mensais'!B358)</f>
        <v/>
      </c>
      <c r="C357">
        <f>SE('Dízimos Mensais'!A358="";"";'Dízimos Mensais'!E358)</f>
        <v/>
      </c>
      <c r="D357">
        <f>SE('Dízimos Mensais'!A358="";"";0)</f>
        <v/>
      </c>
    </row>
    <row r="358">
      <c r="A358">
        <f>SE('Dízimos Mensais'!A359="";"";'Dízimos Mensais'!A359)</f>
        <v/>
      </c>
      <c r="B358">
        <f>SE('Dízimos Mensais'!A359="";"";"Dízimo - "&amp;'Dízimos Mensais'!B359)</f>
        <v/>
      </c>
      <c r="C358">
        <f>SE('Dízimos Mensais'!A359="";"";'Dízimos Mensais'!E359)</f>
        <v/>
      </c>
      <c r="D358">
        <f>SE('Dízimos Mensais'!A359="";"";0)</f>
        <v/>
      </c>
    </row>
    <row r="359">
      <c r="A359">
        <f>SE('Dízimos Mensais'!A360="";"";'Dízimos Mensais'!A360)</f>
        <v/>
      </c>
      <c r="B359">
        <f>SE('Dízimos Mensais'!A360="";"";"Dízimo - "&amp;'Dízimos Mensais'!B360)</f>
        <v/>
      </c>
      <c r="C359">
        <f>SE('Dízimos Mensais'!A360="";"";'Dízimos Mensais'!E360)</f>
        <v/>
      </c>
      <c r="D359">
        <f>SE('Dízimos Mensais'!A360="";"";0)</f>
        <v/>
      </c>
    </row>
    <row r="360">
      <c r="A360">
        <f>SE('Dízimos Mensais'!A361="";"";'Dízimos Mensais'!A361)</f>
        <v/>
      </c>
      <c r="B360">
        <f>SE('Dízimos Mensais'!A361="";"";"Dízimo - "&amp;'Dízimos Mensais'!B361)</f>
        <v/>
      </c>
      <c r="C360">
        <f>SE('Dízimos Mensais'!A361="";"";'Dízimos Mensais'!E361)</f>
        <v/>
      </c>
      <c r="D360">
        <f>SE('Dízimos Mensais'!A361="";"";0)</f>
        <v/>
      </c>
    </row>
    <row r="361">
      <c r="A361">
        <f>SE('Dízimos Mensais'!A362="";"";'Dízimos Mensais'!A362)</f>
        <v/>
      </c>
      <c r="B361">
        <f>SE('Dízimos Mensais'!A362="";"";"Dízimo - "&amp;'Dízimos Mensais'!B362)</f>
        <v/>
      </c>
      <c r="C361">
        <f>SE('Dízimos Mensais'!A362="";"";'Dízimos Mensais'!E362)</f>
        <v/>
      </c>
      <c r="D361">
        <f>SE('Dízimos Mensais'!A362="";"";0)</f>
        <v/>
      </c>
    </row>
    <row r="362">
      <c r="A362">
        <f>SE('Dízimos Mensais'!A363="";"";'Dízimos Mensais'!A363)</f>
        <v/>
      </c>
      <c r="B362">
        <f>SE('Dízimos Mensais'!A363="";"";"Dízimo - "&amp;'Dízimos Mensais'!B363)</f>
        <v/>
      </c>
      <c r="C362">
        <f>SE('Dízimos Mensais'!A363="";"";'Dízimos Mensais'!E363)</f>
        <v/>
      </c>
      <c r="D362">
        <f>SE('Dízimos Mensais'!A363="";"";0)</f>
        <v/>
      </c>
    </row>
    <row r="363">
      <c r="A363">
        <f>SE('Dízimos Mensais'!A364="";"";'Dízimos Mensais'!A364)</f>
        <v/>
      </c>
      <c r="B363">
        <f>SE('Dízimos Mensais'!A364="";"";"Dízimo - "&amp;'Dízimos Mensais'!B364)</f>
        <v/>
      </c>
      <c r="C363">
        <f>SE('Dízimos Mensais'!A364="";"";'Dízimos Mensais'!E364)</f>
        <v/>
      </c>
      <c r="D363">
        <f>SE('Dízimos Mensais'!A364="";"";0)</f>
        <v/>
      </c>
    </row>
    <row r="364">
      <c r="A364">
        <f>SE('Dízimos Mensais'!A365="";"";'Dízimos Mensais'!A365)</f>
        <v/>
      </c>
      <c r="B364">
        <f>SE('Dízimos Mensais'!A365="";"";"Dízimo - "&amp;'Dízimos Mensais'!B365)</f>
        <v/>
      </c>
      <c r="C364">
        <f>SE('Dízimos Mensais'!A365="";"";'Dízimos Mensais'!E365)</f>
        <v/>
      </c>
      <c r="D364">
        <f>SE('Dízimos Mensais'!A365="";"";0)</f>
        <v/>
      </c>
    </row>
    <row r="365">
      <c r="A365">
        <f>SE('Dízimos Mensais'!A366="";"";'Dízimos Mensais'!A366)</f>
        <v/>
      </c>
      <c r="B365">
        <f>SE('Dízimos Mensais'!A366="";"";"Dízimo - "&amp;'Dízimos Mensais'!B366)</f>
        <v/>
      </c>
      <c r="C365">
        <f>SE('Dízimos Mensais'!A366="";"";'Dízimos Mensais'!E366)</f>
        <v/>
      </c>
      <c r="D365">
        <f>SE('Dízimos Mensais'!A366="";"";0)</f>
        <v/>
      </c>
    </row>
    <row r="366">
      <c r="A366">
        <f>SE('Dízimos Mensais'!A367="";"";'Dízimos Mensais'!A367)</f>
        <v/>
      </c>
      <c r="B366">
        <f>SE('Dízimos Mensais'!A367="";"";"Dízimo - "&amp;'Dízimos Mensais'!B367)</f>
        <v/>
      </c>
      <c r="C366">
        <f>SE('Dízimos Mensais'!A367="";"";'Dízimos Mensais'!E367)</f>
        <v/>
      </c>
      <c r="D366">
        <f>SE('Dízimos Mensais'!A367="";"";0)</f>
        <v/>
      </c>
    </row>
    <row r="367">
      <c r="A367">
        <f>SE('Dízimos Mensais'!A368="";"";'Dízimos Mensais'!A368)</f>
        <v/>
      </c>
      <c r="B367">
        <f>SE('Dízimos Mensais'!A368="";"";"Dízimo - "&amp;'Dízimos Mensais'!B368)</f>
        <v/>
      </c>
      <c r="C367">
        <f>SE('Dízimos Mensais'!A368="";"";'Dízimos Mensais'!E368)</f>
        <v/>
      </c>
      <c r="D367">
        <f>SE('Dízimos Mensais'!A368="";"";0)</f>
        <v/>
      </c>
    </row>
    <row r="368">
      <c r="A368">
        <f>SE('Dízimos Mensais'!A369="";"";'Dízimos Mensais'!A369)</f>
        <v/>
      </c>
      <c r="B368">
        <f>SE('Dízimos Mensais'!A369="";"";"Dízimo - "&amp;'Dízimos Mensais'!B369)</f>
        <v/>
      </c>
      <c r="C368">
        <f>SE('Dízimos Mensais'!A369="";"";'Dízimos Mensais'!E369)</f>
        <v/>
      </c>
      <c r="D368">
        <f>SE('Dízimos Mensais'!A369="";"";0)</f>
        <v/>
      </c>
    </row>
    <row r="369">
      <c r="A369">
        <f>SE('Dízimos Mensais'!A370="";"";'Dízimos Mensais'!A370)</f>
        <v/>
      </c>
      <c r="B369">
        <f>SE('Dízimos Mensais'!A370="";"";"Dízimo - "&amp;'Dízimos Mensais'!B370)</f>
        <v/>
      </c>
      <c r="C369">
        <f>SE('Dízimos Mensais'!A370="";"";'Dízimos Mensais'!E370)</f>
        <v/>
      </c>
      <c r="D369">
        <f>SE('Dízimos Mensais'!A370="";"";0)</f>
        <v/>
      </c>
    </row>
    <row r="370">
      <c r="A370">
        <f>SE('Dízimos Mensais'!A371="";"";'Dízimos Mensais'!A371)</f>
        <v/>
      </c>
      <c r="B370">
        <f>SE('Dízimos Mensais'!A371="";"";"Dízimo - "&amp;'Dízimos Mensais'!B371)</f>
        <v/>
      </c>
      <c r="C370">
        <f>SE('Dízimos Mensais'!A371="";"";'Dízimos Mensais'!E371)</f>
        <v/>
      </c>
      <c r="D370">
        <f>SE('Dízimos Mensais'!A371="";"";0)</f>
        <v/>
      </c>
    </row>
    <row r="371">
      <c r="A371">
        <f>SE('Dízimos Mensais'!A372="";"";'Dízimos Mensais'!A372)</f>
        <v/>
      </c>
      <c r="B371">
        <f>SE('Dízimos Mensais'!A372="";"";"Dízimo - "&amp;'Dízimos Mensais'!B372)</f>
        <v/>
      </c>
      <c r="C371">
        <f>SE('Dízimos Mensais'!A372="";"";'Dízimos Mensais'!E372)</f>
        <v/>
      </c>
      <c r="D371">
        <f>SE('Dízimos Mensais'!A372="";"";0)</f>
        <v/>
      </c>
    </row>
    <row r="372">
      <c r="A372">
        <f>SE('Dízimos Mensais'!A373="";"";'Dízimos Mensais'!A373)</f>
        <v/>
      </c>
      <c r="B372">
        <f>SE('Dízimos Mensais'!A373="";"";"Dízimo - "&amp;'Dízimos Mensais'!B373)</f>
        <v/>
      </c>
      <c r="C372">
        <f>SE('Dízimos Mensais'!A373="";"";'Dízimos Mensais'!E373)</f>
        <v/>
      </c>
      <c r="D372">
        <f>SE('Dízimos Mensais'!A373="";"";0)</f>
        <v/>
      </c>
    </row>
    <row r="373">
      <c r="A373">
        <f>SE('Dízimos Mensais'!A374="";"";'Dízimos Mensais'!A374)</f>
        <v/>
      </c>
      <c r="B373">
        <f>SE('Dízimos Mensais'!A374="";"";"Dízimo - "&amp;'Dízimos Mensais'!B374)</f>
        <v/>
      </c>
      <c r="C373">
        <f>SE('Dízimos Mensais'!A374="";"";'Dízimos Mensais'!E374)</f>
        <v/>
      </c>
      <c r="D373">
        <f>SE('Dízimos Mensais'!A374="";"";0)</f>
        <v/>
      </c>
    </row>
    <row r="374">
      <c r="A374">
        <f>SE('Dízimos Mensais'!A375="";"";'Dízimos Mensais'!A375)</f>
        <v/>
      </c>
      <c r="B374">
        <f>SE('Dízimos Mensais'!A375="";"";"Dízimo - "&amp;'Dízimos Mensais'!B375)</f>
        <v/>
      </c>
      <c r="C374">
        <f>SE('Dízimos Mensais'!A375="";"";'Dízimos Mensais'!E375)</f>
        <v/>
      </c>
      <c r="D374">
        <f>SE('Dízimos Mensais'!A375="";"";0)</f>
        <v/>
      </c>
    </row>
    <row r="375">
      <c r="A375">
        <f>SE('Dízimos Mensais'!A376="";"";'Dízimos Mensais'!A376)</f>
        <v/>
      </c>
      <c r="B375">
        <f>SE('Dízimos Mensais'!A376="";"";"Dízimo - "&amp;'Dízimos Mensais'!B376)</f>
        <v/>
      </c>
      <c r="C375">
        <f>SE('Dízimos Mensais'!A376="";"";'Dízimos Mensais'!E376)</f>
        <v/>
      </c>
      <c r="D375">
        <f>SE('Dízimos Mensais'!A376="";"";0)</f>
        <v/>
      </c>
    </row>
    <row r="376">
      <c r="A376">
        <f>SE('Dízimos Mensais'!A377="";"";'Dízimos Mensais'!A377)</f>
        <v/>
      </c>
      <c r="B376">
        <f>SE('Dízimos Mensais'!A377="";"";"Dízimo - "&amp;'Dízimos Mensais'!B377)</f>
        <v/>
      </c>
      <c r="C376">
        <f>SE('Dízimos Mensais'!A377="";"";'Dízimos Mensais'!E377)</f>
        <v/>
      </c>
      <c r="D376">
        <f>SE('Dízimos Mensais'!A377="";"";0)</f>
        <v/>
      </c>
    </row>
    <row r="377">
      <c r="A377">
        <f>SE('Dízimos Mensais'!A378="";"";'Dízimos Mensais'!A378)</f>
        <v/>
      </c>
      <c r="B377">
        <f>SE('Dízimos Mensais'!A378="";"";"Dízimo - "&amp;'Dízimos Mensais'!B378)</f>
        <v/>
      </c>
      <c r="C377">
        <f>SE('Dízimos Mensais'!A378="";"";'Dízimos Mensais'!E378)</f>
        <v/>
      </c>
      <c r="D377">
        <f>SE('Dízimos Mensais'!A378="";"";0)</f>
        <v/>
      </c>
    </row>
    <row r="378">
      <c r="A378">
        <f>SE('Dízimos Mensais'!A379="";"";'Dízimos Mensais'!A379)</f>
        <v/>
      </c>
      <c r="B378">
        <f>SE('Dízimos Mensais'!A379="";"";"Dízimo - "&amp;'Dízimos Mensais'!B379)</f>
        <v/>
      </c>
      <c r="C378">
        <f>SE('Dízimos Mensais'!A379="";"";'Dízimos Mensais'!E379)</f>
        <v/>
      </c>
      <c r="D378">
        <f>SE('Dízimos Mensais'!A379="";"";0)</f>
        <v/>
      </c>
    </row>
    <row r="379">
      <c r="A379">
        <f>SE('Dízimos Mensais'!A380="";"";'Dízimos Mensais'!A380)</f>
        <v/>
      </c>
      <c r="B379">
        <f>SE('Dízimos Mensais'!A380="";"";"Dízimo - "&amp;'Dízimos Mensais'!B380)</f>
        <v/>
      </c>
      <c r="C379">
        <f>SE('Dízimos Mensais'!A380="";"";'Dízimos Mensais'!E380)</f>
        <v/>
      </c>
      <c r="D379">
        <f>SE('Dízimos Mensais'!A380="";"";0)</f>
        <v/>
      </c>
    </row>
    <row r="380">
      <c r="A380">
        <f>SE('Dízimos Mensais'!A381="";"";'Dízimos Mensais'!A381)</f>
        <v/>
      </c>
      <c r="B380">
        <f>SE('Dízimos Mensais'!A381="";"";"Dízimo - "&amp;'Dízimos Mensais'!B381)</f>
        <v/>
      </c>
      <c r="C380">
        <f>SE('Dízimos Mensais'!A381="";"";'Dízimos Mensais'!E381)</f>
        <v/>
      </c>
      <c r="D380">
        <f>SE('Dízimos Mensais'!A381="";"";0)</f>
        <v/>
      </c>
    </row>
    <row r="381">
      <c r="A381">
        <f>SE('Dízimos Mensais'!A382="";"";'Dízimos Mensais'!A382)</f>
        <v/>
      </c>
      <c r="B381">
        <f>SE('Dízimos Mensais'!A382="";"";"Dízimo - "&amp;'Dízimos Mensais'!B382)</f>
        <v/>
      </c>
      <c r="C381">
        <f>SE('Dízimos Mensais'!A382="";"";'Dízimos Mensais'!E382)</f>
        <v/>
      </c>
      <c r="D381">
        <f>SE('Dízimos Mensais'!A382="";"";0)</f>
        <v/>
      </c>
    </row>
    <row r="382">
      <c r="A382">
        <f>SE('Dízimos Mensais'!A383="";"";'Dízimos Mensais'!A383)</f>
        <v/>
      </c>
      <c r="B382">
        <f>SE('Dízimos Mensais'!A383="";"";"Dízimo - "&amp;'Dízimos Mensais'!B383)</f>
        <v/>
      </c>
      <c r="C382">
        <f>SE('Dízimos Mensais'!A383="";"";'Dízimos Mensais'!E383)</f>
        <v/>
      </c>
      <c r="D382">
        <f>SE('Dízimos Mensais'!A383="";"";0)</f>
        <v/>
      </c>
    </row>
    <row r="383">
      <c r="A383">
        <f>SE('Dízimos Mensais'!A384="";"";'Dízimos Mensais'!A384)</f>
        <v/>
      </c>
      <c r="B383">
        <f>SE('Dízimos Mensais'!A384="";"";"Dízimo - "&amp;'Dízimos Mensais'!B384)</f>
        <v/>
      </c>
      <c r="C383">
        <f>SE('Dízimos Mensais'!A384="";"";'Dízimos Mensais'!E384)</f>
        <v/>
      </c>
      <c r="D383">
        <f>SE('Dízimos Mensais'!A384="";"";0)</f>
        <v/>
      </c>
    </row>
    <row r="384">
      <c r="A384">
        <f>SE('Dízimos Mensais'!A385="";"";'Dízimos Mensais'!A385)</f>
        <v/>
      </c>
      <c r="B384">
        <f>SE('Dízimos Mensais'!A385="";"";"Dízimo - "&amp;'Dízimos Mensais'!B385)</f>
        <v/>
      </c>
      <c r="C384">
        <f>SE('Dízimos Mensais'!A385="";"";'Dízimos Mensais'!E385)</f>
        <v/>
      </c>
      <c r="D384">
        <f>SE('Dízimos Mensais'!A385="";"";0)</f>
        <v/>
      </c>
    </row>
    <row r="385">
      <c r="A385">
        <f>SE('Dízimos Mensais'!A386="";"";'Dízimos Mensais'!A386)</f>
        <v/>
      </c>
      <c r="B385">
        <f>SE('Dízimos Mensais'!A386="";"";"Dízimo - "&amp;'Dízimos Mensais'!B386)</f>
        <v/>
      </c>
      <c r="C385">
        <f>SE('Dízimos Mensais'!A386="";"";'Dízimos Mensais'!E386)</f>
        <v/>
      </c>
      <c r="D385">
        <f>SE('Dízimos Mensais'!A386="";"";0)</f>
        <v/>
      </c>
    </row>
    <row r="386">
      <c r="A386">
        <f>SE('Dízimos Mensais'!A387="";"";'Dízimos Mensais'!A387)</f>
        <v/>
      </c>
      <c r="B386">
        <f>SE('Dízimos Mensais'!A387="";"";"Dízimo - "&amp;'Dízimos Mensais'!B387)</f>
        <v/>
      </c>
      <c r="C386">
        <f>SE('Dízimos Mensais'!A387="";"";'Dízimos Mensais'!E387)</f>
        <v/>
      </c>
      <c r="D386">
        <f>SE('Dízimos Mensais'!A387="";"";0)</f>
        <v/>
      </c>
    </row>
    <row r="387">
      <c r="A387">
        <f>SE('Dízimos Mensais'!A388="";"";'Dízimos Mensais'!A388)</f>
        <v/>
      </c>
      <c r="B387">
        <f>SE('Dízimos Mensais'!A388="";"";"Dízimo - "&amp;'Dízimos Mensais'!B388)</f>
        <v/>
      </c>
      <c r="C387">
        <f>SE('Dízimos Mensais'!A388="";"";'Dízimos Mensais'!E388)</f>
        <v/>
      </c>
      <c r="D387">
        <f>SE('Dízimos Mensais'!A388="";"";0)</f>
        <v/>
      </c>
    </row>
    <row r="388">
      <c r="A388">
        <f>SE('Dízimos Mensais'!A389="";"";'Dízimos Mensais'!A389)</f>
        <v/>
      </c>
      <c r="B388">
        <f>SE('Dízimos Mensais'!A389="";"";"Dízimo - "&amp;'Dízimos Mensais'!B389)</f>
        <v/>
      </c>
      <c r="C388">
        <f>SE('Dízimos Mensais'!A389="";"";'Dízimos Mensais'!E389)</f>
        <v/>
      </c>
      <c r="D388">
        <f>SE('Dízimos Mensais'!A389="";"";0)</f>
        <v/>
      </c>
    </row>
    <row r="389">
      <c r="A389">
        <f>SE('Dízimos Mensais'!A390="";"";'Dízimos Mensais'!A390)</f>
        <v/>
      </c>
      <c r="B389">
        <f>SE('Dízimos Mensais'!A390="";"";"Dízimo - "&amp;'Dízimos Mensais'!B390)</f>
        <v/>
      </c>
      <c r="C389">
        <f>SE('Dízimos Mensais'!A390="";"";'Dízimos Mensais'!E390)</f>
        <v/>
      </c>
      <c r="D389">
        <f>SE('Dízimos Mensais'!A390="";"";0)</f>
        <v/>
      </c>
    </row>
    <row r="390">
      <c r="A390">
        <f>SE('Dízimos Mensais'!A391="";"";'Dízimos Mensais'!A391)</f>
        <v/>
      </c>
      <c r="B390">
        <f>SE('Dízimos Mensais'!A391="";"";"Dízimo - "&amp;'Dízimos Mensais'!B391)</f>
        <v/>
      </c>
      <c r="C390">
        <f>SE('Dízimos Mensais'!A391="";"";'Dízimos Mensais'!E391)</f>
        <v/>
      </c>
      <c r="D390">
        <f>SE('Dízimos Mensais'!A391="";"";0)</f>
        <v/>
      </c>
    </row>
    <row r="391">
      <c r="A391">
        <f>SE('Dízimos Mensais'!A392="";"";'Dízimos Mensais'!A392)</f>
        <v/>
      </c>
      <c r="B391">
        <f>SE('Dízimos Mensais'!A392="";"";"Dízimo - "&amp;'Dízimos Mensais'!B392)</f>
        <v/>
      </c>
      <c r="C391">
        <f>SE('Dízimos Mensais'!A392="";"";'Dízimos Mensais'!E392)</f>
        <v/>
      </c>
      <c r="D391">
        <f>SE('Dízimos Mensais'!A392="";"";0)</f>
        <v/>
      </c>
    </row>
    <row r="392">
      <c r="A392">
        <f>SE('Dízimos Mensais'!A393="";"";'Dízimos Mensais'!A393)</f>
        <v/>
      </c>
      <c r="B392">
        <f>SE('Dízimos Mensais'!A393="";"";"Dízimo - "&amp;'Dízimos Mensais'!B393)</f>
        <v/>
      </c>
      <c r="C392">
        <f>SE('Dízimos Mensais'!A393="";"";'Dízimos Mensais'!E393)</f>
        <v/>
      </c>
      <c r="D392">
        <f>SE('Dízimos Mensais'!A393="";"";0)</f>
        <v/>
      </c>
    </row>
    <row r="393">
      <c r="A393">
        <f>SE('Dízimos Mensais'!A394="";"";'Dízimos Mensais'!A394)</f>
        <v/>
      </c>
      <c r="B393">
        <f>SE('Dízimos Mensais'!A394="";"";"Dízimo - "&amp;'Dízimos Mensais'!B394)</f>
        <v/>
      </c>
      <c r="C393">
        <f>SE('Dízimos Mensais'!A394="";"";'Dízimos Mensais'!E394)</f>
        <v/>
      </c>
      <c r="D393">
        <f>SE('Dízimos Mensais'!A394="";"";0)</f>
        <v/>
      </c>
    </row>
    <row r="394">
      <c r="A394">
        <f>SE('Dízimos Mensais'!A395="";"";'Dízimos Mensais'!A395)</f>
        <v/>
      </c>
      <c r="B394">
        <f>SE('Dízimos Mensais'!A395="";"";"Dízimo - "&amp;'Dízimos Mensais'!B395)</f>
        <v/>
      </c>
      <c r="C394">
        <f>SE('Dízimos Mensais'!A395="";"";'Dízimos Mensais'!E395)</f>
        <v/>
      </c>
      <c r="D394">
        <f>SE('Dízimos Mensais'!A395="";"";0)</f>
        <v/>
      </c>
    </row>
    <row r="395">
      <c r="A395">
        <f>SE('Dízimos Mensais'!A396="";"";'Dízimos Mensais'!A396)</f>
        <v/>
      </c>
      <c r="B395">
        <f>SE('Dízimos Mensais'!A396="";"";"Dízimo - "&amp;'Dízimos Mensais'!B396)</f>
        <v/>
      </c>
      <c r="C395">
        <f>SE('Dízimos Mensais'!A396="";"";'Dízimos Mensais'!E396)</f>
        <v/>
      </c>
      <c r="D395">
        <f>SE('Dízimos Mensais'!A396="";"";0)</f>
        <v/>
      </c>
    </row>
    <row r="396">
      <c r="A396">
        <f>SE('Dízimos Mensais'!A397="";"";'Dízimos Mensais'!A397)</f>
        <v/>
      </c>
      <c r="B396">
        <f>SE('Dízimos Mensais'!A397="";"";"Dízimo - "&amp;'Dízimos Mensais'!B397)</f>
        <v/>
      </c>
      <c r="C396">
        <f>SE('Dízimos Mensais'!A397="";"";'Dízimos Mensais'!E397)</f>
        <v/>
      </c>
      <c r="D396">
        <f>SE('Dízimos Mensais'!A397="";"";0)</f>
        <v/>
      </c>
    </row>
    <row r="397">
      <c r="A397">
        <f>SE('Dízimos Mensais'!A398="";"";'Dízimos Mensais'!A398)</f>
        <v/>
      </c>
      <c r="B397">
        <f>SE('Dízimos Mensais'!A398="";"";"Dízimo - "&amp;'Dízimos Mensais'!B398)</f>
        <v/>
      </c>
      <c r="C397">
        <f>SE('Dízimos Mensais'!A398="";"";'Dízimos Mensais'!E398)</f>
        <v/>
      </c>
      <c r="D397">
        <f>SE('Dízimos Mensais'!A398="";"";0)</f>
        <v/>
      </c>
    </row>
    <row r="398">
      <c r="A398">
        <f>SE('Dízimos Mensais'!A399="";"";'Dízimos Mensais'!A399)</f>
        <v/>
      </c>
      <c r="B398">
        <f>SE('Dízimos Mensais'!A399="";"";"Dízimo - "&amp;'Dízimos Mensais'!B399)</f>
        <v/>
      </c>
      <c r="C398">
        <f>SE('Dízimos Mensais'!A399="";"";'Dízimos Mensais'!E399)</f>
        <v/>
      </c>
      <c r="D398">
        <f>SE('Dízimos Mensais'!A399="";"";0)</f>
        <v/>
      </c>
    </row>
    <row r="399">
      <c r="A399">
        <f>SE('Dízimos Mensais'!A400="";"";'Dízimos Mensais'!A400)</f>
        <v/>
      </c>
      <c r="B399">
        <f>SE('Dízimos Mensais'!A400="";"";"Dízimo - "&amp;'Dízimos Mensais'!B400)</f>
        <v/>
      </c>
      <c r="C399">
        <f>SE('Dízimos Mensais'!A400="";"";'Dízimos Mensais'!E400)</f>
        <v/>
      </c>
      <c r="D399">
        <f>SE('Dízimos Mensais'!A400="";"";0)</f>
        <v/>
      </c>
    </row>
    <row r="400">
      <c r="A400">
        <f>SE('Dízimos Mensais'!A401="";"";'Dízimos Mensais'!A401)</f>
        <v/>
      </c>
      <c r="B400">
        <f>SE('Dízimos Mensais'!A401="";"";"Dízimo - "&amp;'Dízimos Mensais'!B401)</f>
        <v/>
      </c>
      <c r="C400">
        <f>SE('Dízimos Mensais'!A401="";"";'Dízimos Mensais'!E401)</f>
        <v/>
      </c>
      <c r="D400">
        <f>SE('Dízimos Mensais'!A401="";"";0)</f>
        <v/>
      </c>
    </row>
    <row r="401">
      <c r="A401">
        <f>SE('Dízimos Mensais'!A402="";"";'Dízimos Mensais'!A402)</f>
        <v/>
      </c>
      <c r="B401">
        <f>SE('Dízimos Mensais'!A402="";"";"Dízimo - "&amp;'Dízimos Mensais'!B402)</f>
        <v/>
      </c>
      <c r="C401">
        <f>SE('Dízimos Mensais'!A402="";"";'Dízimos Mensais'!E402)</f>
        <v/>
      </c>
      <c r="D401">
        <f>SE('Dízimos Mensais'!A402="";"";0)</f>
        <v/>
      </c>
    </row>
    <row r="402">
      <c r="A402">
        <f>SE('Dízimos Mensais'!A403="";"";'Dízimos Mensais'!A403)</f>
        <v/>
      </c>
      <c r="B402">
        <f>SE('Dízimos Mensais'!A403="";"";"Dízimo - "&amp;'Dízimos Mensais'!B403)</f>
        <v/>
      </c>
      <c r="C402">
        <f>SE('Dízimos Mensais'!A403="";"";'Dízimos Mensais'!E403)</f>
        <v/>
      </c>
      <c r="D402">
        <f>SE('Dízimos Mensais'!A403="";"";0)</f>
        <v/>
      </c>
    </row>
    <row r="403">
      <c r="A403">
        <f>SE('Dízimos Mensais'!A404="";"";'Dízimos Mensais'!A404)</f>
        <v/>
      </c>
      <c r="B403">
        <f>SE('Dízimos Mensais'!A404="";"";"Dízimo - "&amp;'Dízimos Mensais'!B404)</f>
        <v/>
      </c>
      <c r="C403">
        <f>SE('Dízimos Mensais'!A404="";"";'Dízimos Mensais'!E404)</f>
        <v/>
      </c>
      <c r="D403">
        <f>SE('Dízimos Mensais'!A404="";"";0)</f>
        <v/>
      </c>
    </row>
    <row r="404">
      <c r="A404">
        <f>SE('Dízimos Mensais'!A405="";"";'Dízimos Mensais'!A405)</f>
        <v/>
      </c>
      <c r="B404">
        <f>SE('Dízimos Mensais'!A405="";"";"Dízimo - "&amp;'Dízimos Mensais'!B405)</f>
        <v/>
      </c>
      <c r="C404">
        <f>SE('Dízimos Mensais'!A405="";"";'Dízimos Mensais'!E405)</f>
        <v/>
      </c>
      <c r="D404">
        <f>SE('Dízimos Mensais'!A405="";"";0)</f>
        <v/>
      </c>
    </row>
    <row r="405">
      <c r="A405">
        <f>SE('Dízimos Mensais'!A406="";"";'Dízimos Mensais'!A406)</f>
        <v/>
      </c>
      <c r="B405">
        <f>SE('Dízimos Mensais'!A406="";"";"Dízimo - "&amp;'Dízimos Mensais'!B406)</f>
        <v/>
      </c>
      <c r="C405">
        <f>SE('Dízimos Mensais'!A406="";"";'Dízimos Mensais'!E406)</f>
        <v/>
      </c>
      <c r="D405">
        <f>SE('Dízimos Mensais'!A406="";"";0)</f>
        <v/>
      </c>
    </row>
    <row r="406">
      <c r="A406">
        <f>SE('Dízimos Mensais'!A407="";"";'Dízimos Mensais'!A407)</f>
        <v/>
      </c>
      <c r="B406">
        <f>SE('Dízimos Mensais'!A407="";"";"Dízimo - "&amp;'Dízimos Mensais'!B407)</f>
        <v/>
      </c>
      <c r="C406">
        <f>SE('Dízimos Mensais'!A407="";"";'Dízimos Mensais'!E407)</f>
        <v/>
      </c>
      <c r="D406">
        <f>SE('Dízimos Mensais'!A407="";"";0)</f>
        <v/>
      </c>
    </row>
    <row r="407">
      <c r="A407">
        <f>SE('Dízimos Mensais'!A408="";"";'Dízimos Mensais'!A408)</f>
        <v/>
      </c>
      <c r="B407">
        <f>SE('Dízimos Mensais'!A408="";"";"Dízimo - "&amp;'Dízimos Mensais'!B408)</f>
        <v/>
      </c>
      <c r="C407">
        <f>SE('Dízimos Mensais'!A408="";"";'Dízimos Mensais'!E408)</f>
        <v/>
      </c>
      <c r="D407">
        <f>SE('Dízimos Mensais'!A408="";"";0)</f>
        <v/>
      </c>
    </row>
    <row r="408">
      <c r="A408">
        <f>SE('Dízimos Mensais'!A409="";"";'Dízimos Mensais'!A409)</f>
        <v/>
      </c>
      <c r="B408">
        <f>SE('Dízimos Mensais'!A409="";"";"Dízimo - "&amp;'Dízimos Mensais'!B409)</f>
        <v/>
      </c>
      <c r="C408">
        <f>SE('Dízimos Mensais'!A409="";"";'Dízimos Mensais'!E409)</f>
        <v/>
      </c>
      <c r="D408">
        <f>SE('Dízimos Mensais'!A409="";"";0)</f>
        <v/>
      </c>
    </row>
    <row r="409">
      <c r="A409">
        <f>SE('Dízimos Mensais'!A410="";"";'Dízimos Mensais'!A410)</f>
        <v/>
      </c>
      <c r="B409">
        <f>SE('Dízimos Mensais'!A410="";"";"Dízimo - "&amp;'Dízimos Mensais'!B410)</f>
        <v/>
      </c>
      <c r="C409">
        <f>SE('Dízimos Mensais'!A410="";"";'Dízimos Mensais'!E410)</f>
        <v/>
      </c>
      <c r="D409">
        <f>SE('Dízimos Mensais'!A410="";"";0)</f>
        <v/>
      </c>
    </row>
    <row r="410">
      <c r="A410">
        <f>SE('Dízimos Mensais'!A411="";"";'Dízimos Mensais'!A411)</f>
        <v/>
      </c>
      <c r="B410">
        <f>SE('Dízimos Mensais'!A411="";"";"Dízimo - "&amp;'Dízimos Mensais'!B411)</f>
        <v/>
      </c>
      <c r="C410">
        <f>SE('Dízimos Mensais'!A411="";"";'Dízimos Mensais'!E411)</f>
        <v/>
      </c>
      <c r="D410">
        <f>SE('Dízimos Mensais'!A411="";"";0)</f>
        <v/>
      </c>
    </row>
    <row r="411">
      <c r="A411">
        <f>SE('Dízimos Mensais'!A412="";"";'Dízimos Mensais'!A412)</f>
        <v/>
      </c>
      <c r="B411">
        <f>SE('Dízimos Mensais'!A412="";"";"Dízimo - "&amp;'Dízimos Mensais'!B412)</f>
        <v/>
      </c>
      <c r="C411">
        <f>SE('Dízimos Mensais'!A412="";"";'Dízimos Mensais'!E412)</f>
        <v/>
      </c>
      <c r="D411">
        <f>SE('Dízimos Mensais'!A412="";"";0)</f>
        <v/>
      </c>
    </row>
    <row r="412">
      <c r="A412">
        <f>SE('Dízimos Mensais'!A413="";"";'Dízimos Mensais'!A413)</f>
        <v/>
      </c>
      <c r="B412">
        <f>SE('Dízimos Mensais'!A413="";"";"Dízimo - "&amp;'Dízimos Mensais'!B413)</f>
        <v/>
      </c>
      <c r="C412">
        <f>SE('Dízimos Mensais'!A413="";"";'Dízimos Mensais'!E413)</f>
        <v/>
      </c>
      <c r="D412">
        <f>SE('Dízimos Mensais'!A413="";"";0)</f>
        <v/>
      </c>
    </row>
    <row r="413">
      <c r="A413">
        <f>SE('Dízimos Mensais'!A414="";"";'Dízimos Mensais'!A414)</f>
        <v/>
      </c>
      <c r="B413">
        <f>SE('Dízimos Mensais'!A414="";"";"Dízimo - "&amp;'Dízimos Mensais'!B414)</f>
        <v/>
      </c>
      <c r="C413">
        <f>SE('Dízimos Mensais'!A414="";"";'Dízimos Mensais'!E414)</f>
        <v/>
      </c>
      <c r="D413">
        <f>SE('Dízimos Mensais'!A414="";"";0)</f>
        <v/>
      </c>
    </row>
    <row r="414">
      <c r="A414">
        <f>SE('Dízimos Mensais'!A415="";"";'Dízimos Mensais'!A415)</f>
        <v/>
      </c>
      <c r="B414">
        <f>SE('Dízimos Mensais'!A415="";"";"Dízimo - "&amp;'Dízimos Mensais'!B415)</f>
        <v/>
      </c>
      <c r="C414">
        <f>SE('Dízimos Mensais'!A415="";"";'Dízimos Mensais'!E415)</f>
        <v/>
      </c>
      <c r="D414">
        <f>SE('Dízimos Mensais'!A415="";"";0)</f>
        <v/>
      </c>
    </row>
    <row r="415">
      <c r="A415">
        <f>SE('Dízimos Mensais'!A416="";"";'Dízimos Mensais'!A416)</f>
        <v/>
      </c>
      <c r="B415">
        <f>SE('Dízimos Mensais'!A416="";"";"Dízimo - "&amp;'Dízimos Mensais'!B416)</f>
        <v/>
      </c>
      <c r="C415">
        <f>SE('Dízimos Mensais'!A416="";"";'Dízimos Mensais'!E416)</f>
        <v/>
      </c>
      <c r="D415">
        <f>SE('Dízimos Mensais'!A416="";"";0)</f>
        <v/>
      </c>
    </row>
    <row r="416">
      <c r="A416">
        <f>SE('Dízimos Mensais'!A417="";"";'Dízimos Mensais'!A417)</f>
        <v/>
      </c>
      <c r="B416">
        <f>SE('Dízimos Mensais'!A417="";"";"Dízimo - "&amp;'Dízimos Mensais'!B417)</f>
        <v/>
      </c>
      <c r="C416">
        <f>SE('Dízimos Mensais'!A417="";"";'Dízimos Mensais'!E417)</f>
        <v/>
      </c>
      <c r="D416">
        <f>SE('Dízimos Mensais'!A417="";"";0)</f>
        <v/>
      </c>
    </row>
    <row r="417">
      <c r="A417">
        <f>SE('Dízimos Mensais'!A418="";"";'Dízimos Mensais'!A418)</f>
        <v/>
      </c>
      <c r="B417">
        <f>SE('Dízimos Mensais'!A418="";"";"Dízimo - "&amp;'Dízimos Mensais'!B418)</f>
        <v/>
      </c>
      <c r="C417">
        <f>SE('Dízimos Mensais'!A418="";"";'Dízimos Mensais'!E418)</f>
        <v/>
      </c>
      <c r="D417">
        <f>SE('Dízimos Mensais'!A418="";"";0)</f>
        <v/>
      </c>
    </row>
    <row r="418">
      <c r="A418">
        <f>SE('Dízimos Mensais'!A419="";"";'Dízimos Mensais'!A419)</f>
        <v/>
      </c>
      <c r="B418">
        <f>SE('Dízimos Mensais'!A419="";"";"Dízimo - "&amp;'Dízimos Mensais'!B419)</f>
        <v/>
      </c>
      <c r="C418">
        <f>SE('Dízimos Mensais'!A419="";"";'Dízimos Mensais'!E419)</f>
        <v/>
      </c>
      <c r="D418">
        <f>SE('Dízimos Mensais'!A419="";"";0)</f>
        <v/>
      </c>
    </row>
    <row r="419">
      <c r="A419">
        <f>SE('Dízimos Mensais'!A420="";"";'Dízimos Mensais'!A420)</f>
        <v/>
      </c>
      <c r="B419">
        <f>SE('Dízimos Mensais'!A420="";"";"Dízimo - "&amp;'Dízimos Mensais'!B420)</f>
        <v/>
      </c>
      <c r="C419">
        <f>SE('Dízimos Mensais'!A420="";"";'Dízimos Mensais'!E420)</f>
        <v/>
      </c>
      <c r="D419">
        <f>SE('Dízimos Mensais'!A420="";"";0)</f>
        <v/>
      </c>
    </row>
    <row r="420">
      <c r="A420">
        <f>SE('Dízimos Mensais'!A421="";"";'Dízimos Mensais'!A421)</f>
        <v/>
      </c>
      <c r="B420">
        <f>SE('Dízimos Mensais'!A421="";"";"Dízimo - "&amp;'Dízimos Mensais'!B421)</f>
        <v/>
      </c>
      <c r="C420">
        <f>SE('Dízimos Mensais'!A421="";"";'Dízimos Mensais'!E421)</f>
        <v/>
      </c>
      <c r="D420">
        <f>SE('Dízimos Mensais'!A421="";"";0)</f>
        <v/>
      </c>
    </row>
    <row r="421">
      <c r="A421">
        <f>SE('Dízimos Mensais'!A422="";"";'Dízimos Mensais'!A422)</f>
        <v/>
      </c>
      <c r="B421">
        <f>SE('Dízimos Mensais'!A422="";"";"Dízimo - "&amp;'Dízimos Mensais'!B422)</f>
        <v/>
      </c>
      <c r="C421">
        <f>SE('Dízimos Mensais'!A422="";"";'Dízimos Mensais'!E422)</f>
        <v/>
      </c>
      <c r="D421">
        <f>SE('Dízimos Mensais'!A422="";"";0)</f>
        <v/>
      </c>
    </row>
    <row r="422">
      <c r="A422">
        <f>SE('Dízimos Mensais'!A423="";"";'Dízimos Mensais'!A423)</f>
        <v/>
      </c>
      <c r="B422">
        <f>SE('Dízimos Mensais'!A423="";"";"Dízimo - "&amp;'Dízimos Mensais'!B423)</f>
        <v/>
      </c>
      <c r="C422">
        <f>SE('Dízimos Mensais'!A423="";"";'Dízimos Mensais'!E423)</f>
        <v/>
      </c>
      <c r="D422">
        <f>SE('Dízimos Mensais'!A423="";"";0)</f>
        <v/>
      </c>
    </row>
    <row r="423">
      <c r="A423">
        <f>SE('Dízimos Mensais'!A424="";"";'Dízimos Mensais'!A424)</f>
        <v/>
      </c>
      <c r="B423">
        <f>SE('Dízimos Mensais'!A424="";"";"Dízimo - "&amp;'Dízimos Mensais'!B424)</f>
        <v/>
      </c>
      <c r="C423">
        <f>SE('Dízimos Mensais'!A424="";"";'Dízimos Mensais'!E424)</f>
        <v/>
      </c>
      <c r="D423">
        <f>SE('Dízimos Mensais'!A424="";"";0)</f>
        <v/>
      </c>
    </row>
    <row r="424">
      <c r="A424">
        <f>SE('Dízimos Mensais'!A425="";"";'Dízimos Mensais'!A425)</f>
        <v/>
      </c>
      <c r="B424">
        <f>SE('Dízimos Mensais'!A425="";"";"Dízimo - "&amp;'Dízimos Mensais'!B425)</f>
        <v/>
      </c>
      <c r="C424">
        <f>SE('Dízimos Mensais'!A425="";"";'Dízimos Mensais'!E425)</f>
        <v/>
      </c>
      <c r="D424">
        <f>SE('Dízimos Mensais'!A425="";"";0)</f>
        <v/>
      </c>
    </row>
    <row r="425">
      <c r="A425">
        <f>SE('Dízimos Mensais'!A426="";"";'Dízimos Mensais'!A426)</f>
        <v/>
      </c>
      <c r="B425">
        <f>SE('Dízimos Mensais'!A426="";"";"Dízimo - "&amp;'Dízimos Mensais'!B426)</f>
        <v/>
      </c>
      <c r="C425">
        <f>SE('Dízimos Mensais'!A426="";"";'Dízimos Mensais'!E426)</f>
        <v/>
      </c>
      <c r="D425">
        <f>SE('Dízimos Mensais'!A426="";"";0)</f>
        <v/>
      </c>
    </row>
    <row r="426">
      <c r="A426">
        <f>SE('Dízimos Mensais'!A427="";"";'Dízimos Mensais'!A427)</f>
        <v/>
      </c>
      <c r="B426">
        <f>SE('Dízimos Mensais'!A427="";"";"Dízimo - "&amp;'Dízimos Mensais'!B427)</f>
        <v/>
      </c>
      <c r="C426">
        <f>SE('Dízimos Mensais'!A427="";"";'Dízimos Mensais'!E427)</f>
        <v/>
      </c>
      <c r="D426">
        <f>SE('Dízimos Mensais'!A427="";"";0)</f>
        <v/>
      </c>
    </row>
    <row r="427">
      <c r="A427">
        <f>SE('Dízimos Mensais'!A428="";"";'Dízimos Mensais'!A428)</f>
        <v/>
      </c>
      <c r="B427">
        <f>SE('Dízimos Mensais'!A428="";"";"Dízimo - "&amp;'Dízimos Mensais'!B428)</f>
        <v/>
      </c>
      <c r="C427">
        <f>SE('Dízimos Mensais'!A428="";"";'Dízimos Mensais'!E428)</f>
        <v/>
      </c>
      <c r="D427">
        <f>SE('Dízimos Mensais'!A428="";"";0)</f>
        <v/>
      </c>
    </row>
    <row r="428">
      <c r="A428">
        <f>SE('Dízimos Mensais'!A429="";"";'Dízimos Mensais'!A429)</f>
        <v/>
      </c>
      <c r="B428">
        <f>SE('Dízimos Mensais'!A429="";"";"Dízimo - "&amp;'Dízimos Mensais'!B429)</f>
        <v/>
      </c>
      <c r="C428">
        <f>SE('Dízimos Mensais'!A429="";"";'Dízimos Mensais'!E429)</f>
        <v/>
      </c>
      <c r="D428">
        <f>SE('Dízimos Mensais'!A429="";"";0)</f>
        <v/>
      </c>
    </row>
    <row r="429">
      <c r="A429">
        <f>SE('Dízimos Mensais'!A430="";"";'Dízimos Mensais'!A430)</f>
        <v/>
      </c>
      <c r="B429">
        <f>SE('Dízimos Mensais'!A430="";"";"Dízimo - "&amp;'Dízimos Mensais'!B430)</f>
        <v/>
      </c>
      <c r="C429">
        <f>SE('Dízimos Mensais'!A430="";"";'Dízimos Mensais'!E430)</f>
        <v/>
      </c>
      <c r="D429">
        <f>SE('Dízimos Mensais'!A430="";"";0)</f>
        <v/>
      </c>
    </row>
    <row r="430">
      <c r="A430">
        <f>SE('Dízimos Mensais'!A431="";"";'Dízimos Mensais'!A431)</f>
        <v/>
      </c>
      <c r="B430">
        <f>SE('Dízimos Mensais'!A431="";"";"Dízimo - "&amp;'Dízimos Mensais'!B431)</f>
        <v/>
      </c>
      <c r="C430">
        <f>SE('Dízimos Mensais'!A431="";"";'Dízimos Mensais'!E431)</f>
        <v/>
      </c>
      <c r="D430">
        <f>SE('Dízimos Mensais'!A431="";"";0)</f>
        <v/>
      </c>
    </row>
    <row r="431">
      <c r="A431">
        <f>SE('Dízimos Mensais'!A432="";"";'Dízimos Mensais'!A432)</f>
        <v/>
      </c>
      <c r="B431">
        <f>SE('Dízimos Mensais'!A432="";"";"Dízimo - "&amp;'Dízimos Mensais'!B432)</f>
        <v/>
      </c>
      <c r="C431">
        <f>SE('Dízimos Mensais'!A432="";"";'Dízimos Mensais'!E432)</f>
        <v/>
      </c>
      <c r="D431">
        <f>SE('Dízimos Mensais'!A432="";"";0)</f>
        <v/>
      </c>
    </row>
    <row r="432">
      <c r="A432">
        <f>SE('Dízimos Mensais'!A433="";"";'Dízimos Mensais'!A433)</f>
        <v/>
      </c>
      <c r="B432">
        <f>SE('Dízimos Mensais'!A433="";"";"Dízimo - "&amp;'Dízimos Mensais'!B433)</f>
        <v/>
      </c>
      <c r="C432">
        <f>SE('Dízimos Mensais'!A433="";"";'Dízimos Mensais'!E433)</f>
        <v/>
      </c>
      <c r="D432">
        <f>SE('Dízimos Mensais'!A433="";"";0)</f>
        <v/>
      </c>
    </row>
    <row r="433">
      <c r="A433">
        <f>SE('Dízimos Mensais'!A434="";"";'Dízimos Mensais'!A434)</f>
        <v/>
      </c>
      <c r="B433">
        <f>SE('Dízimos Mensais'!A434="";"";"Dízimo - "&amp;'Dízimos Mensais'!B434)</f>
        <v/>
      </c>
      <c r="C433">
        <f>SE('Dízimos Mensais'!A434="";"";'Dízimos Mensais'!E434)</f>
        <v/>
      </c>
      <c r="D433">
        <f>SE('Dízimos Mensais'!A434="";"";0)</f>
        <v/>
      </c>
    </row>
    <row r="434">
      <c r="A434">
        <f>SE('Dízimos Mensais'!A435="";"";'Dízimos Mensais'!A435)</f>
        <v/>
      </c>
      <c r="B434">
        <f>SE('Dízimos Mensais'!A435="";"";"Dízimo - "&amp;'Dízimos Mensais'!B435)</f>
        <v/>
      </c>
      <c r="C434">
        <f>SE('Dízimos Mensais'!A435="";"";'Dízimos Mensais'!E435)</f>
        <v/>
      </c>
      <c r="D434">
        <f>SE('Dízimos Mensais'!A435="";"";0)</f>
        <v/>
      </c>
    </row>
    <row r="435">
      <c r="A435">
        <f>SE('Dízimos Mensais'!A436="";"";'Dízimos Mensais'!A436)</f>
        <v/>
      </c>
      <c r="B435">
        <f>SE('Dízimos Mensais'!A436="";"";"Dízimo - "&amp;'Dízimos Mensais'!B436)</f>
        <v/>
      </c>
      <c r="C435">
        <f>SE('Dízimos Mensais'!A436="";"";'Dízimos Mensais'!E436)</f>
        <v/>
      </c>
      <c r="D435">
        <f>SE('Dízimos Mensais'!A436="";"";0)</f>
        <v/>
      </c>
    </row>
    <row r="436">
      <c r="A436">
        <f>SE('Dízimos Mensais'!A437="";"";'Dízimos Mensais'!A437)</f>
        <v/>
      </c>
      <c r="B436">
        <f>SE('Dízimos Mensais'!A437="";"";"Dízimo - "&amp;'Dízimos Mensais'!B437)</f>
        <v/>
      </c>
      <c r="C436">
        <f>SE('Dízimos Mensais'!A437="";"";'Dízimos Mensais'!E437)</f>
        <v/>
      </c>
      <c r="D436">
        <f>SE('Dízimos Mensais'!A437="";"";0)</f>
        <v/>
      </c>
    </row>
    <row r="437">
      <c r="A437">
        <f>SE('Dízimos Mensais'!A438="";"";'Dízimos Mensais'!A438)</f>
        <v/>
      </c>
      <c r="B437">
        <f>SE('Dízimos Mensais'!A438="";"";"Dízimo - "&amp;'Dízimos Mensais'!B438)</f>
        <v/>
      </c>
      <c r="C437">
        <f>SE('Dízimos Mensais'!A438="";"";'Dízimos Mensais'!E438)</f>
        <v/>
      </c>
      <c r="D437">
        <f>SE('Dízimos Mensais'!A438="";"";0)</f>
        <v/>
      </c>
    </row>
    <row r="438">
      <c r="A438">
        <f>SE('Dízimos Mensais'!A439="";"";'Dízimos Mensais'!A439)</f>
        <v/>
      </c>
      <c r="B438">
        <f>SE('Dízimos Mensais'!A439="";"";"Dízimo - "&amp;'Dízimos Mensais'!B439)</f>
        <v/>
      </c>
      <c r="C438">
        <f>SE('Dízimos Mensais'!A439="";"";'Dízimos Mensais'!E439)</f>
        <v/>
      </c>
      <c r="D438">
        <f>SE('Dízimos Mensais'!A439="";"";0)</f>
        <v/>
      </c>
    </row>
    <row r="439">
      <c r="A439">
        <f>SE('Dízimos Mensais'!A440="";"";'Dízimos Mensais'!A440)</f>
        <v/>
      </c>
      <c r="B439">
        <f>SE('Dízimos Mensais'!A440="";"";"Dízimo - "&amp;'Dízimos Mensais'!B440)</f>
        <v/>
      </c>
      <c r="C439">
        <f>SE('Dízimos Mensais'!A440="";"";'Dízimos Mensais'!E440)</f>
        <v/>
      </c>
      <c r="D439">
        <f>SE('Dízimos Mensais'!A440="";"";0)</f>
        <v/>
      </c>
    </row>
    <row r="440">
      <c r="A440">
        <f>SE('Dízimos Mensais'!A441="";"";'Dízimos Mensais'!A441)</f>
        <v/>
      </c>
      <c r="B440">
        <f>SE('Dízimos Mensais'!A441="";"";"Dízimo - "&amp;'Dízimos Mensais'!B441)</f>
        <v/>
      </c>
      <c r="C440">
        <f>SE('Dízimos Mensais'!A441="";"";'Dízimos Mensais'!E441)</f>
        <v/>
      </c>
      <c r="D440">
        <f>SE('Dízimos Mensais'!A441="";"";0)</f>
        <v/>
      </c>
    </row>
    <row r="441">
      <c r="A441">
        <f>SE('Dízimos Mensais'!A442="";"";'Dízimos Mensais'!A442)</f>
        <v/>
      </c>
      <c r="B441">
        <f>SE('Dízimos Mensais'!A442="";"";"Dízimo - "&amp;'Dízimos Mensais'!B442)</f>
        <v/>
      </c>
      <c r="C441">
        <f>SE('Dízimos Mensais'!A442="";"";'Dízimos Mensais'!E442)</f>
        <v/>
      </c>
      <c r="D441">
        <f>SE('Dízimos Mensais'!A442="";"";0)</f>
        <v/>
      </c>
    </row>
    <row r="442">
      <c r="A442">
        <f>SE('Dízimos Mensais'!A443="";"";'Dízimos Mensais'!A443)</f>
        <v/>
      </c>
      <c r="B442">
        <f>SE('Dízimos Mensais'!A443="";"";"Dízimo - "&amp;'Dízimos Mensais'!B443)</f>
        <v/>
      </c>
      <c r="C442">
        <f>SE('Dízimos Mensais'!A443="";"";'Dízimos Mensais'!E443)</f>
        <v/>
      </c>
      <c r="D442">
        <f>SE('Dízimos Mensais'!A443="";"";0)</f>
        <v/>
      </c>
    </row>
    <row r="443">
      <c r="A443">
        <f>SE('Dízimos Mensais'!A444="";"";'Dízimos Mensais'!A444)</f>
        <v/>
      </c>
      <c r="B443">
        <f>SE('Dízimos Mensais'!A444="";"";"Dízimo - "&amp;'Dízimos Mensais'!B444)</f>
        <v/>
      </c>
      <c r="C443">
        <f>SE('Dízimos Mensais'!A444="";"";'Dízimos Mensais'!E444)</f>
        <v/>
      </c>
      <c r="D443">
        <f>SE('Dízimos Mensais'!A444="";"";0)</f>
        <v/>
      </c>
    </row>
    <row r="444">
      <c r="A444">
        <f>SE('Dízimos Mensais'!A445="";"";'Dízimos Mensais'!A445)</f>
        <v/>
      </c>
      <c r="B444">
        <f>SE('Dízimos Mensais'!A445="";"";"Dízimo - "&amp;'Dízimos Mensais'!B445)</f>
        <v/>
      </c>
      <c r="C444">
        <f>SE('Dízimos Mensais'!A445="";"";'Dízimos Mensais'!E445)</f>
        <v/>
      </c>
      <c r="D444">
        <f>SE('Dízimos Mensais'!A445="";"";0)</f>
        <v/>
      </c>
    </row>
    <row r="445">
      <c r="A445">
        <f>SE('Dízimos Mensais'!A446="";"";'Dízimos Mensais'!A446)</f>
        <v/>
      </c>
      <c r="B445">
        <f>SE('Dízimos Mensais'!A446="";"";"Dízimo - "&amp;'Dízimos Mensais'!B446)</f>
        <v/>
      </c>
      <c r="C445">
        <f>SE('Dízimos Mensais'!A446="";"";'Dízimos Mensais'!E446)</f>
        <v/>
      </c>
      <c r="D445">
        <f>SE('Dízimos Mensais'!A446="";"";0)</f>
        <v/>
      </c>
    </row>
    <row r="446">
      <c r="A446">
        <f>SE('Dízimos Mensais'!A447="";"";'Dízimos Mensais'!A447)</f>
        <v/>
      </c>
      <c r="B446">
        <f>SE('Dízimos Mensais'!A447="";"";"Dízimo - "&amp;'Dízimos Mensais'!B447)</f>
        <v/>
      </c>
      <c r="C446">
        <f>SE('Dízimos Mensais'!A447="";"";'Dízimos Mensais'!E447)</f>
        <v/>
      </c>
      <c r="D446">
        <f>SE('Dízimos Mensais'!A447="";"";0)</f>
        <v/>
      </c>
    </row>
    <row r="447">
      <c r="A447">
        <f>SE('Dízimos Mensais'!A448="";"";'Dízimos Mensais'!A448)</f>
        <v/>
      </c>
      <c r="B447">
        <f>SE('Dízimos Mensais'!A448="";"";"Dízimo - "&amp;'Dízimos Mensais'!B448)</f>
        <v/>
      </c>
      <c r="C447">
        <f>SE('Dízimos Mensais'!A448="";"";'Dízimos Mensais'!E448)</f>
        <v/>
      </c>
      <c r="D447">
        <f>SE('Dízimos Mensais'!A448="";"";0)</f>
        <v/>
      </c>
    </row>
    <row r="448">
      <c r="A448">
        <f>SE('Dízimos Mensais'!A449="";"";'Dízimos Mensais'!A449)</f>
        <v/>
      </c>
      <c r="B448">
        <f>SE('Dízimos Mensais'!A449="";"";"Dízimo - "&amp;'Dízimos Mensais'!B449)</f>
        <v/>
      </c>
      <c r="C448">
        <f>SE('Dízimos Mensais'!A449="";"";'Dízimos Mensais'!E449)</f>
        <v/>
      </c>
      <c r="D448">
        <f>SE('Dízimos Mensais'!A449="";"";0)</f>
        <v/>
      </c>
    </row>
    <row r="449">
      <c r="A449">
        <f>SE('Dízimos Mensais'!A450="";"";'Dízimos Mensais'!A450)</f>
        <v/>
      </c>
      <c r="B449">
        <f>SE('Dízimos Mensais'!A450="";"";"Dízimo - "&amp;'Dízimos Mensais'!B450)</f>
        <v/>
      </c>
      <c r="C449">
        <f>SE('Dízimos Mensais'!A450="";"";'Dízimos Mensais'!E450)</f>
        <v/>
      </c>
      <c r="D449">
        <f>SE('Dízimos Mensais'!A450="";"";0)</f>
        <v/>
      </c>
    </row>
    <row r="450">
      <c r="A450">
        <f>SE('Dízimos Mensais'!A451="";"";'Dízimos Mensais'!A451)</f>
        <v/>
      </c>
      <c r="B450">
        <f>SE('Dízimos Mensais'!A451="";"";"Dízimo - "&amp;'Dízimos Mensais'!B451)</f>
        <v/>
      </c>
      <c r="C450">
        <f>SE('Dízimos Mensais'!A451="";"";'Dízimos Mensais'!E451)</f>
        <v/>
      </c>
      <c r="D450">
        <f>SE('Dízimos Mensais'!A451="";"";0)</f>
        <v/>
      </c>
    </row>
    <row r="451">
      <c r="A451">
        <f>SE('Dízimos Mensais'!A452="";"";'Dízimos Mensais'!A452)</f>
        <v/>
      </c>
      <c r="B451">
        <f>SE('Dízimos Mensais'!A452="";"";"Dízimo - "&amp;'Dízimos Mensais'!B452)</f>
        <v/>
      </c>
      <c r="C451">
        <f>SE('Dízimos Mensais'!A452="";"";'Dízimos Mensais'!E452)</f>
        <v/>
      </c>
      <c r="D451">
        <f>SE('Dízimos Mensais'!A452="";"";0)</f>
        <v/>
      </c>
    </row>
    <row r="452">
      <c r="A452">
        <f>SE('Dízimos Mensais'!A453="";"";'Dízimos Mensais'!A453)</f>
        <v/>
      </c>
      <c r="B452">
        <f>SE('Dízimos Mensais'!A453="";"";"Dízimo - "&amp;'Dízimos Mensais'!B453)</f>
        <v/>
      </c>
      <c r="C452">
        <f>SE('Dízimos Mensais'!A453="";"";'Dízimos Mensais'!E453)</f>
        <v/>
      </c>
      <c r="D452">
        <f>SE('Dízimos Mensais'!A453="";"";0)</f>
        <v/>
      </c>
    </row>
    <row r="453">
      <c r="A453">
        <f>SE('Dízimos Mensais'!A454="";"";'Dízimos Mensais'!A454)</f>
        <v/>
      </c>
      <c r="B453">
        <f>SE('Dízimos Mensais'!A454="";"";"Dízimo - "&amp;'Dízimos Mensais'!B454)</f>
        <v/>
      </c>
      <c r="C453">
        <f>SE('Dízimos Mensais'!A454="";"";'Dízimos Mensais'!E454)</f>
        <v/>
      </c>
      <c r="D453">
        <f>SE('Dízimos Mensais'!A454="";"";0)</f>
        <v/>
      </c>
    </row>
    <row r="454">
      <c r="A454">
        <f>SE('Dízimos Mensais'!A455="";"";'Dízimos Mensais'!A455)</f>
        <v/>
      </c>
      <c r="B454">
        <f>SE('Dízimos Mensais'!A455="";"";"Dízimo - "&amp;'Dízimos Mensais'!B455)</f>
        <v/>
      </c>
      <c r="C454">
        <f>SE('Dízimos Mensais'!A455="";"";'Dízimos Mensais'!E455)</f>
        <v/>
      </c>
      <c r="D454">
        <f>SE('Dízimos Mensais'!A455="";"";0)</f>
        <v/>
      </c>
    </row>
    <row r="455">
      <c r="A455">
        <f>SE('Dízimos Mensais'!A456="";"";'Dízimos Mensais'!A456)</f>
        <v/>
      </c>
      <c r="B455">
        <f>SE('Dízimos Mensais'!A456="";"";"Dízimo - "&amp;'Dízimos Mensais'!B456)</f>
        <v/>
      </c>
      <c r="C455">
        <f>SE('Dízimos Mensais'!A456="";"";'Dízimos Mensais'!E456)</f>
        <v/>
      </c>
      <c r="D455">
        <f>SE('Dízimos Mensais'!A456="";"";0)</f>
        <v/>
      </c>
    </row>
    <row r="456">
      <c r="A456">
        <f>SE('Dízimos Mensais'!A457="";"";'Dízimos Mensais'!A457)</f>
        <v/>
      </c>
      <c r="B456">
        <f>SE('Dízimos Mensais'!A457="";"";"Dízimo - "&amp;'Dízimos Mensais'!B457)</f>
        <v/>
      </c>
      <c r="C456">
        <f>SE('Dízimos Mensais'!A457="";"";'Dízimos Mensais'!E457)</f>
        <v/>
      </c>
      <c r="D456">
        <f>SE('Dízimos Mensais'!A457="";"";0)</f>
        <v/>
      </c>
    </row>
    <row r="457">
      <c r="A457">
        <f>SE('Dízimos Mensais'!A458="";"";'Dízimos Mensais'!A458)</f>
        <v/>
      </c>
      <c r="B457">
        <f>SE('Dízimos Mensais'!A458="";"";"Dízimo - "&amp;'Dízimos Mensais'!B458)</f>
        <v/>
      </c>
      <c r="C457">
        <f>SE('Dízimos Mensais'!A458="";"";'Dízimos Mensais'!E458)</f>
        <v/>
      </c>
      <c r="D457">
        <f>SE('Dízimos Mensais'!A458="";"";0)</f>
        <v/>
      </c>
    </row>
    <row r="458">
      <c r="A458">
        <f>SE('Dízimos Mensais'!A459="";"";'Dízimos Mensais'!A459)</f>
        <v/>
      </c>
      <c r="B458">
        <f>SE('Dízimos Mensais'!A459="";"";"Dízimo - "&amp;'Dízimos Mensais'!B459)</f>
        <v/>
      </c>
      <c r="C458">
        <f>SE('Dízimos Mensais'!A459="";"";'Dízimos Mensais'!E459)</f>
        <v/>
      </c>
      <c r="D458">
        <f>SE('Dízimos Mensais'!A459="";"";0)</f>
        <v/>
      </c>
    </row>
    <row r="459">
      <c r="A459">
        <f>SE('Dízimos Mensais'!A460="";"";'Dízimos Mensais'!A460)</f>
        <v/>
      </c>
      <c r="B459">
        <f>SE('Dízimos Mensais'!A460="";"";"Dízimo - "&amp;'Dízimos Mensais'!B460)</f>
        <v/>
      </c>
      <c r="C459">
        <f>SE('Dízimos Mensais'!A460="";"";'Dízimos Mensais'!E460)</f>
        <v/>
      </c>
      <c r="D459">
        <f>SE('Dízimos Mensais'!A460="";"";0)</f>
        <v/>
      </c>
    </row>
    <row r="460">
      <c r="A460">
        <f>SE('Dízimos Mensais'!A461="";"";'Dízimos Mensais'!A461)</f>
        <v/>
      </c>
      <c r="B460">
        <f>SE('Dízimos Mensais'!A461="";"";"Dízimo - "&amp;'Dízimos Mensais'!B461)</f>
        <v/>
      </c>
      <c r="C460">
        <f>SE('Dízimos Mensais'!A461="";"";'Dízimos Mensais'!E461)</f>
        <v/>
      </c>
      <c r="D460">
        <f>SE('Dízimos Mensais'!A461="";"";0)</f>
        <v/>
      </c>
    </row>
    <row r="461">
      <c r="A461">
        <f>SE('Dízimos Mensais'!A462="";"";'Dízimos Mensais'!A462)</f>
        <v/>
      </c>
      <c r="B461">
        <f>SE('Dízimos Mensais'!A462="";"";"Dízimo - "&amp;'Dízimos Mensais'!B462)</f>
        <v/>
      </c>
      <c r="C461">
        <f>SE('Dízimos Mensais'!A462="";"";'Dízimos Mensais'!E462)</f>
        <v/>
      </c>
      <c r="D461">
        <f>SE('Dízimos Mensais'!A462="";"";0)</f>
        <v/>
      </c>
    </row>
    <row r="462">
      <c r="A462">
        <f>SE('Dízimos Mensais'!A463="";"";'Dízimos Mensais'!A463)</f>
        <v/>
      </c>
      <c r="B462">
        <f>SE('Dízimos Mensais'!A463="";"";"Dízimo - "&amp;'Dízimos Mensais'!B463)</f>
        <v/>
      </c>
      <c r="C462">
        <f>SE('Dízimos Mensais'!A463="";"";'Dízimos Mensais'!E463)</f>
        <v/>
      </c>
      <c r="D462">
        <f>SE('Dízimos Mensais'!A463="";"";0)</f>
        <v/>
      </c>
    </row>
    <row r="463">
      <c r="A463">
        <f>SE('Dízimos Mensais'!A464="";"";'Dízimos Mensais'!A464)</f>
        <v/>
      </c>
      <c r="B463">
        <f>SE('Dízimos Mensais'!A464="";"";"Dízimo - "&amp;'Dízimos Mensais'!B464)</f>
        <v/>
      </c>
      <c r="C463">
        <f>SE('Dízimos Mensais'!A464="";"";'Dízimos Mensais'!E464)</f>
        <v/>
      </c>
      <c r="D463">
        <f>SE('Dízimos Mensais'!A464="";"";0)</f>
        <v/>
      </c>
    </row>
    <row r="464">
      <c r="A464">
        <f>SE('Dízimos Mensais'!A465="";"";'Dízimos Mensais'!A465)</f>
        <v/>
      </c>
      <c r="B464">
        <f>SE('Dízimos Mensais'!A465="";"";"Dízimo - "&amp;'Dízimos Mensais'!B465)</f>
        <v/>
      </c>
      <c r="C464">
        <f>SE('Dízimos Mensais'!A465="";"";'Dízimos Mensais'!E465)</f>
        <v/>
      </c>
      <c r="D464">
        <f>SE('Dízimos Mensais'!A465="";"";0)</f>
        <v/>
      </c>
    </row>
    <row r="465">
      <c r="A465">
        <f>SE('Dízimos Mensais'!A466="";"";'Dízimos Mensais'!A466)</f>
        <v/>
      </c>
      <c r="B465">
        <f>SE('Dízimos Mensais'!A466="";"";"Dízimo - "&amp;'Dízimos Mensais'!B466)</f>
        <v/>
      </c>
      <c r="C465">
        <f>SE('Dízimos Mensais'!A466="";"";'Dízimos Mensais'!E466)</f>
        <v/>
      </c>
      <c r="D465">
        <f>SE('Dízimos Mensais'!A466="";"";0)</f>
        <v/>
      </c>
    </row>
    <row r="466">
      <c r="A466">
        <f>SE('Dízimos Mensais'!A467="";"";'Dízimos Mensais'!A467)</f>
        <v/>
      </c>
      <c r="B466">
        <f>SE('Dízimos Mensais'!A467="";"";"Dízimo - "&amp;'Dízimos Mensais'!B467)</f>
        <v/>
      </c>
      <c r="C466">
        <f>SE('Dízimos Mensais'!A467="";"";'Dízimos Mensais'!E467)</f>
        <v/>
      </c>
      <c r="D466">
        <f>SE('Dízimos Mensais'!A467="";"";0)</f>
        <v/>
      </c>
    </row>
    <row r="467">
      <c r="A467">
        <f>SE('Dízimos Mensais'!A468="";"";'Dízimos Mensais'!A468)</f>
        <v/>
      </c>
      <c r="B467">
        <f>SE('Dízimos Mensais'!A468="";"";"Dízimo - "&amp;'Dízimos Mensais'!B468)</f>
        <v/>
      </c>
      <c r="C467">
        <f>SE('Dízimos Mensais'!A468="";"";'Dízimos Mensais'!E468)</f>
        <v/>
      </c>
      <c r="D467">
        <f>SE('Dízimos Mensais'!A468="";"";0)</f>
        <v/>
      </c>
    </row>
    <row r="468">
      <c r="A468">
        <f>SE('Dízimos Mensais'!A469="";"";'Dízimos Mensais'!A469)</f>
        <v/>
      </c>
      <c r="B468">
        <f>SE('Dízimos Mensais'!A469="";"";"Dízimo - "&amp;'Dízimos Mensais'!B469)</f>
        <v/>
      </c>
      <c r="C468">
        <f>SE('Dízimos Mensais'!A469="";"";'Dízimos Mensais'!E469)</f>
        <v/>
      </c>
      <c r="D468">
        <f>SE('Dízimos Mensais'!A469="";"";0)</f>
        <v/>
      </c>
    </row>
    <row r="469">
      <c r="A469">
        <f>SE('Dízimos Mensais'!A470="";"";'Dízimos Mensais'!A470)</f>
        <v/>
      </c>
      <c r="B469">
        <f>SE('Dízimos Mensais'!A470="";"";"Dízimo - "&amp;'Dízimos Mensais'!B470)</f>
        <v/>
      </c>
      <c r="C469">
        <f>SE('Dízimos Mensais'!A470="";"";'Dízimos Mensais'!E470)</f>
        <v/>
      </c>
      <c r="D469">
        <f>SE('Dízimos Mensais'!A470="";"";0)</f>
        <v/>
      </c>
    </row>
    <row r="470">
      <c r="A470">
        <f>SE('Dízimos Mensais'!A471="";"";'Dízimos Mensais'!A471)</f>
        <v/>
      </c>
      <c r="B470">
        <f>SE('Dízimos Mensais'!A471="";"";"Dízimo - "&amp;'Dízimos Mensais'!B471)</f>
        <v/>
      </c>
      <c r="C470">
        <f>SE('Dízimos Mensais'!A471="";"";'Dízimos Mensais'!E471)</f>
        <v/>
      </c>
      <c r="D470">
        <f>SE('Dízimos Mensais'!A471="";"";0)</f>
        <v/>
      </c>
    </row>
    <row r="471">
      <c r="A471">
        <f>SE('Dízimos Mensais'!A472="";"";'Dízimos Mensais'!A472)</f>
        <v/>
      </c>
      <c r="B471">
        <f>SE('Dízimos Mensais'!A472="";"";"Dízimo - "&amp;'Dízimos Mensais'!B472)</f>
        <v/>
      </c>
      <c r="C471">
        <f>SE('Dízimos Mensais'!A472="";"";'Dízimos Mensais'!E472)</f>
        <v/>
      </c>
      <c r="D471">
        <f>SE('Dízimos Mensais'!A472="";"";0)</f>
        <v/>
      </c>
    </row>
    <row r="472">
      <c r="A472">
        <f>SE('Dízimos Mensais'!A473="";"";'Dízimos Mensais'!A473)</f>
        <v/>
      </c>
      <c r="B472">
        <f>SE('Dízimos Mensais'!A473="";"";"Dízimo - "&amp;'Dízimos Mensais'!B473)</f>
        <v/>
      </c>
      <c r="C472">
        <f>SE('Dízimos Mensais'!A473="";"";'Dízimos Mensais'!E473)</f>
        <v/>
      </c>
      <c r="D472">
        <f>SE('Dízimos Mensais'!A473="";"";0)</f>
        <v/>
      </c>
    </row>
    <row r="473">
      <c r="A473">
        <f>SE('Dízimos Mensais'!A474="";"";'Dízimos Mensais'!A474)</f>
        <v/>
      </c>
      <c r="B473">
        <f>SE('Dízimos Mensais'!A474="";"";"Dízimo - "&amp;'Dízimos Mensais'!B474)</f>
        <v/>
      </c>
      <c r="C473">
        <f>SE('Dízimos Mensais'!A474="";"";'Dízimos Mensais'!E474)</f>
        <v/>
      </c>
      <c r="D473">
        <f>SE('Dízimos Mensais'!A474="";"";0)</f>
        <v/>
      </c>
    </row>
    <row r="474">
      <c r="A474">
        <f>SE('Dízimos Mensais'!A475="";"";'Dízimos Mensais'!A475)</f>
        <v/>
      </c>
      <c r="B474">
        <f>SE('Dízimos Mensais'!A475="";"";"Dízimo - "&amp;'Dízimos Mensais'!B475)</f>
        <v/>
      </c>
      <c r="C474">
        <f>SE('Dízimos Mensais'!A475="";"";'Dízimos Mensais'!E475)</f>
        <v/>
      </c>
      <c r="D474">
        <f>SE('Dízimos Mensais'!A475="";"";0)</f>
        <v/>
      </c>
    </row>
    <row r="475">
      <c r="A475">
        <f>SE('Dízimos Mensais'!A476="";"";'Dízimos Mensais'!A476)</f>
        <v/>
      </c>
      <c r="B475">
        <f>SE('Dízimos Mensais'!A476="";"";"Dízimo - "&amp;'Dízimos Mensais'!B476)</f>
        <v/>
      </c>
      <c r="C475">
        <f>SE('Dízimos Mensais'!A476="";"";'Dízimos Mensais'!E476)</f>
        <v/>
      </c>
      <c r="D475">
        <f>SE('Dízimos Mensais'!A476="";"";0)</f>
        <v/>
      </c>
    </row>
    <row r="476">
      <c r="A476">
        <f>SE('Dízimos Mensais'!A477="";"";'Dízimos Mensais'!A477)</f>
        <v/>
      </c>
      <c r="B476">
        <f>SE('Dízimos Mensais'!A477="";"";"Dízimo - "&amp;'Dízimos Mensais'!B477)</f>
        <v/>
      </c>
      <c r="C476">
        <f>SE('Dízimos Mensais'!A477="";"";'Dízimos Mensais'!E477)</f>
        <v/>
      </c>
      <c r="D476">
        <f>SE('Dízimos Mensais'!A477="";"";0)</f>
        <v/>
      </c>
    </row>
    <row r="477">
      <c r="A477">
        <f>SE('Dízimos Mensais'!A478="";"";'Dízimos Mensais'!A478)</f>
        <v/>
      </c>
      <c r="B477">
        <f>SE('Dízimos Mensais'!A478="";"";"Dízimo - "&amp;'Dízimos Mensais'!B478)</f>
        <v/>
      </c>
      <c r="C477">
        <f>SE('Dízimos Mensais'!A478="";"";'Dízimos Mensais'!E478)</f>
        <v/>
      </c>
      <c r="D477">
        <f>SE('Dízimos Mensais'!A478="";"";0)</f>
        <v/>
      </c>
    </row>
    <row r="478">
      <c r="A478">
        <f>SE('Dízimos Mensais'!A479="";"";'Dízimos Mensais'!A479)</f>
        <v/>
      </c>
      <c r="B478">
        <f>SE('Dízimos Mensais'!A479="";"";"Dízimo - "&amp;'Dízimos Mensais'!B479)</f>
        <v/>
      </c>
      <c r="C478">
        <f>SE('Dízimos Mensais'!A479="";"";'Dízimos Mensais'!E479)</f>
        <v/>
      </c>
      <c r="D478">
        <f>SE('Dízimos Mensais'!A479="";"";0)</f>
        <v/>
      </c>
    </row>
    <row r="479">
      <c r="A479">
        <f>SE('Dízimos Mensais'!A480="";"";'Dízimos Mensais'!A480)</f>
        <v/>
      </c>
      <c r="B479">
        <f>SE('Dízimos Mensais'!A480="";"";"Dízimo - "&amp;'Dízimos Mensais'!B480)</f>
        <v/>
      </c>
      <c r="C479">
        <f>SE('Dízimos Mensais'!A480="";"";'Dízimos Mensais'!E480)</f>
        <v/>
      </c>
      <c r="D479">
        <f>SE('Dízimos Mensais'!A480="";"";0)</f>
        <v/>
      </c>
    </row>
    <row r="480">
      <c r="A480">
        <f>SE('Dízimos Mensais'!A481="";"";'Dízimos Mensais'!A481)</f>
        <v/>
      </c>
      <c r="B480">
        <f>SE('Dízimos Mensais'!A481="";"";"Dízimo - "&amp;'Dízimos Mensais'!B481)</f>
        <v/>
      </c>
      <c r="C480">
        <f>SE('Dízimos Mensais'!A481="";"";'Dízimos Mensais'!E481)</f>
        <v/>
      </c>
      <c r="D480">
        <f>SE('Dízimos Mensais'!A481="";"";0)</f>
        <v/>
      </c>
    </row>
    <row r="481">
      <c r="A481">
        <f>SE('Dízimos Mensais'!A482="";"";'Dízimos Mensais'!A482)</f>
        <v/>
      </c>
      <c r="B481">
        <f>SE('Dízimos Mensais'!A482="";"";"Dízimo - "&amp;'Dízimos Mensais'!B482)</f>
        <v/>
      </c>
      <c r="C481">
        <f>SE('Dízimos Mensais'!A482="";"";'Dízimos Mensais'!E482)</f>
        <v/>
      </c>
      <c r="D481">
        <f>SE('Dízimos Mensais'!A482="";"";0)</f>
        <v/>
      </c>
    </row>
    <row r="482">
      <c r="A482">
        <f>SE('Dízimos Mensais'!A483="";"";'Dízimos Mensais'!A483)</f>
        <v/>
      </c>
      <c r="B482">
        <f>SE('Dízimos Mensais'!A483="";"";"Dízimo - "&amp;'Dízimos Mensais'!B483)</f>
        <v/>
      </c>
      <c r="C482">
        <f>SE('Dízimos Mensais'!A483="";"";'Dízimos Mensais'!E483)</f>
        <v/>
      </c>
      <c r="D482">
        <f>SE('Dízimos Mensais'!A483="";"";0)</f>
        <v/>
      </c>
    </row>
    <row r="483">
      <c r="A483">
        <f>SE('Dízimos Mensais'!A484="";"";'Dízimos Mensais'!A484)</f>
        <v/>
      </c>
      <c r="B483">
        <f>SE('Dízimos Mensais'!A484="";"";"Dízimo - "&amp;'Dízimos Mensais'!B484)</f>
        <v/>
      </c>
      <c r="C483">
        <f>SE('Dízimos Mensais'!A484="";"";'Dízimos Mensais'!E484)</f>
        <v/>
      </c>
      <c r="D483">
        <f>SE('Dízimos Mensais'!A484="";"";0)</f>
        <v/>
      </c>
    </row>
    <row r="484">
      <c r="A484">
        <f>SE('Dízimos Mensais'!A485="";"";'Dízimos Mensais'!A485)</f>
        <v/>
      </c>
      <c r="B484">
        <f>SE('Dízimos Mensais'!A485="";"";"Dízimo - "&amp;'Dízimos Mensais'!B485)</f>
        <v/>
      </c>
      <c r="C484">
        <f>SE('Dízimos Mensais'!A485="";"";'Dízimos Mensais'!E485)</f>
        <v/>
      </c>
      <c r="D484">
        <f>SE('Dízimos Mensais'!A485="";"";0)</f>
        <v/>
      </c>
    </row>
    <row r="485">
      <c r="A485">
        <f>SE('Dízimos Mensais'!A486="";"";'Dízimos Mensais'!A486)</f>
        <v/>
      </c>
      <c r="B485">
        <f>SE('Dízimos Mensais'!A486="";"";"Dízimo - "&amp;'Dízimos Mensais'!B486)</f>
        <v/>
      </c>
      <c r="C485">
        <f>SE('Dízimos Mensais'!A486="";"";'Dízimos Mensais'!E486)</f>
        <v/>
      </c>
      <c r="D485">
        <f>SE('Dízimos Mensais'!A486="";"";0)</f>
        <v/>
      </c>
    </row>
    <row r="486">
      <c r="A486">
        <f>SE('Dízimos Mensais'!A487="";"";'Dízimos Mensais'!A487)</f>
        <v/>
      </c>
      <c r="B486">
        <f>SE('Dízimos Mensais'!A487="";"";"Dízimo - "&amp;'Dízimos Mensais'!B487)</f>
        <v/>
      </c>
      <c r="C486">
        <f>SE('Dízimos Mensais'!A487="";"";'Dízimos Mensais'!E487)</f>
        <v/>
      </c>
      <c r="D486">
        <f>SE('Dízimos Mensais'!A487="";"";0)</f>
        <v/>
      </c>
    </row>
    <row r="487">
      <c r="A487">
        <f>SE('Dízimos Mensais'!A488="";"";'Dízimos Mensais'!A488)</f>
        <v/>
      </c>
      <c r="B487">
        <f>SE('Dízimos Mensais'!A488="";"";"Dízimo - "&amp;'Dízimos Mensais'!B488)</f>
        <v/>
      </c>
      <c r="C487">
        <f>SE('Dízimos Mensais'!A488="";"";'Dízimos Mensais'!E488)</f>
        <v/>
      </c>
      <c r="D487">
        <f>SE('Dízimos Mensais'!A488="";"";0)</f>
        <v/>
      </c>
    </row>
    <row r="488">
      <c r="A488">
        <f>SE('Dízimos Mensais'!A489="";"";'Dízimos Mensais'!A489)</f>
        <v/>
      </c>
      <c r="B488">
        <f>SE('Dízimos Mensais'!A489="";"";"Dízimo - "&amp;'Dízimos Mensais'!B489)</f>
        <v/>
      </c>
      <c r="C488">
        <f>SE('Dízimos Mensais'!A489="";"";'Dízimos Mensais'!E489)</f>
        <v/>
      </c>
      <c r="D488">
        <f>SE('Dízimos Mensais'!A489="";"";0)</f>
        <v/>
      </c>
    </row>
    <row r="489">
      <c r="A489">
        <f>SE('Dízimos Mensais'!A490="";"";'Dízimos Mensais'!A490)</f>
        <v/>
      </c>
      <c r="B489">
        <f>SE('Dízimos Mensais'!A490="";"";"Dízimo - "&amp;'Dízimos Mensais'!B490)</f>
        <v/>
      </c>
      <c r="C489">
        <f>SE('Dízimos Mensais'!A490="";"";'Dízimos Mensais'!E490)</f>
        <v/>
      </c>
      <c r="D489">
        <f>SE('Dízimos Mensais'!A490="";"";0)</f>
        <v/>
      </c>
    </row>
    <row r="490">
      <c r="A490">
        <f>SE('Dízimos Mensais'!A491="";"";'Dízimos Mensais'!A491)</f>
        <v/>
      </c>
      <c r="B490">
        <f>SE('Dízimos Mensais'!A491="";"";"Dízimo - "&amp;'Dízimos Mensais'!B491)</f>
        <v/>
      </c>
      <c r="C490">
        <f>SE('Dízimos Mensais'!A491="";"";'Dízimos Mensais'!E491)</f>
        <v/>
      </c>
      <c r="D490">
        <f>SE('Dízimos Mensais'!A491="";"";0)</f>
        <v/>
      </c>
    </row>
    <row r="491">
      <c r="A491">
        <f>SE('Dízimos Mensais'!A492="";"";'Dízimos Mensais'!A492)</f>
        <v/>
      </c>
      <c r="B491">
        <f>SE('Dízimos Mensais'!A492="";"";"Dízimo - "&amp;'Dízimos Mensais'!B492)</f>
        <v/>
      </c>
      <c r="C491">
        <f>SE('Dízimos Mensais'!A492="";"";'Dízimos Mensais'!E492)</f>
        <v/>
      </c>
      <c r="D491">
        <f>SE('Dízimos Mensais'!A492="";"";0)</f>
        <v/>
      </c>
    </row>
    <row r="492">
      <c r="A492">
        <f>SE('Dízimos Mensais'!A493="";"";'Dízimos Mensais'!A493)</f>
        <v/>
      </c>
      <c r="B492">
        <f>SE('Dízimos Mensais'!A493="";"";"Dízimo - "&amp;'Dízimos Mensais'!B493)</f>
        <v/>
      </c>
      <c r="C492">
        <f>SE('Dízimos Mensais'!A493="";"";'Dízimos Mensais'!E493)</f>
        <v/>
      </c>
      <c r="D492">
        <f>SE('Dízimos Mensais'!A493="";"";0)</f>
        <v/>
      </c>
    </row>
    <row r="493">
      <c r="A493">
        <f>SE('Dízimos Mensais'!A494="";"";'Dízimos Mensais'!A494)</f>
        <v/>
      </c>
      <c r="B493">
        <f>SE('Dízimos Mensais'!A494="";"";"Dízimo - "&amp;'Dízimos Mensais'!B494)</f>
        <v/>
      </c>
      <c r="C493">
        <f>SE('Dízimos Mensais'!A494="";"";'Dízimos Mensais'!E494)</f>
        <v/>
      </c>
      <c r="D493">
        <f>SE('Dízimos Mensais'!A494="";"";0)</f>
        <v/>
      </c>
    </row>
    <row r="494">
      <c r="A494">
        <f>SE('Dízimos Mensais'!A495="";"";'Dízimos Mensais'!A495)</f>
        <v/>
      </c>
      <c r="B494">
        <f>SE('Dízimos Mensais'!A495="";"";"Dízimo - "&amp;'Dízimos Mensais'!B495)</f>
        <v/>
      </c>
      <c r="C494">
        <f>SE('Dízimos Mensais'!A495="";"";'Dízimos Mensais'!E495)</f>
        <v/>
      </c>
      <c r="D494">
        <f>SE('Dízimos Mensais'!A495="";"";0)</f>
        <v/>
      </c>
    </row>
    <row r="495">
      <c r="A495">
        <f>SE('Dízimos Mensais'!A496="";"";'Dízimos Mensais'!A496)</f>
        <v/>
      </c>
      <c r="B495">
        <f>SE('Dízimos Mensais'!A496="";"";"Dízimo - "&amp;'Dízimos Mensais'!B496)</f>
        <v/>
      </c>
      <c r="C495">
        <f>SE('Dízimos Mensais'!A496="";"";'Dízimos Mensais'!E496)</f>
        <v/>
      </c>
      <c r="D495">
        <f>SE('Dízimos Mensais'!A496="";"";0)</f>
        <v/>
      </c>
    </row>
    <row r="496">
      <c r="A496">
        <f>SE('Dízimos Mensais'!A497="";"";'Dízimos Mensais'!A497)</f>
        <v/>
      </c>
      <c r="B496">
        <f>SE('Dízimos Mensais'!A497="";"";"Dízimo - "&amp;'Dízimos Mensais'!B497)</f>
        <v/>
      </c>
      <c r="C496">
        <f>SE('Dízimos Mensais'!A497="";"";'Dízimos Mensais'!E497)</f>
        <v/>
      </c>
      <c r="D496">
        <f>SE('Dízimos Mensais'!A497="";"";0)</f>
        <v/>
      </c>
    </row>
    <row r="497">
      <c r="A497">
        <f>SE('Dízimos Mensais'!A498="";"";'Dízimos Mensais'!A498)</f>
        <v/>
      </c>
      <c r="B497">
        <f>SE('Dízimos Mensais'!A498="";"";"Dízimo - "&amp;'Dízimos Mensais'!B498)</f>
        <v/>
      </c>
      <c r="C497">
        <f>SE('Dízimos Mensais'!A498="";"";'Dízimos Mensais'!E498)</f>
        <v/>
      </c>
      <c r="D497">
        <f>SE('Dízimos Mensais'!A498="";"";0)</f>
        <v/>
      </c>
    </row>
    <row r="498">
      <c r="A498">
        <f>SE('Dízimos Mensais'!A499="";"";'Dízimos Mensais'!A499)</f>
        <v/>
      </c>
      <c r="B498">
        <f>SE('Dízimos Mensais'!A499="";"";"Dízimo - "&amp;'Dízimos Mensais'!B499)</f>
        <v/>
      </c>
      <c r="C498">
        <f>SE('Dízimos Mensais'!A499="";"";'Dízimos Mensais'!E499)</f>
        <v/>
      </c>
      <c r="D498">
        <f>SE('Dízimos Mensais'!A499="";"";0)</f>
        <v/>
      </c>
    </row>
    <row r="499">
      <c r="A499">
        <f>SE('Dízimos Mensais'!A500="";"";'Dízimos Mensais'!A500)</f>
        <v/>
      </c>
      <c r="B499">
        <f>SE('Dízimos Mensais'!A500="";"";"Dízimo - "&amp;'Dízimos Mensais'!B500)</f>
        <v/>
      </c>
      <c r="C499">
        <f>SE('Dízimos Mensais'!A500="";"";'Dízimos Mensais'!E500)</f>
        <v/>
      </c>
      <c r="D499">
        <f>SE('Dízimos Mensais'!A500="";"";0)</f>
        <v/>
      </c>
    </row>
    <row r="500">
      <c r="A500">
        <f>SE('Dízimos Mensais'!A501="";"";'Dízimos Mensais'!A501)</f>
        <v/>
      </c>
      <c r="B500">
        <f>SE('Dízimos Mensais'!A501="";"";"Dízimo - "&amp;'Dízimos Mensais'!B501)</f>
        <v/>
      </c>
      <c r="C500">
        <f>SE('Dízimos Mensais'!A501="";"";'Dízimos Mensais'!E501)</f>
        <v/>
      </c>
      <c r="D500">
        <f>SE('Dízimos Mensais'!A501="";"";0)</f>
        <v/>
      </c>
    </row>
    <row r="501">
      <c r="A501">
        <f>SE('Dízimos Mensais'!A502="";"";'Dízimos Mensais'!A502)</f>
        <v/>
      </c>
      <c r="B501">
        <f>SE('Dízimos Mensais'!A502="";"";"Dízimo - "&amp;'Dízimos Mensais'!B502)</f>
        <v/>
      </c>
      <c r="C501">
        <f>SE('Dízimos Mensais'!A502="";"";'Dízimos Mensais'!E502)</f>
        <v/>
      </c>
      <c r="D501">
        <f>SE('Dízimos Mensais'!A502="";"";0)</f>
        <v/>
      </c>
    </row>
    <row r="502">
      <c r="A502">
        <f>SE(Doações!A3="";"";Doações!A3)</f>
        <v/>
      </c>
      <c r="B502">
        <f>SE(Doações!A3="";"";"Doação - "&amp;Doações!B3)</f>
        <v/>
      </c>
      <c r="C502">
        <f>SE(Doações!A3="";"";Doações!D3)</f>
        <v/>
      </c>
      <c r="D502">
        <f>SE(Doações!A3="";"";0)</f>
        <v/>
      </c>
    </row>
    <row r="503">
      <c r="A503">
        <f>SE(Doações!A4="";"";Doações!A4)</f>
        <v/>
      </c>
      <c r="B503">
        <f>SE(Doações!A4="";"";"Doação - "&amp;Doações!B4)</f>
        <v/>
      </c>
      <c r="C503">
        <f>SE(Doações!A4="";"";Doações!D4)</f>
        <v/>
      </c>
      <c r="D503">
        <f>SE(Doações!A4="";"";0)</f>
        <v/>
      </c>
    </row>
    <row r="504">
      <c r="A504">
        <f>SE(Doações!A5="";"";Doações!A5)</f>
        <v/>
      </c>
      <c r="B504">
        <f>SE(Doações!A5="";"";"Doação - "&amp;Doações!B5)</f>
        <v/>
      </c>
      <c r="C504">
        <f>SE(Doações!A5="";"";Doações!D5)</f>
        <v/>
      </c>
      <c r="D504">
        <f>SE(Doações!A5="";"";0)</f>
        <v/>
      </c>
    </row>
    <row r="505">
      <c r="A505">
        <f>SE(Doações!A6="";"";Doações!A6)</f>
        <v/>
      </c>
      <c r="B505">
        <f>SE(Doações!A6="";"";"Doação - "&amp;Doações!B6)</f>
        <v/>
      </c>
      <c r="C505">
        <f>SE(Doações!A6="";"";Doações!D6)</f>
        <v/>
      </c>
      <c r="D505">
        <f>SE(Doações!A6="";"";0)</f>
        <v/>
      </c>
    </row>
    <row r="506">
      <c r="A506">
        <f>SE(Doações!A7="";"";Doações!A7)</f>
        <v/>
      </c>
      <c r="B506">
        <f>SE(Doações!A7="";"";"Doação - "&amp;Doações!B7)</f>
        <v/>
      </c>
      <c r="C506">
        <f>SE(Doações!A7="";"";Doações!D7)</f>
        <v/>
      </c>
      <c r="D506">
        <f>SE(Doações!A7="";"";0)</f>
        <v/>
      </c>
    </row>
    <row r="507">
      <c r="A507">
        <f>SE(Doações!A8="";"";Doações!A8)</f>
        <v/>
      </c>
      <c r="B507">
        <f>SE(Doações!A8="";"";"Doação - "&amp;Doações!B8)</f>
        <v/>
      </c>
      <c r="C507">
        <f>SE(Doações!A8="";"";Doações!D8)</f>
        <v/>
      </c>
      <c r="D507">
        <f>SE(Doações!A8="";"";0)</f>
        <v/>
      </c>
    </row>
    <row r="508">
      <c r="A508">
        <f>SE(Doações!A9="";"";Doações!A9)</f>
        <v/>
      </c>
      <c r="B508">
        <f>SE(Doações!A9="";"";"Doação - "&amp;Doações!B9)</f>
        <v/>
      </c>
      <c r="C508">
        <f>SE(Doações!A9="";"";Doações!D9)</f>
        <v/>
      </c>
      <c r="D508">
        <f>SE(Doações!A9="";"";0)</f>
        <v/>
      </c>
    </row>
    <row r="509">
      <c r="A509">
        <f>SE(Doações!A10="";"";Doações!A10)</f>
        <v/>
      </c>
      <c r="B509">
        <f>SE(Doações!A10="";"";"Doação - "&amp;Doações!B10)</f>
        <v/>
      </c>
      <c r="C509">
        <f>SE(Doações!A10="";"";Doações!D10)</f>
        <v/>
      </c>
      <c r="D509">
        <f>SE(Doações!A10="";"";0)</f>
        <v/>
      </c>
    </row>
    <row r="510">
      <c r="A510">
        <f>SE(Doações!A11="";"";Doações!A11)</f>
        <v/>
      </c>
      <c r="B510">
        <f>SE(Doações!A11="";"";"Doação - "&amp;Doações!B11)</f>
        <v/>
      </c>
      <c r="C510">
        <f>SE(Doações!A11="";"";Doações!D11)</f>
        <v/>
      </c>
      <c r="D510">
        <f>SE(Doações!A11="";"";0)</f>
        <v/>
      </c>
    </row>
    <row r="511">
      <c r="A511">
        <f>SE(Doações!A12="";"";Doações!A12)</f>
        <v/>
      </c>
      <c r="B511">
        <f>SE(Doações!A12="";"";"Doação - "&amp;Doações!B12)</f>
        <v/>
      </c>
      <c r="C511">
        <f>SE(Doações!A12="";"";Doações!D12)</f>
        <v/>
      </c>
      <c r="D511">
        <f>SE(Doações!A12="";"";0)</f>
        <v/>
      </c>
    </row>
    <row r="512">
      <c r="A512">
        <f>SE(Doações!A13="";"";Doações!A13)</f>
        <v/>
      </c>
      <c r="B512">
        <f>SE(Doações!A13="";"";"Doação - "&amp;Doações!B13)</f>
        <v/>
      </c>
      <c r="C512">
        <f>SE(Doações!A13="";"";Doações!D13)</f>
        <v/>
      </c>
      <c r="D512">
        <f>SE(Doações!A13="";"";0)</f>
        <v/>
      </c>
    </row>
    <row r="513">
      <c r="A513">
        <f>SE(Doações!A14="";"";Doações!A14)</f>
        <v/>
      </c>
      <c r="B513">
        <f>SE(Doações!A14="";"";"Doação - "&amp;Doações!B14)</f>
        <v/>
      </c>
      <c r="C513">
        <f>SE(Doações!A14="";"";Doações!D14)</f>
        <v/>
      </c>
      <c r="D513">
        <f>SE(Doações!A14="";"";0)</f>
        <v/>
      </c>
    </row>
    <row r="514">
      <c r="A514">
        <f>SE(Doações!A15="";"";Doações!A15)</f>
        <v/>
      </c>
      <c r="B514">
        <f>SE(Doações!A15="";"";"Doação - "&amp;Doações!B15)</f>
        <v/>
      </c>
      <c r="C514">
        <f>SE(Doações!A15="";"";Doações!D15)</f>
        <v/>
      </c>
      <c r="D514">
        <f>SE(Doações!A15="";"";0)</f>
        <v/>
      </c>
    </row>
    <row r="515">
      <c r="A515">
        <f>SE(Doações!A16="";"";Doações!A16)</f>
        <v/>
      </c>
      <c r="B515">
        <f>SE(Doações!A16="";"";"Doação - "&amp;Doações!B16)</f>
        <v/>
      </c>
      <c r="C515">
        <f>SE(Doações!A16="";"";Doações!D16)</f>
        <v/>
      </c>
      <c r="D515">
        <f>SE(Doações!A16="";"";0)</f>
        <v/>
      </c>
    </row>
    <row r="516">
      <c r="A516">
        <f>SE(Doações!A17="";"";Doações!A17)</f>
        <v/>
      </c>
      <c r="B516">
        <f>SE(Doações!A17="";"";"Doação - "&amp;Doações!B17)</f>
        <v/>
      </c>
      <c r="C516">
        <f>SE(Doações!A17="";"";Doações!D17)</f>
        <v/>
      </c>
      <c r="D516">
        <f>SE(Doações!A17="";"";0)</f>
        <v/>
      </c>
    </row>
    <row r="517">
      <c r="A517">
        <f>SE(Doações!A18="";"";Doações!A18)</f>
        <v/>
      </c>
      <c r="B517">
        <f>SE(Doações!A18="";"";"Doação - "&amp;Doações!B18)</f>
        <v/>
      </c>
      <c r="C517">
        <f>SE(Doações!A18="";"";Doações!D18)</f>
        <v/>
      </c>
      <c r="D517">
        <f>SE(Doações!A18="";"";0)</f>
        <v/>
      </c>
    </row>
    <row r="518">
      <c r="A518">
        <f>SE(Doações!A19="";"";Doações!A19)</f>
        <v/>
      </c>
      <c r="B518">
        <f>SE(Doações!A19="";"";"Doação - "&amp;Doações!B19)</f>
        <v/>
      </c>
      <c r="C518">
        <f>SE(Doações!A19="";"";Doações!D19)</f>
        <v/>
      </c>
      <c r="D518">
        <f>SE(Doações!A19="";"";0)</f>
        <v/>
      </c>
    </row>
    <row r="519">
      <c r="A519">
        <f>SE(Doações!A20="";"";Doações!A20)</f>
        <v/>
      </c>
      <c r="B519">
        <f>SE(Doações!A20="";"";"Doação - "&amp;Doações!B20)</f>
        <v/>
      </c>
      <c r="C519">
        <f>SE(Doações!A20="";"";Doações!D20)</f>
        <v/>
      </c>
      <c r="D519">
        <f>SE(Doações!A20="";"";0)</f>
        <v/>
      </c>
    </row>
    <row r="520">
      <c r="A520">
        <f>SE(Doações!A21="";"";Doações!A21)</f>
        <v/>
      </c>
      <c r="B520">
        <f>SE(Doações!A21="";"";"Doação - "&amp;Doações!B21)</f>
        <v/>
      </c>
      <c r="C520">
        <f>SE(Doações!A21="";"";Doações!D21)</f>
        <v/>
      </c>
      <c r="D520">
        <f>SE(Doações!A21="";"";0)</f>
        <v/>
      </c>
    </row>
    <row r="521">
      <c r="A521">
        <f>SE(Doações!A22="";"";Doações!A22)</f>
        <v/>
      </c>
      <c r="B521">
        <f>SE(Doações!A22="";"";"Doação - "&amp;Doações!B22)</f>
        <v/>
      </c>
      <c r="C521">
        <f>SE(Doações!A22="";"";Doações!D22)</f>
        <v/>
      </c>
      <c r="D521">
        <f>SE(Doações!A22="";"";0)</f>
        <v/>
      </c>
    </row>
    <row r="522">
      <c r="A522">
        <f>SE(Doações!A23="";"";Doações!A23)</f>
        <v/>
      </c>
      <c r="B522">
        <f>SE(Doações!A23="";"";"Doação - "&amp;Doações!B23)</f>
        <v/>
      </c>
      <c r="C522">
        <f>SE(Doações!A23="";"";Doações!D23)</f>
        <v/>
      </c>
      <c r="D522">
        <f>SE(Doações!A23="";"";0)</f>
        <v/>
      </c>
    </row>
    <row r="523">
      <c r="A523">
        <f>SE(Doações!A24="";"";Doações!A24)</f>
        <v/>
      </c>
      <c r="B523">
        <f>SE(Doações!A24="";"";"Doação - "&amp;Doações!B24)</f>
        <v/>
      </c>
      <c r="C523">
        <f>SE(Doações!A24="";"";Doações!D24)</f>
        <v/>
      </c>
      <c r="D523">
        <f>SE(Doações!A24="";"";0)</f>
        <v/>
      </c>
    </row>
    <row r="524">
      <c r="A524">
        <f>SE(Doações!A25="";"";Doações!A25)</f>
        <v/>
      </c>
      <c r="B524">
        <f>SE(Doações!A25="";"";"Doação - "&amp;Doações!B25)</f>
        <v/>
      </c>
      <c r="C524">
        <f>SE(Doações!A25="";"";Doações!D25)</f>
        <v/>
      </c>
      <c r="D524">
        <f>SE(Doações!A25="";"";0)</f>
        <v/>
      </c>
    </row>
    <row r="525">
      <c r="A525">
        <f>SE(Doações!A26="";"";Doações!A26)</f>
        <v/>
      </c>
      <c r="B525">
        <f>SE(Doações!A26="";"";"Doação - "&amp;Doações!B26)</f>
        <v/>
      </c>
      <c r="C525">
        <f>SE(Doações!A26="";"";Doações!D26)</f>
        <v/>
      </c>
      <c r="D525">
        <f>SE(Doações!A26="";"";0)</f>
        <v/>
      </c>
    </row>
    <row r="526">
      <c r="A526">
        <f>SE(Doações!A27="";"";Doações!A27)</f>
        <v/>
      </c>
      <c r="B526">
        <f>SE(Doações!A27="";"";"Doação - "&amp;Doações!B27)</f>
        <v/>
      </c>
      <c r="C526">
        <f>SE(Doações!A27="";"";Doações!D27)</f>
        <v/>
      </c>
      <c r="D526">
        <f>SE(Doações!A27="";"";0)</f>
        <v/>
      </c>
    </row>
    <row r="527">
      <c r="A527">
        <f>SE(Doações!A28="";"";Doações!A28)</f>
        <v/>
      </c>
      <c r="B527">
        <f>SE(Doações!A28="";"";"Doação - "&amp;Doações!B28)</f>
        <v/>
      </c>
      <c r="C527">
        <f>SE(Doações!A28="";"";Doações!D28)</f>
        <v/>
      </c>
      <c r="D527">
        <f>SE(Doações!A28="";"";0)</f>
        <v/>
      </c>
    </row>
    <row r="528">
      <c r="A528">
        <f>SE(Doações!A29="";"";Doações!A29)</f>
        <v/>
      </c>
      <c r="B528">
        <f>SE(Doações!A29="";"";"Doação - "&amp;Doações!B29)</f>
        <v/>
      </c>
      <c r="C528">
        <f>SE(Doações!A29="";"";Doações!D29)</f>
        <v/>
      </c>
      <c r="D528">
        <f>SE(Doações!A29="";"";0)</f>
        <v/>
      </c>
    </row>
    <row r="529">
      <c r="A529">
        <f>SE(Doações!A30="";"";Doações!A30)</f>
        <v/>
      </c>
      <c r="B529">
        <f>SE(Doações!A30="";"";"Doação - "&amp;Doações!B30)</f>
        <v/>
      </c>
      <c r="C529">
        <f>SE(Doações!A30="";"";Doações!D30)</f>
        <v/>
      </c>
      <c r="D529">
        <f>SE(Doações!A30="";"";0)</f>
        <v/>
      </c>
    </row>
    <row r="530">
      <c r="A530">
        <f>SE(Doações!A31="";"";Doações!A31)</f>
        <v/>
      </c>
      <c r="B530">
        <f>SE(Doações!A31="";"";"Doação - "&amp;Doações!B31)</f>
        <v/>
      </c>
      <c r="C530">
        <f>SE(Doações!A31="";"";Doações!D31)</f>
        <v/>
      </c>
      <c r="D530">
        <f>SE(Doações!A31="";"";0)</f>
        <v/>
      </c>
    </row>
    <row r="531">
      <c r="A531">
        <f>SE(Doações!A32="";"";Doações!A32)</f>
        <v/>
      </c>
      <c r="B531">
        <f>SE(Doações!A32="";"";"Doação - "&amp;Doações!B32)</f>
        <v/>
      </c>
      <c r="C531">
        <f>SE(Doações!A32="";"";Doações!D32)</f>
        <v/>
      </c>
      <c r="D531">
        <f>SE(Doações!A32="";"";0)</f>
        <v/>
      </c>
    </row>
    <row r="532">
      <c r="A532">
        <f>SE(Doações!A33="";"";Doações!A33)</f>
        <v/>
      </c>
      <c r="B532">
        <f>SE(Doações!A33="";"";"Doação - "&amp;Doações!B33)</f>
        <v/>
      </c>
      <c r="C532">
        <f>SE(Doações!A33="";"";Doações!D33)</f>
        <v/>
      </c>
      <c r="D532">
        <f>SE(Doações!A33="";"";0)</f>
        <v/>
      </c>
    </row>
    <row r="533">
      <c r="A533">
        <f>SE(Doações!A34="";"";Doações!A34)</f>
        <v/>
      </c>
      <c r="B533">
        <f>SE(Doações!A34="";"";"Doação - "&amp;Doações!B34)</f>
        <v/>
      </c>
      <c r="C533">
        <f>SE(Doações!A34="";"";Doações!D34)</f>
        <v/>
      </c>
      <c r="D533">
        <f>SE(Doações!A34="";"";0)</f>
        <v/>
      </c>
    </row>
    <row r="534">
      <c r="A534">
        <f>SE(Doações!A35="";"";Doações!A35)</f>
        <v/>
      </c>
      <c r="B534">
        <f>SE(Doações!A35="";"";"Doação - "&amp;Doações!B35)</f>
        <v/>
      </c>
      <c r="C534">
        <f>SE(Doações!A35="";"";Doações!D35)</f>
        <v/>
      </c>
      <c r="D534">
        <f>SE(Doações!A35="";"";0)</f>
        <v/>
      </c>
    </row>
    <row r="535">
      <c r="A535">
        <f>SE(Doações!A36="";"";Doações!A36)</f>
        <v/>
      </c>
      <c r="B535">
        <f>SE(Doações!A36="";"";"Doação - "&amp;Doações!B36)</f>
        <v/>
      </c>
      <c r="C535">
        <f>SE(Doações!A36="";"";Doações!D36)</f>
        <v/>
      </c>
      <c r="D535">
        <f>SE(Doações!A36="";"";0)</f>
        <v/>
      </c>
    </row>
    <row r="536">
      <c r="A536">
        <f>SE(Doações!A37="";"";Doações!A37)</f>
        <v/>
      </c>
      <c r="B536">
        <f>SE(Doações!A37="";"";"Doação - "&amp;Doações!B37)</f>
        <v/>
      </c>
      <c r="C536">
        <f>SE(Doações!A37="";"";Doações!D37)</f>
        <v/>
      </c>
      <c r="D536">
        <f>SE(Doações!A37="";"";0)</f>
        <v/>
      </c>
    </row>
    <row r="537">
      <c r="A537">
        <f>SE(Doações!A38="";"";Doações!A38)</f>
        <v/>
      </c>
      <c r="B537">
        <f>SE(Doações!A38="";"";"Doação - "&amp;Doações!B38)</f>
        <v/>
      </c>
      <c r="C537">
        <f>SE(Doações!A38="";"";Doações!D38)</f>
        <v/>
      </c>
      <c r="D537">
        <f>SE(Doações!A38="";"";0)</f>
        <v/>
      </c>
    </row>
    <row r="538">
      <c r="A538">
        <f>SE(Doações!A39="";"";Doações!A39)</f>
        <v/>
      </c>
      <c r="B538">
        <f>SE(Doações!A39="";"";"Doação - "&amp;Doações!B39)</f>
        <v/>
      </c>
      <c r="C538">
        <f>SE(Doações!A39="";"";Doações!D39)</f>
        <v/>
      </c>
      <c r="D538">
        <f>SE(Doações!A39="";"";0)</f>
        <v/>
      </c>
    </row>
    <row r="539">
      <c r="A539">
        <f>SE(Doações!A40="";"";Doações!A40)</f>
        <v/>
      </c>
      <c r="B539">
        <f>SE(Doações!A40="";"";"Doação - "&amp;Doações!B40)</f>
        <v/>
      </c>
      <c r="C539">
        <f>SE(Doações!A40="";"";Doações!D40)</f>
        <v/>
      </c>
      <c r="D539">
        <f>SE(Doações!A40="";"";0)</f>
        <v/>
      </c>
    </row>
    <row r="540">
      <c r="A540">
        <f>SE(Doações!A41="";"";Doações!A41)</f>
        <v/>
      </c>
      <c r="B540">
        <f>SE(Doações!A41="";"";"Doação - "&amp;Doações!B41)</f>
        <v/>
      </c>
      <c r="C540">
        <f>SE(Doações!A41="";"";Doações!D41)</f>
        <v/>
      </c>
      <c r="D540">
        <f>SE(Doações!A41="";"";0)</f>
        <v/>
      </c>
    </row>
    <row r="541">
      <c r="A541">
        <f>SE(Doações!A42="";"";Doações!A42)</f>
        <v/>
      </c>
      <c r="B541">
        <f>SE(Doações!A42="";"";"Doação - "&amp;Doações!B42)</f>
        <v/>
      </c>
      <c r="C541">
        <f>SE(Doações!A42="";"";Doações!D42)</f>
        <v/>
      </c>
      <c r="D541">
        <f>SE(Doações!A42="";"";0)</f>
        <v/>
      </c>
    </row>
    <row r="542">
      <c r="A542">
        <f>SE(Doações!A43="";"";Doações!A43)</f>
        <v/>
      </c>
      <c r="B542">
        <f>SE(Doações!A43="";"";"Doação - "&amp;Doações!B43)</f>
        <v/>
      </c>
      <c r="C542">
        <f>SE(Doações!A43="";"";Doações!D43)</f>
        <v/>
      </c>
      <c r="D542">
        <f>SE(Doações!A43="";"";0)</f>
        <v/>
      </c>
    </row>
    <row r="543">
      <c r="A543">
        <f>SE(Doações!A44="";"";Doações!A44)</f>
        <v/>
      </c>
      <c r="B543">
        <f>SE(Doações!A44="";"";"Doação - "&amp;Doações!B44)</f>
        <v/>
      </c>
      <c r="C543">
        <f>SE(Doações!A44="";"";Doações!D44)</f>
        <v/>
      </c>
      <c r="D543">
        <f>SE(Doações!A44="";"";0)</f>
        <v/>
      </c>
    </row>
    <row r="544">
      <c r="A544">
        <f>SE(Doações!A45="";"";Doações!A45)</f>
        <v/>
      </c>
      <c r="B544">
        <f>SE(Doações!A45="";"";"Doação - "&amp;Doações!B45)</f>
        <v/>
      </c>
      <c r="C544">
        <f>SE(Doações!A45="";"";Doações!D45)</f>
        <v/>
      </c>
      <c r="D544">
        <f>SE(Doações!A45="";"";0)</f>
        <v/>
      </c>
    </row>
    <row r="545">
      <c r="A545">
        <f>SE(Doações!A46="";"";Doações!A46)</f>
        <v/>
      </c>
      <c r="B545">
        <f>SE(Doações!A46="";"";"Doação - "&amp;Doações!B46)</f>
        <v/>
      </c>
      <c r="C545">
        <f>SE(Doações!A46="";"";Doações!D46)</f>
        <v/>
      </c>
      <c r="D545">
        <f>SE(Doações!A46="";"";0)</f>
        <v/>
      </c>
    </row>
    <row r="546">
      <c r="A546">
        <f>SE(Doações!A47="";"";Doações!A47)</f>
        <v/>
      </c>
      <c r="B546">
        <f>SE(Doações!A47="";"";"Doação - "&amp;Doações!B47)</f>
        <v/>
      </c>
      <c r="C546">
        <f>SE(Doações!A47="";"";Doações!D47)</f>
        <v/>
      </c>
      <c r="D546">
        <f>SE(Doações!A47="";"";0)</f>
        <v/>
      </c>
    </row>
    <row r="547">
      <c r="A547">
        <f>SE(Doações!A48="";"";Doações!A48)</f>
        <v/>
      </c>
      <c r="B547">
        <f>SE(Doações!A48="";"";"Doação - "&amp;Doações!B48)</f>
        <v/>
      </c>
      <c r="C547">
        <f>SE(Doações!A48="";"";Doações!D48)</f>
        <v/>
      </c>
      <c r="D547">
        <f>SE(Doações!A48="";"";0)</f>
        <v/>
      </c>
    </row>
    <row r="548">
      <c r="A548">
        <f>SE(Doações!A49="";"";Doações!A49)</f>
        <v/>
      </c>
      <c r="B548">
        <f>SE(Doações!A49="";"";"Doação - "&amp;Doações!B49)</f>
        <v/>
      </c>
      <c r="C548">
        <f>SE(Doações!A49="";"";Doações!D49)</f>
        <v/>
      </c>
      <c r="D548">
        <f>SE(Doações!A49="";"";0)</f>
        <v/>
      </c>
    </row>
    <row r="549">
      <c r="A549">
        <f>SE(Doações!A50="";"";Doações!A50)</f>
        <v/>
      </c>
      <c r="B549">
        <f>SE(Doações!A50="";"";"Doação - "&amp;Doações!B50)</f>
        <v/>
      </c>
      <c r="C549">
        <f>SE(Doações!A50="";"";Doações!D50)</f>
        <v/>
      </c>
      <c r="D549">
        <f>SE(Doações!A50="";"";0)</f>
        <v/>
      </c>
    </row>
    <row r="550">
      <c r="A550">
        <f>SE(Doações!A51="";"";Doações!A51)</f>
        <v/>
      </c>
      <c r="B550">
        <f>SE(Doações!A51="";"";"Doação - "&amp;Doações!B51)</f>
        <v/>
      </c>
      <c r="C550">
        <f>SE(Doações!A51="";"";Doações!D51)</f>
        <v/>
      </c>
      <c r="D550">
        <f>SE(Doações!A51="";"";0)</f>
        <v/>
      </c>
    </row>
    <row r="551">
      <c r="A551">
        <f>SE(Doações!A52="";"";Doações!A52)</f>
        <v/>
      </c>
      <c r="B551">
        <f>SE(Doações!A52="";"";"Doação - "&amp;Doações!B52)</f>
        <v/>
      </c>
      <c r="C551">
        <f>SE(Doações!A52="";"";Doações!D52)</f>
        <v/>
      </c>
      <c r="D551">
        <f>SE(Doações!A52="";"";0)</f>
        <v/>
      </c>
    </row>
    <row r="552">
      <c r="A552">
        <f>SE(Doações!A53="";"";Doações!A53)</f>
        <v/>
      </c>
      <c r="B552">
        <f>SE(Doações!A53="";"";"Doação - "&amp;Doações!B53)</f>
        <v/>
      </c>
      <c r="C552">
        <f>SE(Doações!A53="";"";Doações!D53)</f>
        <v/>
      </c>
      <c r="D552">
        <f>SE(Doações!A53="";"";0)</f>
        <v/>
      </c>
    </row>
    <row r="553">
      <c r="A553">
        <f>SE(Doações!A54="";"";Doações!A54)</f>
        <v/>
      </c>
      <c r="B553">
        <f>SE(Doações!A54="";"";"Doação - "&amp;Doações!B54)</f>
        <v/>
      </c>
      <c r="C553">
        <f>SE(Doações!A54="";"";Doações!D54)</f>
        <v/>
      </c>
      <c r="D553">
        <f>SE(Doações!A54="";"";0)</f>
        <v/>
      </c>
    </row>
    <row r="554">
      <c r="A554">
        <f>SE(Doações!A55="";"";Doações!A55)</f>
        <v/>
      </c>
      <c r="B554">
        <f>SE(Doações!A55="";"";"Doação - "&amp;Doações!B55)</f>
        <v/>
      </c>
      <c r="C554">
        <f>SE(Doações!A55="";"";Doações!D55)</f>
        <v/>
      </c>
      <c r="D554">
        <f>SE(Doações!A55="";"";0)</f>
        <v/>
      </c>
    </row>
    <row r="555">
      <c r="A555">
        <f>SE(Doações!A56="";"";Doações!A56)</f>
        <v/>
      </c>
      <c r="B555">
        <f>SE(Doações!A56="";"";"Doação - "&amp;Doações!B56)</f>
        <v/>
      </c>
      <c r="C555">
        <f>SE(Doações!A56="";"";Doações!D56)</f>
        <v/>
      </c>
      <c r="D555">
        <f>SE(Doações!A56="";"";0)</f>
        <v/>
      </c>
    </row>
    <row r="556">
      <c r="A556">
        <f>SE(Doações!A57="";"";Doações!A57)</f>
        <v/>
      </c>
      <c r="B556">
        <f>SE(Doações!A57="";"";"Doação - "&amp;Doações!B57)</f>
        <v/>
      </c>
      <c r="C556">
        <f>SE(Doações!A57="";"";Doações!D57)</f>
        <v/>
      </c>
      <c r="D556">
        <f>SE(Doações!A57="";"";0)</f>
        <v/>
      </c>
    </row>
    <row r="557">
      <c r="A557">
        <f>SE(Doações!A58="";"";Doações!A58)</f>
        <v/>
      </c>
      <c r="B557">
        <f>SE(Doações!A58="";"";"Doação - "&amp;Doações!B58)</f>
        <v/>
      </c>
      <c r="C557">
        <f>SE(Doações!A58="";"";Doações!D58)</f>
        <v/>
      </c>
      <c r="D557">
        <f>SE(Doações!A58="";"";0)</f>
        <v/>
      </c>
    </row>
    <row r="558">
      <c r="A558">
        <f>SE(Doações!A59="";"";Doações!A59)</f>
        <v/>
      </c>
      <c r="B558">
        <f>SE(Doações!A59="";"";"Doação - "&amp;Doações!B59)</f>
        <v/>
      </c>
      <c r="C558">
        <f>SE(Doações!A59="";"";Doações!D59)</f>
        <v/>
      </c>
      <c r="D558">
        <f>SE(Doações!A59="";"";0)</f>
        <v/>
      </c>
    </row>
    <row r="559">
      <c r="A559">
        <f>SE(Doações!A60="";"";Doações!A60)</f>
        <v/>
      </c>
      <c r="B559">
        <f>SE(Doações!A60="";"";"Doação - "&amp;Doações!B60)</f>
        <v/>
      </c>
      <c r="C559">
        <f>SE(Doações!A60="";"";Doações!D60)</f>
        <v/>
      </c>
      <c r="D559">
        <f>SE(Doações!A60="";"";0)</f>
        <v/>
      </c>
    </row>
    <row r="560">
      <c r="A560">
        <f>SE(Doações!A61="";"";Doações!A61)</f>
        <v/>
      </c>
      <c r="B560">
        <f>SE(Doações!A61="";"";"Doação - "&amp;Doações!B61)</f>
        <v/>
      </c>
      <c r="C560">
        <f>SE(Doações!A61="";"";Doações!D61)</f>
        <v/>
      </c>
      <c r="D560">
        <f>SE(Doações!A61="";"";0)</f>
        <v/>
      </c>
    </row>
    <row r="561">
      <c r="A561">
        <f>SE(Doações!A62="";"";Doações!A62)</f>
        <v/>
      </c>
      <c r="B561">
        <f>SE(Doações!A62="";"";"Doação - "&amp;Doações!B62)</f>
        <v/>
      </c>
      <c r="C561">
        <f>SE(Doações!A62="";"";Doações!D62)</f>
        <v/>
      </c>
      <c r="D561">
        <f>SE(Doações!A62="";"";0)</f>
        <v/>
      </c>
    </row>
    <row r="562">
      <c r="A562">
        <f>SE(Doações!A63="";"";Doações!A63)</f>
        <v/>
      </c>
      <c r="B562">
        <f>SE(Doações!A63="";"";"Doação - "&amp;Doações!B63)</f>
        <v/>
      </c>
      <c r="C562">
        <f>SE(Doações!A63="";"";Doações!D63)</f>
        <v/>
      </c>
      <c r="D562">
        <f>SE(Doações!A63="";"";0)</f>
        <v/>
      </c>
    </row>
    <row r="563">
      <c r="A563">
        <f>SE(Doações!A64="";"";Doações!A64)</f>
        <v/>
      </c>
      <c r="B563">
        <f>SE(Doações!A64="";"";"Doação - "&amp;Doações!B64)</f>
        <v/>
      </c>
      <c r="C563">
        <f>SE(Doações!A64="";"";Doações!D64)</f>
        <v/>
      </c>
      <c r="D563">
        <f>SE(Doações!A64="";"";0)</f>
        <v/>
      </c>
    </row>
    <row r="564">
      <c r="A564">
        <f>SE(Doações!A65="";"";Doações!A65)</f>
        <v/>
      </c>
      <c r="B564">
        <f>SE(Doações!A65="";"";"Doação - "&amp;Doações!B65)</f>
        <v/>
      </c>
      <c r="C564">
        <f>SE(Doações!A65="";"";Doações!D65)</f>
        <v/>
      </c>
      <c r="D564">
        <f>SE(Doações!A65="";"";0)</f>
        <v/>
      </c>
    </row>
    <row r="565">
      <c r="A565">
        <f>SE(Doações!A66="";"";Doações!A66)</f>
        <v/>
      </c>
      <c r="B565">
        <f>SE(Doações!A66="";"";"Doação - "&amp;Doações!B66)</f>
        <v/>
      </c>
      <c r="C565">
        <f>SE(Doações!A66="";"";Doações!D66)</f>
        <v/>
      </c>
      <c r="D565">
        <f>SE(Doações!A66="";"";0)</f>
        <v/>
      </c>
    </row>
    <row r="566">
      <c r="A566">
        <f>SE(Doações!A67="";"";Doações!A67)</f>
        <v/>
      </c>
      <c r="B566">
        <f>SE(Doações!A67="";"";"Doação - "&amp;Doações!B67)</f>
        <v/>
      </c>
      <c r="C566">
        <f>SE(Doações!A67="";"";Doações!D67)</f>
        <v/>
      </c>
      <c r="D566">
        <f>SE(Doações!A67="";"";0)</f>
        <v/>
      </c>
    </row>
    <row r="567">
      <c r="A567">
        <f>SE(Doações!A68="";"";Doações!A68)</f>
        <v/>
      </c>
      <c r="B567">
        <f>SE(Doações!A68="";"";"Doação - "&amp;Doações!B68)</f>
        <v/>
      </c>
      <c r="C567">
        <f>SE(Doações!A68="";"";Doações!D68)</f>
        <v/>
      </c>
      <c r="D567">
        <f>SE(Doações!A68="";"";0)</f>
        <v/>
      </c>
    </row>
    <row r="568">
      <c r="A568">
        <f>SE(Doações!A69="";"";Doações!A69)</f>
        <v/>
      </c>
      <c r="B568">
        <f>SE(Doações!A69="";"";"Doação - "&amp;Doações!B69)</f>
        <v/>
      </c>
      <c r="C568">
        <f>SE(Doações!A69="";"";Doações!D69)</f>
        <v/>
      </c>
      <c r="D568">
        <f>SE(Doações!A69="";"";0)</f>
        <v/>
      </c>
    </row>
    <row r="569">
      <c r="A569">
        <f>SE(Doações!A70="";"";Doações!A70)</f>
        <v/>
      </c>
      <c r="B569">
        <f>SE(Doações!A70="";"";"Doação - "&amp;Doações!B70)</f>
        <v/>
      </c>
      <c r="C569">
        <f>SE(Doações!A70="";"";Doações!D70)</f>
        <v/>
      </c>
      <c r="D569">
        <f>SE(Doações!A70="";"";0)</f>
        <v/>
      </c>
    </row>
    <row r="570">
      <c r="A570">
        <f>SE(Doações!A71="";"";Doações!A71)</f>
        <v/>
      </c>
      <c r="B570">
        <f>SE(Doações!A71="";"";"Doação - "&amp;Doações!B71)</f>
        <v/>
      </c>
      <c r="C570">
        <f>SE(Doações!A71="";"";Doações!D71)</f>
        <v/>
      </c>
      <c r="D570">
        <f>SE(Doações!A71="";"";0)</f>
        <v/>
      </c>
    </row>
    <row r="571">
      <c r="A571">
        <f>SE(Doações!A72="";"";Doações!A72)</f>
        <v/>
      </c>
      <c r="B571">
        <f>SE(Doações!A72="";"";"Doação - "&amp;Doações!B72)</f>
        <v/>
      </c>
      <c r="C571">
        <f>SE(Doações!A72="";"";Doações!D72)</f>
        <v/>
      </c>
      <c r="D571">
        <f>SE(Doações!A72="";"";0)</f>
        <v/>
      </c>
    </row>
    <row r="572">
      <c r="A572">
        <f>SE(Doações!A73="";"";Doações!A73)</f>
        <v/>
      </c>
      <c r="B572">
        <f>SE(Doações!A73="";"";"Doação - "&amp;Doações!B73)</f>
        <v/>
      </c>
      <c r="C572">
        <f>SE(Doações!A73="";"";Doações!D73)</f>
        <v/>
      </c>
      <c r="D572">
        <f>SE(Doações!A73="";"";0)</f>
        <v/>
      </c>
    </row>
    <row r="573">
      <c r="A573">
        <f>SE(Doações!A74="";"";Doações!A74)</f>
        <v/>
      </c>
      <c r="B573">
        <f>SE(Doações!A74="";"";"Doação - "&amp;Doações!B74)</f>
        <v/>
      </c>
      <c r="C573">
        <f>SE(Doações!A74="";"";Doações!D74)</f>
        <v/>
      </c>
      <c r="D573">
        <f>SE(Doações!A74="";"";0)</f>
        <v/>
      </c>
    </row>
    <row r="574">
      <c r="A574">
        <f>SE(Doações!A75="";"";Doações!A75)</f>
        <v/>
      </c>
      <c r="B574">
        <f>SE(Doações!A75="";"";"Doação - "&amp;Doações!B75)</f>
        <v/>
      </c>
      <c r="C574">
        <f>SE(Doações!A75="";"";Doações!D75)</f>
        <v/>
      </c>
      <c r="D574">
        <f>SE(Doações!A75="";"";0)</f>
        <v/>
      </c>
    </row>
    <row r="575">
      <c r="A575">
        <f>SE(Doações!A76="";"";Doações!A76)</f>
        <v/>
      </c>
      <c r="B575">
        <f>SE(Doações!A76="";"";"Doação - "&amp;Doações!B76)</f>
        <v/>
      </c>
      <c r="C575">
        <f>SE(Doações!A76="";"";Doações!D76)</f>
        <v/>
      </c>
      <c r="D575">
        <f>SE(Doações!A76="";"";0)</f>
        <v/>
      </c>
    </row>
    <row r="576">
      <c r="A576">
        <f>SE(Doações!A77="";"";Doações!A77)</f>
        <v/>
      </c>
      <c r="B576">
        <f>SE(Doações!A77="";"";"Doação - "&amp;Doações!B77)</f>
        <v/>
      </c>
      <c r="C576">
        <f>SE(Doações!A77="";"";Doações!D77)</f>
        <v/>
      </c>
      <c r="D576">
        <f>SE(Doações!A77="";"";0)</f>
        <v/>
      </c>
    </row>
    <row r="577">
      <c r="A577">
        <f>SE(Doações!A78="";"";Doações!A78)</f>
        <v/>
      </c>
      <c r="B577">
        <f>SE(Doações!A78="";"";"Doação - "&amp;Doações!B78)</f>
        <v/>
      </c>
      <c r="C577">
        <f>SE(Doações!A78="";"";Doações!D78)</f>
        <v/>
      </c>
      <c r="D577">
        <f>SE(Doações!A78="";"";0)</f>
        <v/>
      </c>
    </row>
    <row r="578">
      <c r="A578">
        <f>SE(Doações!A79="";"";Doações!A79)</f>
        <v/>
      </c>
      <c r="B578">
        <f>SE(Doações!A79="";"";"Doação - "&amp;Doações!B79)</f>
        <v/>
      </c>
      <c r="C578">
        <f>SE(Doações!A79="";"";Doações!D79)</f>
        <v/>
      </c>
      <c r="D578">
        <f>SE(Doações!A79="";"";0)</f>
        <v/>
      </c>
    </row>
    <row r="579">
      <c r="A579">
        <f>SE(Doações!A80="";"";Doações!A80)</f>
        <v/>
      </c>
      <c r="B579">
        <f>SE(Doações!A80="";"";"Doação - "&amp;Doações!B80)</f>
        <v/>
      </c>
      <c r="C579">
        <f>SE(Doações!A80="";"";Doações!D80)</f>
        <v/>
      </c>
      <c r="D579">
        <f>SE(Doações!A80="";"";0)</f>
        <v/>
      </c>
    </row>
    <row r="580">
      <c r="A580">
        <f>SE(Doações!A81="";"";Doações!A81)</f>
        <v/>
      </c>
      <c r="B580">
        <f>SE(Doações!A81="";"";"Doação - "&amp;Doações!B81)</f>
        <v/>
      </c>
      <c r="C580">
        <f>SE(Doações!A81="";"";Doações!D81)</f>
        <v/>
      </c>
      <c r="D580">
        <f>SE(Doações!A81="";"";0)</f>
        <v/>
      </c>
    </row>
    <row r="581">
      <c r="A581">
        <f>SE(Doações!A82="";"";Doações!A82)</f>
        <v/>
      </c>
      <c r="B581">
        <f>SE(Doações!A82="";"";"Doação - "&amp;Doações!B82)</f>
        <v/>
      </c>
      <c r="C581">
        <f>SE(Doações!A82="";"";Doações!D82)</f>
        <v/>
      </c>
      <c r="D581">
        <f>SE(Doações!A82="";"";0)</f>
        <v/>
      </c>
    </row>
    <row r="582">
      <c r="A582">
        <f>SE(Doações!A83="";"";Doações!A83)</f>
        <v/>
      </c>
      <c r="B582">
        <f>SE(Doações!A83="";"";"Doação - "&amp;Doações!B83)</f>
        <v/>
      </c>
      <c r="C582">
        <f>SE(Doações!A83="";"";Doações!D83)</f>
        <v/>
      </c>
      <c r="D582">
        <f>SE(Doações!A83="";"";0)</f>
        <v/>
      </c>
    </row>
    <row r="583">
      <c r="A583">
        <f>SE(Doações!A84="";"";Doações!A84)</f>
        <v/>
      </c>
      <c r="B583">
        <f>SE(Doações!A84="";"";"Doação - "&amp;Doações!B84)</f>
        <v/>
      </c>
      <c r="C583">
        <f>SE(Doações!A84="";"";Doações!D84)</f>
        <v/>
      </c>
      <c r="D583">
        <f>SE(Doações!A84="";"";0)</f>
        <v/>
      </c>
    </row>
    <row r="584">
      <c r="A584">
        <f>SE(Doações!A85="";"";Doações!A85)</f>
        <v/>
      </c>
      <c r="B584">
        <f>SE(Doações!A85="";"";"Doação - "&amp;Doações!B85)</f>
        <v/>
      </c>
      <c r="C584">
        <f>SE(Doações!A85="";"";Doações!D85)</f>
        <v/>
      </c>
      <c r="D584">
        <f>SE(Doações!A85="";"";0)</f>
        <v/>
      </c>
    </row>
    <row r="585">
      <c r="A585">
        <f>SE(Doações!A86="";"";Doações!A86)</f>
        <v/>
      </c>
      <c r="B585">
        <f>SE(Doações!A86="";"";"Doação - "&amp;Doações!B86)</f>
        <v/>
      </c>
      <c r="C585">
        <f>SE(Doações!A86="";"";Doações!D86)</f>
        <v/>
      </c>
      <c r="D585">
        <f>SE(Doações!A86="";"";0)</f>
        <v/>
      </c>
    </row>
    <row r="586">
      <c r="A586">
        <f>SE(Doações!A87="";"";Doações!A87)</f>
        <v/>
      </c>
      <c r="B586">
        <f>SE(Doações!A87="";"";"Doação - "&amp;Doações!B87)</f>
        <v/>
      </c>
      <c r="C586">
        <f>SE(Doações!A87="";"";Doações!D87)</f>
        <v/>
      </c>
      <c r="D586">
        <f>SE(Doações!A87="";"";0)</f>
        <v/>
      </c>
    </row>
    <row r="587">
      <c r="A587">
        <f>SE(Doações!A88="";"";Doações!A88)</f>
        <v/>
      </c>
      <c r="B587">
        <f>SE(Doações!A88="";"";"Doação - "&amp;Doações!B88)</f>
        <v/>
      </c>
      <c r="C587">
        <f>SE(Doações!A88="";"";Doações!D88)</f>
        <v/>
      </c>
      <c r="D587">
        <f>SE(Doações!A88="";"";0)</f>
        <v/>
      </c>
    </row>
    <row r="588">
      <c r="A588">
        <f>SE(Doações!A89="";"";Doações!A89)</f>
        <v/>
      </c>
      <c r="B588">
        <f>SE(Doações!A89="";"";"Doação - "&amp;Doações!B89)</f>
        <v/>
      </c>
      <c r="C588">
        <f>SE(Doações!A89="";"";Doações!D89)</f>
        <v/>
      </c>
      <c r="D588">
        <f>SE(Doações!A89="";"";0)</f>
        <v/>
      </c>
    </row>
    <row r="589">
      <c r="A589">
        <f>SE(Doações!A90="";"";Doações!A90)</f>
        <v/>
      </c>
      <c r="B589">
        <f>SE(Doações!A90="";"";"Doação - "&amp;Doações!B90)</f>
        <v/>
      </c>
      <c r="C589">
        <f>SE(Doações!A90="";"";Doações!D90)</f>
        <v/>
      </c>
      <c r="D589">
        <f>SE(Doações!A90="";"";0)</f>
        <v/>
      </c>
    </row>
    <row r="590">
      <c r="A590">
        <f>SE(Doações!A91="";"";Doações!A91)</f>
        <v/>
      </c>
      <c r="B590">
        <f>SE(Doações!A91="";"";"Doação - "&amp;Doações!B91)</f>
        <v/>
      </c>
      <c r="C590">
        <f>SE(Doações!A91="";"";Doações!D91)</f>
        <v/>
      </c>
      <c r="D590">
        <f>SE(Doações!A91="";"";0)</f>
        <v/>
      </c>
    </row>
    <row r="591">
      <c r="A591">
        <f>SE(Doações!A92="";"";Doações!A92)</f>
        <v/>
      </c>
      <c r="B591">
        <f>SE(Doações!A92="";"";"Doação - "&amp;Doações!B92)</f>
        <v/>
      </c>
      <c r="C591">
        <f>SE(Doações!A92="";"";Doações!D92)</f>
        <v/>
      </c>
      <c r="D591">
        <f>SE(Doações!A92="";"";0)</f>
        <v/>
      </c>
    </row>
    <row r="592">
      <c r="A592">
        <f>SE(Doações!A93="";"";Doações!A93)</f>
        <v/>
      </c>
      <c r="B592">
        <f>SE(Doações!A93="";"";"Doação - "&amp;Doações!B93)</f>
        <v/>
      </c>
      <c r="C592">
        <f>SE(Doações!A93="";"";Doações!D93)</f>
        <v/>
      </c>
      <c r="D592">
        <f>SE(Doações!A93="";"";0)</f>
        <v/>
      </c>
    </row>
    <row r="593">
      <c r="A593">
        <f>SE(Doações!A94="";"";Doações!A94)</f>
        <v/>
      </c>
      <c r="B593">
        <f>SE(Doações!A94="";"";"Doação - "&amp;Doações!B94)</f>
        <v/>
      </c>
      <c r="C593">
        <f>SE(Doações!A94="";"";Doações!D94)</f>
        <v/>
      </c>
      <c r="D593">
        <f>SE(Doações!A94="";"";0)</f>
        <v/>
      </c>
    </row>
    <row r="594">
      <c r="A594">
        <f>SE(Doações!A95="";"";Doações!A95)</f>
        <v/>
      </c>
      <c r="B594">
        <f>SE(Doações!A95="";"";"Doação - "&amp;Doações!B95)</f>
        <v/>
      </c>
      <c r="C594">
        <f>SE(Doações!A95="";"";Doações!D95)</f>
        <v/>
      </c>
      <c r="D594">
        <f>SE(Doações!A95="";"";0)</f>
        <v/>
      </c>
    </row>
    <row r="595">
      <c r="A595">
        <f>SE(Doações!A96="";"";Doações!A96)</f>
        <v/>
      </c>
      <c r="B595">
        <f>SE(Doações!A96="";"";"Doação - "&amp;Doações!B96)</f>
        <v/>
      </c>
      <c r="C595">
        <f>SE(Doações!A96="";"";Doações!D96)</f>
        <v/>
      </c>
      <c r="D595">
        <f>SE(Doações!A96="";"";0)</f>
        <v/>
      </c>
    </row>
    <row r="596">
      <c r="A596">
        <f>SE(Doações!A97="";"";Doações!A97)</f>
        <v/>
      </c>
      <c r="B596">
        <f>SE(Doações!A97="";"";"Doação - "&amp;Doações!B97)</f>
        <v/>
      </c>
      <c r="C596">
        <f>SE(Doações!A97="";"";Doações!D97)</f>
        <v/>
      </c>
      <c r="D596">
        <f>SE(Doações!A97="";"";0)</f>
        <v/>
      </c>
    </row>
    <row r="597">
      <c r="A597">
        <f>SE(Doações!A98="";"";Doações!A98)</f>
        <v/>
      </c>
      <c r="B597">
        <f>SE(Doações!A98="";"";"Doação - "&amp;Doações!B98)</f>
        <v/>
      </c>
      <c r="C597">
        <f>SE(Doações!A98="";"";Doações!D98)</f>
        <v/>
      </c>
      <c r="D597">
        <f>SE(Doações!A98="";"";0)</f>
        <v/>
      </c>
    </row>
    <row r="598">
      <c r="A598">
        <f>SE(Doações!A99="";"";Doações!A99)</f>
        <v/>
      </c>
      <c r="B598">
        <f>SE(Doações!A99="";"";"Doação - "&amp;Doações!B99)</f>
        <v/>
      </c>
      <c r="C598">
        <f>SE(Doações!A99="";"";Doações!D99)</f>
        <v/>
      </c>
      <c r="D598">
        <f>SE(Doações!A99="";"";0)</f>
        <v/>
      </c>
    </row>
    <row r="599">
      <c r="A599">
        <f>SE(Doações!A100="";"";Doações!A100)</f>
        <v/>
      </c>
      <c r="B599">
        <f>SE(Doações!A100="";"";"Doação - "&amp;Doações!B100)</f>
        <v/>
      </c>
      <c r="C599">
        <f>SE(Doações!A100="";"";Doações!D100)</f>
        <v/>
      </c>
      <c r="D599">
        <f>SE(Doações!A100="";"";0)</f>
        <v/>
      </c>
    </row>
    <row r="600">
      <c r="A600">
        <f>SE(Doações!A101="";"";Doações!A101)</f>
        <v/>
      </c>
      <c r="B600">
        <f>SE(Doações!A101="";"";"Doação - "&amp;Doações!B101)</f>
        <v/>
      </c>
      <c r="C600">
        <f>SE(Doações!A101="";"";Doações!D101)</f>
        <v/>
      </c>
      <c r="D600">
        <f>SE(Doações!A101="";"";0)</f>
        <v/>
      </c>
    </row>
    <row r="601">
      <c r="A601">
        <f>SE(Doações!A102="";"";Doações!A102)</f>
        <v/>
      </c>
      <c r="B601">
        <f>SE(Doações!A102="";"";"Doação - "&amp;Doações!B102)</f>
        <v/>
      </c>
      <c r="C601">
        <f>SE(Doações!A102="";"";Doações!D102)</f>
        <v/>
      </c>
      <c r="D601">
        <f>SE(Doações!A102="";"";0)</f>
        <v/>
      </c>
    </row>
    <row r="602">
      <c r="A602">
        <f>SE(Doações!A103="";"";Doações!A103)</f>
        <v/>
      </c>
      <c r="B602">
        <f>SE(Doações!A103="";"";"Doação - "&amp;Doações!B103)</f>
        <v/>
      </c>
      <c r="C602">
        <f>SE(Doações!A103="";"";Doações!D103)</f>
        <v/>
      </c>
      <c r="D602">
        <f>SE(Doações!A103="";"";0)</f>
        <v/>
      </c>
    </row>
    <row r="603">
      <c r="A603">
        <f>SE(Doações!A104="";"";Doações!A104)</f>
        <v/>
      </c>
      <c r="B603">
        <f>SE(Doações!A104="";"";"Doação - "&amp;Doações!B104)</f>
        <v/>
      </c>
      <c r="C603">
        <f>SE(Doações!A104="";"";Doações!D104)</f>
        <v/>
      </c>
      <c r="D603">
        <f>SE(Doações!A104="";"";0)</f>
        <v/>
      </c>
    </row>
    <row r="604">
      <c r="A604">
        <f>SE(Doações!A105="";"";Doações!A105)</f>
        <v/>
      </c>
      <c r="B604">
        <f>SE(Doações!A105="";"";"Doação - "&amp;Doações!B105)</f>
        <v/>
      </c>
      <c r="C604">
        <f>SE(Doações!A105="";"";Doações!D105)</f>
        <v/>
      </c>
      <c r="D604">
        <f>SE(Doações!A105="";"";0)</f>
        <v/>
      </c>
    </row>
    <row r="605">
      <c r="A605">
        <f>SE(Doações!A106="";"";Doações!A106)</f>
        <v/>
      </c>
      <c r="B605">
        <f>SE(Doações!A106="";"";"Doação - "&amp;Doações!B106)</f>
        <v/>
      </c>
      <c r="C605">
        <f>SE(Doações!A106="";"";Doações!D106)</f>
        <v/>
      </c>
      <c r="D605">
        <f>SE(Doações!A106="";"";0)</f>
        <v/>
      </c>
    </row>
    <row r="606">
      <c r="A606">
        <f>SE(Doações!A107="";"";Doações!A107)</f>
        <v/>
      </c>
      <c r="B606">
        <f>SE(Doações!A107="";"";"Doação - "&amp;Doações!B107)</f>
        <v/>
      </c>
      <c r="C606">
        <f>SE(Doações!A107="";"";Doações!D107)</f>
        <v/>
      </c>
      <c r="D606">
        <f>SE(Doações!A107="";"";0)</f>
        <v/>
      </c>
    </row>
    <row r="607">
      <c r="A607">
        <f>SE(Doações!A108="";"";Doações!A108)</f>
        <v/>
      </c>
      <c r="B607">
        <f>SE(Doações!A108="";"";"Doação - "&amp;Doações!B108)</f>
        <v/>
      </c>
      <c r="C607">
        <f>SE(Doações!A108="";"";Doações!D108)</f>
        <v/>
      </c>
      <c r="D607">
        <f>SE(Doações!A108="";"";0)</f>
        <v/>
      </c>
    </row>
    <row r="608">
      <c r="A608">
        <f>SE(Doações!A109="";"";Doações!A109)</f>
        <v/>
      </c>
      <c r="B608">
        <f>SE(Doações!A109="";"";"Doação - "&amp;Doações!B109)</f>
        <v/>
      </c>
      <c r="C608">
        <f>SE(Doações!A109="";"";Doações!D109)</f>
        <v/>
      </c>
      <c r="D608">
        <f>SE(Doações!A109="";"";0)</f>
        <v/>
      </c>
    </row>
    <row r="609">
      <c r="A609">
        <f>SE(Doações!A110="";"";Doações!A110)</f>
        <v/>
      </c>
      <c r="B609">
        <f>SE(Doações!A110="";"";"Doação - "&amp;Doações!B110)</f>
        <v/>
      </c>
      <c r="C609">
        <f>SE(Doações!A110="";"";Doações!D110)</f>
        <v/>
      </c>
      <c r="D609">
        <f>SE(Doações!A110="";"";0)</f>
        <v/>
      </c>
    </row>
    <row r="610">
      <c r="A610">
        <f>SE(Doações!A111="";"";Doações!A111)</f>
        <v/>
      </c>
      <c r="B610">
        <f>SE(Doações!A111="";"";"Doação - "&amp;Doações!B111)</f>
        <v/>
      </c>
      <c r="C610">
        <f>SE(Doações!A111="";"";Doações!D111)</f>
        <v/>
      </c>
      <c r="D610">
        <f>SE(Doações!A111="";"";0)</f>
        <v/>
      </c>
    </row>
    <row r="611">
      <c r="A611">
        <f>SE(Doações!A112="";"";Doações!A112)</f>
        <v/>
      </c>
      <c r="B611">
        <f>SE(Doações!A112="";"";"Doação - "&amp;Doações!B112)</f>
        <v/>
      </c>
      <c r="C611">
        <f>SE(Doações!A112="";"";Doações!D112)</f>
        <v/>
      </c>
      <c r="D611">
        <f>SE(Doações!A112="";"";0)</f>
        <v/>
      </c>
    </row>
    <row r="612">
      <c r="A612">
        <f>SE(Doações!A113="";"";Doações!A113)</f>
        <v/>
      </c>
      <c r="B612">
        <f>SE(Doações!A113="";"";"Doação - "&amp;Doações!B113)</f>
        <v/>
      </c>
      <c r="C612">
        <f>SE(Doações!A113="";"";Doações!D113)</f>
        <v/>
      </c>
      <c r="D612">
        <f>SE(Doações!A113="";"";0)</f>
        <v/>
      </c>
    </row>
    <row r="613">
      <c r="A613">
        <f>SE(Doações!A114="";"";Doações!A114)</f>
        <v/>
      </c>
      <c r="B613">
        <f>SE(Doações!A114="";"";"Doação - "&amp;Doações!B114)</f>
        <v/>
      </c>
      <c r="C613">
        <f>SE(Doações!A114="";"";Doações!D114)</f>
        <v/>
      </c>
      <c r="D613">
        <f>SE(Doações!A114="";"";0)</f>
        <v/>
      </c>
    </row>
    <row r="614">
      <c r="A614">
        <f>SE(Doações!A115="";"";Doações!A115)</f>
        <v/>
      </c>
      <c r="B614">
        <f>SE(Doações!A115="";"";"Doação - "&amp;Doações!B115)</f>
        <v/>
      </c>
      <c r="C614">
        <f>SE(Doações!A115="";"";Doações!D115)</f>
        <v/>
      </c>
      <c r="D614">
        <f>SE(Doações!A115="";"";0)</f>
        <v/>
      </c>
    </row>
    <row r="615">
      <c r="A615">
        <f>SE(Doações!A116="";"";Doações!A116)</f>
        <v/>
      </c>
      <c r="B615">
        <f>SE(Doações!A116="";"";"Doação - "&amp;Doações!B116)</f>
        <v/>
      </c>
      <c r="C615">
        <f>SE(Doações!A116="";"";Doações!D116)</f>
        <v/>
      </c>
      <c r="D615">
        <f>SE(Doações!A116="";"";0)</f>
        <v/>
      </c>
    </row>
    <row r="616">
      <c r="A616">
        <f>SE(Doações!A117="";"";Doações!A117)</f>
        <v/>
      </c>
      <c r="B616">
        <f>SE(Doações!A117="";"";"Doação - "&amp;Doações!B117)</f>
        <v/>
      </c>
      <c r="C616">
        <f>SE(Doações!A117="";"";Doações!D117)</f>
        <v/>
      </c>
      <c r="D616">
        <f>SE(Doações!A117="";"";0)</f>
        <v/>
      </c>
    </row>
    <row r="617">
      <c r="A617">
        <f>SE(Doações!A118="";"";Doações!A118)</f>
        <v/>
      </c>
      <c r="B617">
        <f>SE(Doações!A118="";"";"Doação - "&amp;Doações!B118)</f>
        <v/>
      </c>
      <c r="C617">
        <f>SE(Doações!A118="";"";Doações!D118)</f>
        <v/>
      </c>
      <c r="D617">
        <f>SE(Doações!A118="";"";0)</f>
        <v/>
      </c>
    </row>
    <row r="618">
      <c r="A618">
        <f>SE(Doações!A119="";"";Doações!A119)</f>
        <v/>
      </c>
      <c r="B618">
        <f>SE(Doações!A119="";"";"Doação - "&amp;Doações!B119)</f>
        <v/>
      </c>
      <c r="C618">
        <f>SE(Doações!A119="";"";Doações!D119)</f>
        <v/>
      </c>
      <c r="D618">
        <f>SE(Doações!A119="";"";0)</f>
        <v/>
      </c>
    </row>
    <row r="619">
      <c r="A619">
        <f>SE(Doações!A120="";"";Doações!A120)</f>
        <v/>
      </c>
      <c r="B619">
        <f>SE(Doações!A120="";"";"Doação - "&amp;Doações!B120)</f>
        <v/>
      </c>
      <c r="C619">
        <f>SE(Doações!A120="";"";Doações!D120)</f>
        <v/>
      </c>
      <c r="D619">
        <f>SE(Doações!A120="";"";0)</f>
        <v/>
      </c>
    </row>
    <row r="620">
      <c r="A620">
        <f>SE(Doações!A121="";"";Doações!A121)</f>
        <v/>
      </c>
      <c r="B620">
        <f>SE(Doações!A121="";"";"Doação - "&amp;Doações!B121)</f>
        <v/>
      </c>
      <c r="C620">
        <f>SE(Doações!A121="";"";Doações!D121)</f>
        <v/>
      </c>
      <c r="D620">
        <f>SE(Doações!A121="";"";0)</f>
        <v/>
      </c>
    </row>
    <row r="621">
      <c r="A621">
        <f>SE(Doações!A122="";"";Doações!A122)</f>
        <v/>
      </c>
      <c r="B621">
        <f>SE(Doações!A122="";"";"Doação - "&amp;Doações!B122)</f>
        <v/>
      </c>
      <c r="C621">
        <f>SE(Doações!A122="";"";Doações!D122)</f>
        <v/>
      </c>
      <c r="D621">
        <f>SE(Doações!A122="";"";0)</f>
        <v/>
      </c>
    </row>
    <row r="622">
      <c r="A622">
        <f>SE(Doações!A123="";"";Doações!A123)</f>
        <v/>
      </c>
      <c r="B622">
        <f>SE(Doações!A123="";"";"Doação - "&amp;Doações!B123)</f>
        <v/>
      </c>
      <c r="C622">
        <f>SE(Doações!A123="";"";Doações!D123)</f>
        <v/>
      </c>
      <c r="D622">
        <f>SE(Doações!A123="";"";0)</f>
        <v/>
      </c>
    </row>
    <row r="623">
      <c r="A623">
        <f>SE(Doações!A124="";"";Doações!A124)</f>
        <v/>
      </c>
      <c r="B623">
        <f>SE(Doações!A124="";"";"Doação - "&amp;Doações!B124)</f>
        <v/>
      </c>
      <c r="C623">
        <f>SE(Doações!A124="";"";Doações!D124)</f>
        <v/>
      </c>
      <c r="D623">
        <f>SE(Doações!A124="";"";0)</f>
        <v/>
      </c>
    </row>
    <row r="624">
      <c r="A624">
        <f>SE(Doações!A125="";"";Doações!A125)</f>
        <v/>
      </c>
      <c r="B624">
        <f>SE(Doações!A125="";"";"Doação - "&amp;Doações!B125)</f>
        <v/>
      </c>
      <c r="C624">
        <f>SE(Doações!A125="";"";Doações!D125)</f>
        <v/>
      </c>
      <c r="D624">
        <f>SE(Doações!A125="";"";0)</f>
        <v/>
      </c>
    </row>
    <row r="625">
      <c r="A625">
        <f>SE(Doações!A126="";"";Doações!A126)</f>
        <v/>
      </c>
      <c r="B625">
        <f>SE(Doações!A126="";"";"Doação - "&amp;Doações!B126)</f>
        <v/>
      </c>
      <c r="C625">
        <f>SE(Doações!A126="";"";Doações!D126)</f>
        <v/>
      </c>
      <c r="D625">
        <f>SE(Doações!A126="";"";0)</f>
        <v/>
      </c>
    </row>
    <row r="626">
      <c r="A626">
        <f>SE(Doações!A127="";"";Doações!A127)</f>
        <v/>
      </c>
      <c r="B626">
        <f>SE(Doações!A127="";"";"Doação - "&amp;Doações!B127)</f>
        <v/>
      </c>
      <c r="C626">
        <f>SE(Doações!A127="";"";Doações!D127)</f>
        <v/>
      </c>
      <c r="D626">
        <f>SE(Doações!A127="";"";0)</f>
        <v/>
      </c>
    </row>
    <row r="627">
      <c r="A627">
        <f>SE(Doações!A128="";"";Doações!A128)</f>
        <v/>
      </c>
      <c r="B627">
        <f>SE(Doações!A128="";"";"Doação - "&amp;Doações!B128)</f>
        <v/>
      </c>
      <c r="C627">
        <f>SE(Doações!A128="";"";Doações!D128)</f>
        <v/>
      </c>
      <c r="D627">
        <f>SE(Doações!A128="";"";0)</f>
        <v/>
      </c>
    </row>
    <row r="628">
      <c r="A628">
        <f>SE(Doações!A129="";"";Doações!A129)</f>
        <v/>
      </c>
      <c r="B628">
        <f>SE(Doações!A129="";"";"Doação - "&amp;Doações!B129)</f>
        <v/>
      </c>
      <c r="C628">
        <f>SE(Doações!A129="";"";Doações!D129)</f>
        <v/>
      </c>
      <c r="D628">
        <f>SE(Doações!A129="";"";0)</f>
        <v/>
      </c>
    </row>
    <row r="629">
      <c r="A629">
        <f>SE(Doações!A130="";"";Doações!A130)</f>
        <v/>
      </c>
      <c r="B629">
        <f>SE(Doações!A130="";"";"Doação - "&amp;Doações!B130)</f>
        <v/>
      </c>
      <c r="C629">
        <f>SE(Doações!A130="";"";Doações!D130)</f>
        <v/>
      </c>
      <c r="D629">
        <f>SE(Doações!A130="";"";0)</f>
        <v/>
      </c>
    </row>
    <row r="630">
      <c r="A630">
        <f>SE(Doações!A131="";"";Doações!A131)</f>
        <v/>
      </c>
      <c r="B630">
        <f>SE(Doações!A131="";"";"Doação - "&amp;Doações!B131)</f>
        <v/>
      </c>
      <c r="C630">
        <f>SE(Doações!A131="";"";Doações!D131)</f>
        <v/>
      </c>
      <c r="D630">
        <f>SE(Doações!A131="";"";0)</f>
        <v/>
      </c>
    </row>
    <row r="631">
      <c r="A631">
        <f>SE(Doações!A132="";"";Doações!A132)</f>
        <v/>
      </c>
      <c r="B631">
        <f>SE(Doações!A132="";"";"Doação - "&amp;Doações!B132)</f>
        <v/>
      </c>
      <c r="C631">
        <f>SE(Doações!A132="";"";Doações!D132)</f>
        <v/>
      </c>
      <c r="D631">
        <f>SE(Doações!A132="";"";0)</f>
        <v/>
      </c>
    </row>
    <row r="632">
      <c r="A632">
        <f>SE(Doações!A133="";"";Doações!A133)</f>
        <v/>
      </c>
      <c r="B632">
        <f>SE(Doações!A133="";"";"Doação - "&amp;Doações!B133)</f>
        <v/>
      </c>
      <c r="C632">
        <f>SE(Doações!A133="";"";Doações!D133)</f>
        <v/>
      </c>
      <c r="D632">
        <f>SE(Doações!A133="";"";0)</f>
        <v/>
      </c>
    </row>
    <row r="633">
      <c r="A633">
        <f>SE(Doações!A134="";"";Doações!A134)</f>
        <v/>
      </c>
      <c r="B633">
        <f>SE(Doações!A134="";"";"Doação - "&amp;Doações!B134)</f>
        <v/>
      </c>
      <c r="C633">
        <f>SE(Doações!A134="";"";Doações!D134)</f>
        <v/>
      </c>
      <c r="D633">
        <f>SE(Doações!A134="";"";0)</f>
        <v/>
      </c>
    </row>
    <row r="634">
      <c r="A634">
        <f>SE(Doações!A135="";"";Doações!A135)</f>
        <v/>
      </c>
      <c r="B634">
        <f>SE(Doações!A135="";"";"Doação - "&amp;Doações!B135)</f>
        <v/>
      </c>
      <c r="C634">
        <f>SE(Doações!A135="";"";Doações!D135)</f>
        <v/>
      </c>
      <c r="D634">
        <f>SE(Doações!A135="";"";0)</f>
        <v/>
      </c>
    </row>
    <row r="635">
      <c r="A635">
        <f>SE(Doações!A136="";"";Doações!A136)</f>
        <v/>
      </c>
      <c r="B635">
        <f>SE(Doações!A136="";"";"Doação - "&amp;Doações!B136)</f>
        <v/>
      </c>
      <c r="C635">
        <f>SE(Doações!A136="";"";Doações!D136)</f>
        <v/>
      </c>
      <c r="D635">
        <f>SE(Doações!A136="";"";0)</f>
        <v/>
      </c>
    </row>
    <row r="636">
      <c r="A636">
        <f>SE(Doações!A137="";"";Doações!A137)</f>
        <v/>
      </c>
      <c r="B636">
        <f>SE(Doações!A137="";"";"Doação - "&amp;Doações!B137)</f>
        <v/>
      </c>
      <c r="C636">
        <f>SE(Doações!A137="";"";Doações!D137)</f>
        <v/>
      </c>
      <c r="D636">
        <f>SE(Doações!A137="";"";0)</f>
        <v/>
      </c>
    </row>
    <row r="637">
      <c r="A637">
        <f>SE(Doações!A138="";"";Doações!A138)</f>
        <v/>
      </c>
      <c r="B637">
        <f>SE(Doações!A138="";"";"Doação - "&amp;Doações!B138)</f>
        <v/>
      </c>
      <c r="C637">
        <f>SE(Doações!A138="";"";Doações!D138)</f>
        <v/>
      </c>
      <c r="D637">
        <f>SE(Doações!A138="";"";0)</f>
        <v/>
      </c>
    </row>
    <row r="638">
      <c r="A638">
        <f>SE(Doações!A139="";"";Doações!A139)</f>
        <v/>
      </c>
      <c r="B638">
        <f>SE(Doações!A139="";"";"Doação - "&amp;Doações!B139)</f>
        <v/>
      </c>
      <c r="C638">
        <f>SE(Doações!A139="";"";Doações!D139)</f>
        <v/>
      </c>
      <c r="D638">
        <f>SE(Doações!A139="";"";0)</f>
        <v/>
      </c>
    </row>
    <row r="639">
      <c r="A639">
        <f>SE(Doações!A140="";"";Doações!A140)</f>
        <v/>
      </c>
      <c r="B639">
        <f>SE(Doações!A140="";"";"Doação - "&amp;Doações!B140)</f>
        <v/>
      </c>
      <c r="C639">
        <f>SE(Doações!A140="";"";Doações!D140)</f>
        <v/>
      </c>
      <c r="D639">
        <f>SE(Doações!A140="";"";0)</f>
        <v/>
      </c>
    </row>
    <row r="640">
      <c r="A640">
        <f>SE(Doações!A141="";"";Doações!A141)</f>
        <v/>
      </c>
      <c r="B640">
        <f>SE(Doações!A141="";"";"Doação - "&amp;Doações!B141)</f>
        <v/>
      </c>
      <c r="C640">
        <f>SE(Doações!A141="";"";Doações!D141)</f>
        <v/>
      </c>
      <c r="D640">
        <f>SE(Doações!A141="";"";0)</f>
        <v/>
      </c>
    </row>
    <row r="641">
      <c r="A641">
        <f>SE(Doações!A142="";"";Doações!A142)</f>
        <v/>
      </c>
      <c r="B641">
        <f>SE(Doações!A142="";"";"Doação - "&amp;Doações!B142)</f>
        <v/>
      </c>
      <c r="C641">
        <f>SE(Doações!A142="";"";Doações!D142)</f>
        <v/>
      </c>
      <c r="D641">
        <f>SE(Doações!A142="";"";0)</f>
        <v/>
      </c>
    </row>
    <row r="642">
      <c r="A642">
        <f>SE(Doações!A143="";"";Doações!A143)</f>
        <v/>
      </c>
      <c r="B642">
        <f>SE(Doações!A143="";"";"Doação - "&amp;Doações!B143)</f>
        <v/>
      </c>
      <c r="C642">
        <f>SE(Doações!A143="";"";Doações!D143)</f>
        <v/>
      </c>
      <c r="D642">
        <f>SE(Doações!A143="";"";0)</f>
        <v/>
      </c>
    </row>
    <row r="643">
      <c r="A643">
        <f>SE(Doações!A144="";"";Doações!A144)</f>
        <v/>
      </c>
      <c r="B643">
        <f>SE(Doações!A144="";"";"Doação - "&amp;Doações!B144)</f>
        <v/>
      </c>
      <c r="C643">
        <f>SE(Doações!A144="";"";Doações!D144)</f>
        <v/>
      </c>
      <c r="D643">
        <f>SE(Doações!A144="";"";0)</f>
        <v/>
      </c>
    </row>
    <row r="644">
      <c r="A644">
        <f>SE(Doações!A145="";"";Doações!A145)</f>
        <v/>
      </c>
      <c r="B644">
        <f>SE(Doações!A145="";"";"Doação - "&amp;Doações!B145)</f>
        <v/>
      </c>
      <c r="C644">
        <f>SE(Doações!A145="";"";Doações!D145)</f>
        <v/>
      </c>
      <c r="D644">
        <f>SE(Doações!A145="";"";0)</f>
        <v/>
      </c>
    </row>
    <row r="645">
      <c r="A645">
        <f>SE(Doações!A146="";"";Doações!A146)</f>
        <v/>
      </c>
      <c r="B645">
        <f>SE(Doações!A146="";"";"Doação - "&amp;Doações!B146)</f>
        <v/>
      </c>
      <c r="C645">
        <f>SE(Doações!A146="";"";Doações!D146)</f>
        <v/>
      </c>
      <c r="D645">
        <f>SE(Doações!A146="";"";0)</f>
        <v/>
      </c>
    </row>
    <row r="646">
      <c r="A646">
        <f>SE(Doações!A147="";"";Doações!A147)</f>
        <v/>
      </c>
      <c r="B646">
        <f>SE(Doações!A147="";"";"Doação - "&amp;Doações!B147)</f>
        <v/>
      </c>
      <c r="C646">
        <f>SE(Doações!A147="";"";Doações!D147)</f>
        <v/>
      </c>
      <c r="D646">
        <f>SE(Doações!A147="";"";0)</f>
        <v/>
      </c>
    </row>
    <row r="647">
      <c r="A647">
        <f>SE(Doações!A148="";"";Doações!A148)</f>
        <v/>
      </c>
      <c r="B647">
        <f>SE(Doações!A148="";"";"Doação - "&amp;Doações!B148)</f>
        <v/>
      </c>
      <c r="C647">
        <f>SE(Doações!A148="";"";Doações!D148)</f>
        <v/>
      </c>
      <c r="D647">
        <f>SE(Doações!A148="";"";0)</f>
        <v/>
      </c>
    </row>
    <row r="648">
      <c r="A648">
        <f>SE(Doações!A149="";"";Doações!A149)</f>
        <v/>
      </c>
      <c r="B648">
        <f>SE(Doações!A149="";"";"Doação - "&amp;Doações!B149)</f>
        <v/>
      </c>
      <c r="C648">
        <f>SE(Doações!A149="";"";Doações!D149)</f>
        <v/>
      </c>
      <c r="D648">
        <f>SE(Doações!A149="";"";0)</f>
        <v/>
      </c>
    </row>
    <row r="649">
      <c r="A649">
        <f>SE(Doações!A150="";"";Doações!A150)</f>
        <v/>
      </c>
      <c r="B649">
        <f>SE(Doações!A150="";"";"Doação - "&amp;Doações!B150)</f>
        <v/>
      </c>
      <c r="C649">
        <f>SE(Doações!A150="";"";Doações!D150)</f>
        <v/>
      </c>
      <c r="D649">
        <f>SE(Doações!A150="";"";0)</f>
        <v/>
      </c>
    </row>
    <row r="650">
      <c r="A650">
        <f>SE(Doações!A151="";"";Doações!A151)</f>
        <v/>
      </c>
      <c r="B650">
        <f>SE(Doações!A151="";"";"Doação - "&amp;Doações!B151)</f>
        <v/>
      </c>
      <c r="C650">
        <f>SE(Doações!A151="";"";Doações!D151)</f>
        <v/>
      </c>
      <c r="D650">
        <f>SE(Doações!A151="";"";0)</f>
        <v/>
      </c>
    </row>
    <row r="651">
      <c r="A651">
        <f>SE(Doações!A152="";"";Doações!A152)</f>
        <v/>
      </c>
      <c r="B651">
        <f>SE(Doações!A152="";"";"Doação - "&amp;Doações!B152)</f>
        <v/>
      </c>
      <c r="C651">
        <f>SE(Doações!A152="";"";Doações!D152)</f>
        <v/>
      </c>
      <c r="D651">
        <f>SE(Doações!A152="";"";0)</f>
        <v/>
      </c>
    </row>
    <row r="652">
      <c r="A652">
        <f>SE(Doações!A153="";"";Doações!A153)</f>
        <v/>
      </c>
      <c r="B652">
        <f>SE(Doações!A153="";"";"Doação - "&amp;Doações!B153)</f>
        <v/>
      </c>
      <c r="C652">
        <f>SE(Doações!A153="";"";Doações!D153)</f>
        <v/>
      </c>
      <c r="D652">
        <f>SE(Doações!A153="";"";0)</f>
        <v/>
      </c>
    </row>
    <row r="653">
      <c r="A653">
        <f>SE(Doações!A154="";"";Doações!A154)</f>
        <v/>
      </c>
      <c r="B653">
        <f>SE(Doações!A154="";"";"Doação - "&amp;Doações!B154)</f>
        <v/>
      </c>
      <c r="C653">
        <f>SE(Doações!A154="";"";Doações!D154)</f>
        <v/>
      </c>
      <c r="D653">
        <f>SE(Doações!A154="";"";0)</f>
        <v/>
      </c>
    </row>
    <row r="654">
      <c r="A654">
        <f>SE(Doações!A155="";"";Doações!A155)</f>
        <v/>
      </c>
      <c r="B654">
        <f>SE(Doações!A155="";"";"Doação - "&amp;Doações!B155)</f>
        <v/>
      </c>
      <c r="C654">
        <f>SE(Doações!A155="";"";Doações!D155)</f>
        <v/>
      </c>
      <c r="D654">
        <f>SE(Doações!A155="";"";0)</f>
        <v/>
      </c>
    </row>
    <row r="655">
      <c r="A655">
        <f>SE(Doações!A156="";"";Doações!A156)</f>
        <v/>
      </c>
      <c r="B655">
        <f>SE(Doações!A156="";"";"Doação - "&amp;Doações!B156)</f>
        <v/>
      </c>
      <c r="C655">
        <f>SE(Doações!A156="";"";Doações!D156)</f>
        <v/>
      </c>
      <c r="D655">
        <f>SE(Doações!A156="";"";0)</f>
        <v/>
      </c>
    </row>
    <row r="656">
      <c r="A656">
        <f>SE(Doações!A157="";"";Doações!A157)</f>
        <v/>
      </c>
      <c r="B656">
        <f>SE(Doações!A157="";"";"Doação - "&amp;Doações!B157)</f>
        <v/>
      </c>
      <c r="C656">
        <f>SE(Doações!A157="";"";Doações!D157)</f>
        <v/>
      </c>
      <c r="D656">
        <f>SE(Doações!A157="";"";0)</f>
        <v/>
      </c>
    </row>
    <row r="657">
      <c r="A657">
        <f>SE(Doações!A158="";"";Doações!A158)</f>
        <v/>
      </c>
      <c r="B657">
        <f>SE(Doações!A158="";"";"Doação - "&amp;Doações!B158)</f>
        <v/>
      </c>
      <c r="C657">
        <f>SE(Doações!A158="";"";Doações!D158)</f>
        <v/>
      </c>
      <c r="D657">
        <f>SE(Doações!A158="";"";0)</f>
        <v/>
      </c>
    </row>
    <row r="658">
      <c r="A658">
        <f>SE(Doações!A159="";"";Doações!A159)</f>
        <v/>
      </c>
      <c r="B658">
        <f>SE(Doações!A159="";"";"Doação - "&amp;Doações!B159)</f>
        <v/>
      </c>
      <c r="C658">
        <f>SE(Doações!A159="";"";Doações!D159)</f>
        <v/>
      </c>
      <c r="D658">
        <f>SE(Doações!A159="";"";0)</f>
        <v/>
      </c>
    </row>
    <row r="659">
      <c r="A659">
        <f>SE(Doações!A160="";"";Doações!A160)</f>
        <v/>
      </c>
      <c r="B659">
        <f>SE(Doações!A160="";"";"Doação - "&amp;Doações!B160)</f>
        <v/>
      </c>
      <c r="C659">
        <f>SE(Doações!A160="";"";Doações!D160)</f>
        <v/>
      </c>
      <c r="D659">
        <f>SE(Doações!A160="";"";0)</f>
        <v/>
      </c>
    </row>
    <row r="660">
      <c r="A660">
        <f>SE(Doações!A161="";"";Doações!A161)</f>
        <v/>
      </c>
      <c r="B660">
        <f>SE(Doações!A161="";"";"Doação - "&amp;Doações!B161)</f>
        <v/>
      </c>
      <c r="C660">
        <f>SE(Doações!A161="";"";Doações!D161)</f>
        <v/>
      </c>
      <c r="D660">
        <f>SE(Doações!A161="";"";0)</f>
        <v/>
      </c>
    </row>
    <row r="661">
      <c r="A661">
        <f>SE(Doações!A162="";"";Doações!A162)</f>
        <v/>
      </c>
      <c r="B661">
        <f>SE(Doações!A162="";"";"Doação - "&amp;Doações!B162)</f>
        <v/>
      </c>
      <c r="C661">
        <f>SE(Doações!A162="";"";Doações!D162)</f>
        <v/>
      </c>
      <c r="D661">
        <f>SE(Doações!A162="";"";0)</f>
        <v/>
      </c>
    </row>
    <row r="662">
      <c r="A662">
        <f>SE(Doações!A163="";"";Doações!A163)</f>
        <v/>
      </c>
      <c r="B662">
        <f>SE(Doações!A163="";"";"Doação - "&amp;Doações!B163)</f>
        <v/>
      </c>
      <c r="C662">
        <f>SE(Doações!A163="";"";Doações!D163)</f>
        <v/>
      </c>
      <c r="D662">
        <f>SE(Doações!A163="";"";0)</f>
        <v/>
      </c>
    </row>
    <row r="663">
      <c r="A663">
        <f>SE(Doações!A164="";"";Doações!A164)</f>
        <v/>
      </c>
      <c r="B663">
        <f>SE(Doações!A164="";"";"Doação - "&amp;Doações!B164)</f>
        <v/>
      </c>
      <c r="C663">
        <f>SE(Doações!A164="";"";Doações!D164)</f>
        <v/>
      </c>
      <c r="D663">
        <f>SE(Doações!A164="";"";0)</f>
        <v/>
      </c>
    </row>
    <row r="664">
      <c r="A664">
        <f>SE(Doações!A165="";"";Doações!A165)</f>
        <v/>
      </c>
      <c r="B664">
        <f>SE(Doações!A165="";"";"Doação - "&amp;Doações!B165)</f>
        <v/>
      </c>
      <c r="C664">
        <f>SE(Doações!A165="";"";Doações!D165)</f>
        <v/>
      </c>
      <c r="D664">
        <f>SE(Doações!A165="";"";0)</f>
        <v/>
      </c>
    </row>
    <row r="665">
      <c r="A665">
        <f>SE(Doações!A166="";"";Doações!A166)</f>
        <v/>
      </c>
      <c r="B665">
        <f>SE(Doações!A166="";"";"Doação - "&amp;Doações!B166)</f>
        <v/>
      </c>
      <c r="C665">
        <f>SE(Doações!A166="";"";Doações!D166)</f>
        <v/>
      </c>
      <c r="D665">
        <f>SE(Doações!A166="";"";0)</f>
        <v/>
      </c>
    </row>
    <row r="666">
      <c r="A666">
        <f>SE(Doações!A167="";"";Doações!A167)</f>
        <v/>
      </c>
      <c r="B666">
        <f>SE(Doações!A167="";"";"Doação - "&amp;Doações!B167)</f>
        <v/>
      </c>
      <c r="C666">
        <f>SE(Doações!A167="";"";Doações!D167)</f>
        <v/>
      </c>
      <c r="D666">
        <f>SE(Doações!A167="";"";0)</f>
        <v/>
      </c>
    </row>
    <row r="667">
      <c r="A667">
        <f>SE(Doações!A168="";"";Doações!A168)</f>
        <v/>
      </c>
      <c r="B667">
        <f>SE(Doações!A168="";"";"Doação - "&amp;Doações!B168)</f>
        <v/>
      </c>
      <c r="C667">
        <f>SE(Doações!A168="";"";Doações!D168)</f>
        <v/>
      </c>
      <c r="D667">
        <f>SE(Doações!A168="";"";0)</f>
        <v/>
      </c>
    </row>
    <row r="668">
      <c r="A668">
        <f>SE(Doações!A169="";"";Doações!A169)</f>
        <v/>
      </c>
      <c r="B668">
        <f>SE(Doações!A169="";"";"Doação - "&amp;Doações!B169)</f>
        <v/>
      </c>
      <c r="C668">
        <f>SE(Doações!A169="";"";Doações!D169)</f>
        <v/>
      </c>
      <c r="D668">
        <f>SE(Doações!A169="";"";0)</f>
        <v/>
      </c>
    </row>
    <row r="669">
      <c r="A669">
        <f>SE(Doações!A170="";"";Doações!A170)</f>
        <v/>
      </c>
      <c r="B669">
        <f>SE(Doações!A170="";"";"Doação - "&amp;Doações!B170)</f>
        <v/>
      </c>
      <c r="C669">
        <f>SE(Doações!A170="";"";Doações!D170)</f>
        <v/>
      </c>
      <c r="D669">
        <f>SE(Doações!A170="";"";0)</f>
        <v/>
      </c>
    </row>
    <row r="670">
      <c r="A670">
        <f>SE(Doações!A171="";"";Doações!A171)</f>
        <v/>
      </c>
      <c r="B670">
        <f>SE(Doações!A171="";"";"Doação - "&amp;Doações!B171)</f>
        <v/>
      </c>
      <c r="C670">
        <f>SE(Doações!A171="";"";Doações!D171)</f>
        <v/>
      </c>
      <c r="D670">
        <f>SE(Doações!A171="";"";0)</f>
        <v/>
      </c>
    </row>
    <row r="671">
      <c r="A671">
        <f>SE(Doações!A172="";"";Doações!A172)</f>
        <v/>
      </c>
      <c r="B671">
        <f>SE(Doações!A172="";"";"Doação - "&amp;Doações!B172)</f>
        <v/>
      </c>
      <c r="C671">
        <f>SE(Doações!A172="";"";Doações!D172)</f>
        <v/>
      </c>
      <c r="D671">
        <f>SE(Doações!A172="";"";0)</f>
        <v/>
      </c>
    </row>
    <row r="672">
      <c r="A672">
        <f>SE(Doações!A173="";"";Doações!A173)</f>
        <v/>
      </c>
      <c r="B672">
        <f>SE(Doações!A173="";"";"Doação - "&amp;Doações!B173)</f>
        <v/>
      </c>
      <c r="C672">
        <f>SE(Doações!A173="";"";Doações!D173)</f>
        <v/>
      </c>
      <c r="D672">
        <f>SE(Doações!A173="";"";0)</f>
        <v/>
      </c>
    </row>
    <row r="673">
      <c r="A673">
        <f>SE(Doações!A174="";"";Doações!A174)</f>
        <v/>
      </c>
      <c r="B673">
        <f>SE(Doações!A174="";"";"Doação - "&amp;Doações!B174)</f>
        <v/>
      </c>
      <c r="C673">
        <f>SE(Doações!A174="";"";Doações!D174)</f>
        <v/>
      </c>
      <c r="D673">
        <f>SE(Doações!A174="";"";0)</f>
        <v/>
      </c>
    </row>
    <row r="674">
      <c r="A674">
        <f>SE(Doações!A175="";"";Doações!A175)</f>
        <v/>
      </c>
      <c r="B674">
        <f>SE(Doações!A175="";"";"Doação - "&amp;Doações!B175)</f>
        <v/>
      </c>
      <c r="C674">
        <f>SE(Doações!A175="";"";Doações!D175)</f>
        <v/>
      </c>
      <c r="D674">
        <f>SE(Doações!A175="";"";0)</f>
        <v/>
      </c>
    </row>
    <row r="675">
      <c r="A675">
        <f>SE(Doações!A176="";"";Doações!A176)</f>
        <v/>
      </c>
      <c r="B675">
        <f>SE(Doações!A176="";"";"Doação - "&amp;Doações!B176)</f>
        <v/>
      </c>
      <c r="C675">
        <f>SE(Doações!A176="";"";Doações!D176)</f>
        <v/>
      </c>
      <c r="D675">
        <f>SE(Doações!A176="";"";0)</f>
        <v/>
      </c>
    </row>
    <row r="676">
      <c r="A676">
        <f>SE(Doações!A177="";"";Doações!A177)</f>
        <v/>
      </c>
      <c r="B676">
        <f>SE(Doações!A177="";"";"Doação - "&amp;Doações!B177)</f>
        <v/>
      </c>
      <c r="C676">
        <f>SE(Doações!A177="";"";Doações!D177)</f>
        <v/>
      </c>
      <c r="D676">
        <f>SE(Doações!A177="";"";0)</f>
        <v/>
      </c>
    </row>
    <row r="677">
      <c r="A677">
        <f>SE(Doações!A178="";"";Doações!A178)</f>
        <v/>
      </c>
      <c r="B677">
        <f>SE(Doações!A178="";"";"Doação - "&amp;Doações!B178)</f>
        <v/>
      </c>
      <c r="C677">
        <f>SE(Doações!A178="";"";Doações!D178)</f>
        <v/>
      </c>
      <c r="D677">
        <f>SE(Doações!A178="";"";0)</f>
        <v/>
      </c>
    </row>
    <row r="678">
      <c r="A678">
        <f>SE(Doações!A179="";"";Doações!A179)</f>
        <v/>
      </c>
      <c r="B678">
        <f>SE(Doações!A179="";"";"Doação - "&amp;Doações!B179)</f>
        <v/>
      </c>
      <c r="C678">
        <f>SE(Doações!A179="";"";Doações!D179)</f>
        <v/>
      </c>
      <c r="D678">
        <f>SE(Doações!A179="";"";0)</f>
        <v/>
      </c>
    </row>
    <row r="679">
      <c r="A679">
        <f>SE(Doações!A180="";"";Doações!A180)</f>
        <v/>
      </c>
      <c r="B679">
        <f>SE(Doações!A180="";"";"Doação - "&amp;Doações!B180)</f>
        <v/>
      </c>
      <c r="C679">
        <f>SE(Doações!A180="";"";Doações!D180)</f>
        <v/>
      </c>
      <c r="D679">
        <f>SE(Doações!A180="";"";0)</f>
        <v/>
      </c>
    </row>
    <row r="680">
      <c r="A680">
        <f>SE(Doações!A181="";"";Doações!A181)</f>
        <v/>
      </c>
      <c r="B680">
        <f>SE(Doações!A181="";"";"Doação - "&amp;Doações!B181)</f>
        <v/>
      </c>
      <c r="C680">
        <f>SE(Doações!A181="";"";Doações!D181)</f>
        <v/>
      </c>
      <c r="D680">
        <f>SE(Doações!A181="";"";0)</f>
        <v/>
      </c>
    </row>
    <row r="681">
      <c r="A681">
        <f>SE(Doações!A182="";"";Doações!A182)</f>
        <v/>
      </c>
      <c r="B681">
        <f>SE(Doações!A182="";"";"Doação - "&amp;Doações!B182)</f>
        <v/>
      </c>
      <c r="C681">
        <f>SE(Doações!A182="";"";Doações!D182)</f>
        <v/>
      </c>
      <c r="D681">
        <f>SE(Doações!A182="";"";0)</f>
        <v/>
      </c>
    </row>
    <row r="682">
      <c r="A682">
        <f>SE(Doações!A183="";"";Doações!A183)</f>
        <v/>
      </c>
      <c r="B682">
        <f>SE(Doações!A183="";"";"Doação - "&amp;Doações!B183)</f>
        <v/>
      </c>
      <c r="C682">
        <f>SE(Doações!A183="";"";Doações!D183)</f>
        <v/>
      </c>
      <c r="D682">
        <f>SE(Doações!A183="";"";0)</f>
        <v/>
      </c>
    </row>
    <row r="683">
      <c r="A683">
        <f>SE(Doações!A184="";"";Doações!A184)</f>
        <v/>
      </c>
      <c r="B683">
        <f>SE(Doações!A184="";"";"Doação - "&amp;Doações!B184)</f>
        <v/>
      </c>
      <c r="C683">
        <f>SE(Doações!A184="";"";Doações!D184)</f>
        <v/>
      </c>
      <c r="D683">
        <f>SE(Doações!A184="";"";0)</f>
        <v/>
      </c>
    </row>
    <row r="684">
      <c r="A684">
        <f>SE(Doações!A185="";"";Doações!A185)</f>
        <v/>
      </c>
      <c r="B684">
        <f>SE(Doações!A185="";"";"Doação - "&amp;Doações!B185)</f>
        <v/>
      </c>
      <c r="C684">
        <f>SE(Doações!A185="";"";Doações!D185)</f>
        <v/>
      </c>
      <c r="D684">
        <f>SE(Doações!A185="";"";0)</f>
        <v/>
      </c>
    </row>
    <row r="685">
      <c r="A685">
        <f>SE(Doações!A186="";"";Doações!A186)</f>
        <v/>
      </c>
      <c r="B685">
        <f>SE(Doações!A186="";"";"Doação - "&amp;Doações!B186)</f>
        <v/>
      </c>
      <c r="C685">
        <f>SE(Doações!A186="";"";Doações!D186)</f>
        <v/>
      </c>
      <c r="D685">
        <f>SE(Doações!A186="";"";0)</f>
        <v/>
      </c>
    </row>
    <row r="686">
      <c r="A686">
        <f>SE(Doações!A187="";"";Doações!A187)</f>
        <v/>
      </c>
      <c r="B686">
        <f>SE(Doações!A187="";"";"Doação - "&amp;Doações!B187)</f>
        <v/>
      </c>
      <c r="C686">
        <f>SE(Doações!A187="";"";Doações!D187)</f>
        <v/>
      </c>
      <c r="D686">
        <f>SE(Doações!A187="";"";0)</f>
        <v/>
      </c>
    </row>
    <row r="687">
      <c r="A687">
        <f>SE(Doações!A188="";"";Doações!A188)</f>
        <v/>
      </c>
      <c r="B687">
        <f>SE(Doações!A188="";"";"Doação - "&amp;Doações!B188)</f>
        <v/>
      </c>
      <c r="C687">
        <f>SE(Doações!A188="";"";Doações!D188)</f>
        <v/>
      </c>
      <c r="D687">
        <f>SE(Doações!A188="";"";0)</f>
        <v/>
      </c>
    </row>
    <row r="688">
      <c r="A688">
        <f>SE(Doações!A189="";"";Doações!A189)</f>
        <v/>
      </c>
      <c r="B688">
        <f>SE(Doações!A189="";"";"Doação - "&amp;Doações!B189)</f>
        <v/>
      </c>
      <c r="C688">
        <f>SE(Doações!A189="";"";Doações!D189)</f>
        <v/>
      </c>
      <c r="D688">
        <f>SE(Doações!A189="";"";0)</f>
        <v/>
      </c>
    </row>
    <row r="689">
      <c r="A689">
        <f>SE(Doações!A190="";"";Doações!A190)</f>
        <v/>
      </c>
      <c r="B689">
        <f>SE(Doações!A190="";"";"Doação - "&amp;Doações!B190)</f>
        <v/>
      </c>
      <c r="C689">
        <f>SE(Doações!A190="";"";Doações!D190)</f>
        <v/>
      </c>
      <c r="D689">
        <f>SE(Doações!A190="";"";0)</f>
        <v/>
      </c>
    </row>
    <row r="690">
      <c r="A690">
        <f>SE(Doações!A191="";"";Doações!A191)</f>
        <v/>
      </c>
      <c r="B690">
        <f>SE(Doações!A191="";"";"Doação - "&amp;Doações!B191)</f>
        <v/>
      </c>
      <c r="C690">
        <f>SE(Doações!A191="";"";Doações!D191)</f>
        <v/>
      </c>
      <c r="D690">
        <f>SE(Doações!A191="";"";0)</f>
        <v/>
      </c>
    </row>
    <row r="691">
      <c r="A691">
        <f>SE(Doações!A192="";"";Doações!A192)</f>
        <v/>
      </c>
      <c r="B691">
        <f>SE(Doações!A192="";"";"Doação - "&amp;Doações!B192)</f>
        <v/>
      </c>
      <c r="C691">
        <f>SE(Doações!A192="";"";Doações!D192)</f>
        <v/>
      </c>
      <c r="D691">
        <f>SE(Doações!A192="";"";0)</f>
        <v/>
      </c>
    </row>
    <row r="692">
      <c r="A692">
        <f>SE(Doações!A193="";"";Doações!A193)</f>
        <v/>
      </c>
      <c r="B692">
        <f>SE(Doações!A193="";"";"Doação - "&amp;Doações!B193)</f>
        <v/>
      </c>
      <c r="C692">
        <f>SE(Doações!A193="";"";Doações!D193)</f>
        <v/>
      </c>
      <c r="D692">
        <f>SE(Doações!A193="";"";0)</f>
        <v/>
      </c>
    </row>
    <row r="693">
      <c r="A693">
        <f>SE(Doações!A194="";"";Doações!A194)</f>
        <v/>
      </c>
      <c r="B693">
        <f>SE(Doações!A194="";"";"Doação - "&amp;Doações!B194)</f>
        <v/>
      </c>
      <c r="C693">
        <f>SE(Doações!A194="";"";Doações!D194)</f>
        <v/>
      </c>
      <c r="D693">
        <f>SE(Doações!A194="";"";0)</f>
        <v/>
      </c>
    </row>
    <row r="694">
      <c r="A694">
        <f>SE(Doações!A195="";"";Doações!A195)</f>
        <v/>
      </c>
      <c r="B694">
        <f>SE(Doações!A195="";"";"Doação - "&amp;Doações!B195)</f>
        <v/>
      </c>
      <c r="C694">
        <f>SE(Doações!A195="";"";Doações!D195)</f>
        <v/>
      </c>
      <c r="D694">
        <f>SE(Doações!A195="";"";0)</f>
        <v/>
      </c>
    </row>
    <row r="695">
      <c r="A695">
        <f>SE(Doações!A196="";"";Doações!A196)</f>
        <v/>
      </c>
      <c r="B695">
        <f>SE(Doações!A196="";"";"Doação - "&amp;Doações!B196)</f>
        <v/>
      </c>
      <c r="C695">
        <f>SE(Doações!A196="";"";Doações!D196)</f>
        <v/>
      </c>
      <c r="D695">
        <f>SE(Doações!A196="";"";0)</f>
        <v/>
      </c>
    </row>
    <row r="696">
      <c r="A696">
        <f>SE(Doações!A197="";"";Doações!A197)</f>
        <v/>
      </c>
      <c r="B696">
        <f>SE(Doações!A197="";"";"Doação - "&amp;Doações!B197)</f>
        <v/>
      </c>
      <c r="C696">
        <f>SE(Doações!A197="";"";Doações!D197)</f>
        <v/>
      </c>
      <c r="D696">
        <f>SE(Doações!A197="";"";0)</f>
        <v/>
      </c>
    </row>
    <row r="697">
      <c r="A697">
        <f>SE(Doações!A198="";"";Doações!A198)</f>
        <v/>
      </c>
      <c r="B697">
        <f>SE(Doações!A198="";"";"Doação - "&amp;Doações!B198)</f>
        <v/>
      </c>
      <c r="C697">
        <f>SE(Doações!A198="";"";Doações!D198)</f>
        <v/>
      </c>
      <c r="D697">
        <f>SE(Doações!A198="";"";0)</f>
        <v/>
      </c>
    </row>
    <row r="698">
      <c r="A698">
        <f>SE(Doações!A199="";"";Doações!A199)</f>
        <v/>
      </c>
      <c r="B698">
        <f>SE(Doações!A199="";"";"Doação - "&amp;Doações!B199)</f>
        <v/>
      </c>
      <c r="C698">
        <f>SE(Doações!A199="";"";Doações!D199)</f>
        <v/>
      </c>
      <c r="D698">
        <f>SE(Doações!A199="";"";0)</f>
        <v/>
      </c>
    </row>
    <row r="699">
      <c r="A699">
        <f>SE(Doações!A200="";"";Doações!A200)</f>
        <v/>
      </c>
      <c r="B699">
        <f>SE(Doações!A200="";"";"Doação - "&amp;Doações!B200)</f>
        <v/>
      </c>
      <c r="C699">
        <f>SE(Doações!A200="";"";Doações!D200)</f>
        <v/>
      </c>
      <c r="D699">
        <f>SE(Doações!A200="";"";0)</f>
        <v/>
      </c>
    </row>
    <row r="700">
      <c r="A700">
        <f>SE(Doações!A201="";"";Doações!A201)</f>
        <v/>
      </c>
      <c r="B700">
        <f>SE(Doações!A201="";"";"Doação - "&amp;Doações!B201)</f>
        <v/>
      </c>
      <c r="C700">
        <f>SE(Doações!A201="";"";Doações!D201)</f>
        <v/>
      </c>
      <c r="D700">
        <f>SE(Doações!A201="";"";0)</f>
        <v/>
      </c>
    </row>
    <row r="701">
      <c r="A701">
        <f>SE(Doações!A202="";"";Doações!A202)</f>
        <v/>
      </c>
      <c r="B701">
        <f>SE(Doações!A202="";"";"Doação - "&amp;Doações!B202)</f>
        <v/>
      </c>
      <c r="C701">
        <f>SE(Doações!A202="";"";Doações!D202)</f>
        <v/>
      </c>
      <c r="D701">
        <f>SE(Doações!A202="";"";0)</f>
        <v/>
      </c>
    </row>
    <row r="702">
      <c r="A702">
        <f>SE(Doações!A203="";"";Doações!A203)</f>
        <v/>
      </c>
      <c r="B702">
        <f>SE(Doações!A203="";"";"Doação - "&amp;Doações!B203)</f>
        <v/>
      </c>
      <c r="C702">
        <f>SE(Doações!A203="";"";Doações!D203)</f>
        <v/>
      </c>
      <c r="D702">
        <f>SE(Doações!A203="";"";0)</f>
        <v/>
      </c>
    </row>
    <row r="703">
      <c r="A703">
        <f>SE(Doações!A204="";"";Doações!A204)</f>
        <v/>
      </c>
      <c r="B703">
        <f>SE(Doações!A204="";"";"Doação - "&amp;Doações!B204)</f>
        <v/>
      </c>
      <c r="C703">
        <f>SE(Doações!A204="";"";Doações!D204)</f>
        <v/>
      </c>
      <c r="D703">
        <f>SE(Doações!A204="";"";0)</f>
        <v/>
      </c>
    </row>
    <row r="704">
      <c r="A704">
        <f>SE(Doações!A205="";"";Doações!A205)</f>
        <v/>
      </c>
      <c r="B704">
        <f>SE(Doações!A205="";"";"Doação - "&amp;Doações!B205)</f>
        <v/>
      </c>
      <c r="C704">
        <f>SE(Doações!A205="";"";Doações!D205)</f>
        <v/>
      </c>
      <c r="D704">
        <f>SE(Doações!A205="";"";0)</f>
        <v/>
      </c>
    </row>
    <row r="705">
      <c r="A705">
        <f>SE(Doações!A206="";"";Doações!A206)</f>
        <v/>
      </c>
      <c r="B705">
        <f>SE(Doações!A206="";"";"Doação - "&amp;Doações!B206)</f>
        <v/>
      </c>
      <c r="C705">
        <f>SE(Doações!A206="";"";Doações!D206)</f>
        <v/>
      </c>
      <c r="D705">
        <f>SE(Doações!A206="";"";0)</f>
        <v/>
      </c>
    </row>
    <row r="706">
      <c r="A706">
        <f>SE(Doações!A207="";"";Doações!A207)</f>
        <v/>
      </c>
      <c r="B706">
        <f>SE(Doações!A207="";"";"Doação - "&amp;Doações!B207)</f>
        <v/>
      </c>
      <c r="C706">
        <f>SE(Doações!A207="";"";Doações!D207)</f>
        <v/>
      </c>
      <c r="D706">
        <f>SE(Doações!A207="";"";0)</f>
        <v/>
      </c>
    </row>
    <row r="707">
      <c r="A707">
        <f>SE(Doações!A208="";"";Doações!A208)</f>
        <v/>
      </c>
      <c r="B707">
        <f>SE(Doações!A208="";"";"Doação - "&amp;Doações!B208)</f>
        <v/>
      </c>
      <c r="C707">
        <f>SE(Doações!A208="";"";Doações!D208)</f>
        <v/>
      </c>
      <c r="D707">
        <f>SE(Doações!A208="";"";0)</f>
        <v/>
      </c>
    </row>
    <row r="708">
      <c r="A708">
        <f>SE(Doações!A209="";"";Doações!A209)</f>
        <v/>
      </c>
      <c r="B708">
        <f>SE(Doações!A209="";"";"Doação - "&amp;Doações!B209)</f>
        <v/>
      </c>
      <c r="C708">
        <f>SE(Doações!A209="";"";Doações!D209)</f>
        <v/>
      </c>
      <c r="D708">
        <f>SE(Doações!A209="";"";0)</f>
        <v/>
      </c>
    </row>
    <row r="709">
      <c r="A709">
        <f>SE(Doações!A210="";"";Doações!A210)</f>
        <v/>
      </c>
      <c r="B709">
        <f>SE(Doações!A210="";"";"Doação - "&amp;Doações!B210)</f>
        <v/>
      </c>
      <c r="C709">
        <f>SE(Doações!A210="";"";Doações!D210)</f>
        <v/>
      </c>
      <c r="D709">
        <f>SE(Doações!A210="";"";0)</f>
        <v/>
      </c>
    </row>
    <row r="710">
      <c r="A710">
        <f>SE(Doações!A211="";"";Doações!A211)</f>
        <v/>
      </c>
      <c r="B710">
        <f>SE(Doações!A211="";"";"Doação - "&amp;Doações!B211)</f>
        <v/>
      </c>
      <c r="C710">
        <f>SE(Doações!A211="";"";Doações!D211)</f>
        <v/>
      </c>
      <c r="D710">
        <f>SE(Doações!A211="";"";0)</f>
        <v/>
      </c>
    </row>
    <row r="711">
      <c r="A711">
        <f>SE(Doações!A212="";"";Doações!A212)</f>
        <v/>
      </c>
      <c r="B711">
        <f>SE(Doações!A212="";"";"Doação - "&amp;Doações!B212)</f>
        <v/>
      </c>
      <c r="C711">
        <f>SE(Doações!A212="";"";Doações!D212)</f>
        <v/>
      </c>
      <c r="D711">
        <f>SE(Doações!A212="";"";0)</f>
        <v/>
      </c>
    </row>
    <row r="712">
      <c r="A712">
        <f>SE(Doações!A213="";"";Doações!A213)</f>
        <v/>
      </c>
      <c r="B712">
        <f>SE(Doações!A213="";"";"Doação - "&amp;Doações!B213)</f>
        <v/>
      </c>
      <c r="C712">
        <f>SE(Doações!A213="";"";Doações!D213)</f>
        <v/>
      </c>
      <c r="D712">
        <f>SE(Doações!A213="";"";0)</f>
        <v/>
      </c>
    </row>
    <row r="713">
      <c r="A713">
        <f>SE(Doações!A214="";"";Doações!A214)</f>
        <v/>
      </c>
      <c r="B713">
        <f>SE(Doações!A214="";"";"Doação - "&amp;Doações!B214)</f>
        <v/>
      </c>
      <c r="C713">
        <f>SE(Doações!A214="";"";Doações!D214)</f>
        <v/>
      </c>
      <c r="D713">
        <f>SE(Doações!A214="";"";0)</f>
        <v/>
      </c>
    </row>
    <row r="714">
      <c r="A714">
        <f>SE(Doações!A215="";"";Doações!A215)</f>
        <v/>
      </c>
      <c r="B714">
        <f>SE(Doações!A215="";"";"Doação - "&amp;Doações!B215)</f>
        <v/>
      </c>
      <c r="C714">
        <f>SE(Doações!A215="";"";Doações!D215)</f>
        <v/>
      </c>
      <c r="D714">
        <f>SE(Doações!A215="";"";0)</f>
        <v/>
      </c>
    </row>
    <row r="715">
      <c r="A715">
        <f>SE(Doações!A216="";"";Doações!A216)</f>
        <v/>
      </c>
      <c r="B715">
        <f>SE(Doações!A216="";"";"Doação - "&amp;Doações!B216)</f>
        <v/>
      </c>
      <c r="C715">
        <f>SE(Doações!A216="";"";Doações!D216)</f>
        <v/>
      </c>
      <c r="D715">
        <f>SE(Doações!A216="";"";0)</f>
        <v/>
      </c>
    </row>
    <row r="716">
      <c r="A716">
        <f>SE(Doações!A217="";"";Doações!A217)</f>
        <v/>
      </c>
      <c r="B716">
        <f>SE(Doações!A217="";"";"Doação - "&amp;Doações!B217)</f>
        <v/>
      </c>
      <c r="C716">
        <f>SE(Doações!A217="";"";Doações!D217)</f>
        <v/>
      </c>
      <c r="D716">
        <f>SE(Doações!A217="";"";0)</f>
        <v/>
      </c>
    </row>
    <row r="717">
      <c r="A717">
        <f>SE(Doações!A218="";"";Doações!A218)</f>
        <v/>
      </c>
      <c r="B717">
        <f>SE(Doações!A218="";"";"Doação - "&amp;Doações!B218)</f>
        <v/>
      </c>
      <c r="C717">
        <f>SE(Doações!A218="";"";Doações!D218)</f>
        <v/>
      </c>
      <c r="D717">
        <f>SE(Doações!A218="";"";0)</f>
        <v/>
      </c>
    </row>
    <row r="718">
      <c r="A718">
        <f>SE(Doações!A219="";"";Doações!A219)</f>
        <v/>
      </c>
      <c r="B718">
        <f>SE(Doações!A219="";"";"Doação - "&amp;Doações!B219)</f>
        <v/>
      </c>
      <c r="C718">
        <f>SE(Doações!A219="";"";Doações!D219)</f>
        <v/>
      </c>
      <c r="D718">
        <f>SE(Doações!A219="";"";0)</f>
        <v/>
      </c>
    </row>
    <row r="719">
      <c r="A719">
        <f>SE(Doações!A220="";"";Doações!A220)</f>
        <v/>
      </c>
      <c r="B719">
        <f>SE(Doações!A220="";"";"Doação - "&amp;Doações!B220)</f>
        <v/>
      </c>
      <c r="C719">
        <f>SE(Doações!A220="";"";Doações!D220)</f>
        <v/>
      </c>
      <c r="D719">
        <f>SE(Doações!A220="";"";0)</f>
        <v/>
      </c>
    </row>
    <row r="720">
      <c r="A720">
        <f>SE(Doações!A221="";"";Doações!A221)</f>
        <v/>
      </c>
      <c r="B720">
        <f>SE(Doações!A221="";"";"Doação - "&amp;Doações!B221)</f>
        <v/>
      </c>
      <c r="C720">
        <f>SE(Doações!A221="";"";Doações!D221)</f>
        <v/>
      </c>
      <c r="D720">
        <f>SE(Doações!A221="";"";0)</f>
        <v/>
      </c>
    </row>
    <row r="721">
      <c r="A721">
        <f>SE(Doações!A222="";"";Doações!A222)</f>
        <v/>
      </c>
      <c r="B721">
        <f>SE(Doações!A222="";"";"Doação - "&amp;Doações!B222)</f>
        <v/>
      </c>
      <c r="C721">
        <f>SE(Doações!A222="";"";Doações!D222)</f>
        <v/>
      </c>
      <c r="D721">
        <f>SE(Doações!A222="";"";0)</f>
        <v/>
      </c>
    </row>
    <row r="722">
      <c r="A722">
        <f>SE(Doações!A223="";"";Doações!A223)</f>
        <v/>
      </c>
      <c r="B722">
        <f>SE(Doações!A223="";"";"Doação - "&amp;Doações!B223)</f>
        <v/>
      </c>
      <c r="C722">
        <f>SE(Doações!A223="";"";Doações!D223)</f>
        <v/>
      </c>
      <c r="D722">
        <f>SE(Doações!A223="";"";0)</f>
        <v/>
      </c>
    </row>
    <row r="723">
      <c r="A723">
        <f>SE(Doações!A224="";"";Doações!A224)</f>
        <v/>
      </c>
      <c r="B723">
        <f>SE(Doações!A224="";"";"Doação - "&amp;Doações!B224)</f>
        <v/>
      </c>
      <c r="C723">
        <f>SE(Doações!A224="";"";Doações!D224)</f>
        <v/>
      </c>
      <c r="D723">
        <f>SE(Doações!A224="";"";0)</f>
        <v/>
      </c>
    </row>
    <row r="724">
      <c r="A724">
        <f>SE(Doações!A225="";"";Doações!A225)</f>
        <v/>
      </c>
      <c r="B724">
        <f>SE(Doações!A225="";"";"Doação - "&amp;Doações!B225)</f>
        <v/>
      </c>
      <c r="C724">
        <f>SE(Doações!A225="";"";Doações!D225)</f>
        <v/>
      </c>
      <c r="D724">
        <f>SE(Doações!A225="";"";0)</f>
        <v/>
      </c>
    </row>
    <row r="725">
      <c r="A725">
        <f>SE(Doações!A226="";"";Doações!A226)</f>
        <v/>
      </c>
      <c r="B725">
        <f>SE(Doações!A226="";"";"Doação - "&amp;Doações!B226)</f>
        <v/>
      </c>
      <c r="C725">
        <f>SE(Doações!A226="";"";Doações!D226)</f>
        <v/>
      </c>
      <c r="D725">
        <f>SE(Doações!A226="";"";0)</f>
        <v/>
      </c>
    </row>
    <row r="726">
      <c r="A726">
        <f>SE(Doações!A227="";"";Doações!A227)</f>
        <v/>
      </c>
      <c r="B726">
        <f>SE(Doações!A227="";"";"Doação - "&amp;Doações!B227)</f>
        <v/>
      </c>
      <c r="C726">
        <f>SE(Doações!A227="";"";Doações!D227)</f>
        <v/>
      </c>
      <c r="D726">
        <f>SE(Doações!A227="";"";0)</f>
        <v/>
      </c>
    </row>
    <row r="727">
      <c r="A727">
        <f>SE(Doações!A228="";"";Doações!A228)</f>
        <v/>
      </c>
      <c r="B727">
        <f>SE(Doações!A228="";"";"Doação - "&amp;Doações!B228)</f>
        <v/>
      </c>
      <c r="C727">
        <f>SE(Doações!A228="";"";Doações!D228)</f>
        <v/>
      </c>
      <c r="D727">
        <f>SE(Doações!A228="";"";0)</f>
        <v/>
      </c>
    </row>
    <row r="728">
      <c r="A728">
        <f>SE(Doações!A229="";"";Doações!A229)</f>
        <v/>
      </c>
      <c r="B728">
        <f>SE(Doações!A229="";"";"Doação - "&amp;Doações!B229)</f>
        <v/>
      </c>
      <c r="C728">
        <f>SE(Doações!A229="";"";Doações!D229)</f>
        <v/>
      </c>
      <c r="D728">
        <f>SE(Doações!A229="";"";0)</f>
        <v/>
      </c>
    </row>
    <row r="729">
      <c r="A729">
        <f>SE(Doações!A230="";"";Doações!A230)</f>
        <v/>
      </c>
      <c r="B729">
        <f>SE(Doações!A230="";"";"Doação - "&amp;Doações!B230)</f>
        <v/>
      </c>
      <c r="C729">
        <f>SE(Doações!A230="";"";Doações!D230)</f>
        <v/>
      </c>
      <c r="D729">
        <f>SE(Doações!A230="";"";0)</f>
        <v/>
      </c>
    </row>
    <row r="730">
      <c r="A730">
        <f>SE(Doações!A231="";"";Doações!A231)</f>
        <v/>
      </c>
      <c r="B730">
        <f>SE(Doações!A231="";"";"Doação - "&amp;Doações!B231)</f>
        <v/>
      </c>
      <c r="C730">
        <f>SE(Doações!A231="";"";Doações!D231)</f>
        <v/>
      </c>
      <c r="D730">
        <f>SE(Doações!A231="";"";0)</f>
        <v/>
      </c>
    </row>
    <row r="731">
      <c r="A731">
        <f>SE(Doações!A232="";"";Doações!A232)</f>
        <v/>
      </c>
      <c r="B731">
        <f>SE(Doações!A232="";"";"Doação - "&amp;Doações!B232)</f>
        <v/>
      </c>
      <c r="C731">
        <f>SE(Doações!A232="";"";Doações!D232)</f>
        <v/>
      </c>
      <c r="D731">
        <f>SE(Doações!A232="";"";0)</f>
        <v/>
      </c>
    </row>
    <row r="732">
      <c r="A732">
        <f>SE(Doações!A233="";"";Doações!A233)</f>
        <v/>
      </c>
      <c r="B732">
        <f>SE(Doações!A233="";"";"Doação - "&amp;Doações!B233)</f>
        <v/>
      </c>
      <c r="C732">
        <f>SE(Doações!A233="";"";Doações!D233)</f>
        <v/>
      </c>
      <c r="D732">
        <f>SE(Doações!A233="";"";0)</f>
        <v/>
      </c>
    </row>
    <row r="733">
      <c r="A733">
        <f>SE(Doações!A234="";"";Doações!A234)</f>
        <v/>
      </c>
      <c r="B733">
        <f>SE(Doações!A234="";"";"Doação - "&amp;Doações!B234)</f>
        <v/>
      </c>
      <c r="C733">
        <f>SE(Doações!A234="";"";Doações!D234)</f>
        <v/>
      </c>
      <c r="D733">
        <f>SE(Doações!A234="";"";0)</f>
        <v/>
      </c>
    </row>
    <row r="734">
      <c r="A734">
        <f>SE(Doações!A235="";"";Doações!A235)</f>
        <v/>
      </c>
      <c r="B734">
        <f>SE(Doações!A235="";"";"Doação - "&amp;Doações!B235)</f>
        <v/>
      </c>
      <c r="C734">
        <f>SE(Doações!A235="";"";Doações!D235)</f>
        <v/>
      </c>
      <c r="D734">
        <f>SE(Doações!A235="";"";0)</f>
        <v/>
      </c>
    </row>
    <row r="735">
      <c r="A735">
        <f>SE(Doações!A236="";"";Doações!A236)</f>
        <v/>
      </c>
      <c r="B735">
        <f>SE(Doações!A236="";"";"Doação - "&amp;Doações!B236)</f>
        <v/>
      </c>
      <c r="C735">
        <f>SE(Doações!A236="";"";Doações!D236)</f>
        <v/>
      </c>
      <c r="D735">
        <f>SE(Doações!A236="";"";0)</f>
        <v/>
      </c>
    </row>
    <row r="736">
      <c r="A736">
        <f>SE(Doações!A237="";"";Doações!A237)</f>
        <v/>
      </c>
      <c r="B736">
        <f>SE(Doações!A237="";"";"Doação - "&amp;Doações!B237)</f>
        <v/>
      </c>
      <c r="C736">
        <f>SE(Doações!A237="";"";Doações!D237)</f>
        <v/>
      </c>
      <c r="D736">
        <f>SE(Doações!A237="";"";0)</f>
        <v/>
      </c>
    </row>
    <row r="737">
      <c r="A737">
        <f>SE(Doações!A238="";"";Doações!A238)</f>
        <v/>
      </c>
      <c r="B737">
        <f>SE(Doações!A238="";"";"Doação - "&amp;Doações!B238)</f>
        <v/>
      </c>
      <c r="C737">
        <f>SE(Doações!A238="";"";Doações!D238)</f>
        <v/>
      </c>
      <c r="D737">
        <f>SE(Doações!A238="";"";0)</f>
        <v/>
      </c>
    </row>
    <row r="738">
      <c r="A738">
        <f>SE(Doações!A239="";"";Doações!A239)</f>
        <v/>
      </c>
      <c r="B738">
        <f>SE(Doações!A239="";"";"Doação - "&amp;Doações!B239)</f>
        <v/>
      </c>
      <c r="C738">
        <f>SE(Doações!A239="";"";Doações!D239)</f>
        <v/>
      </c>
      <c r="D738">
        <f>SE(Doações!A239="";"";0)</f>
        <v/>
      </c>
    </row>
    <row r="739">
      <c r="A739">
        <f>SE(Doações!A240="";"";Doações!A240)</f>
        <v/>
      </c>
      <c r="B739">
        <f>SE(Doações!A240="";"";"Doação - "&amp;Doações!B240)</f>
        <v/>
      </c>
      <c r="C739">
        <f>SE(Doações!A240="";"";Doações!D240)</f>
        <v/>
      </c>
      <c r="D739">
        <f>SE(Doações!A240="";"";0)</f>
        <v/>
      </c>
    </row>
    <row r="740">
      <c r="A740">
        <f>SE(Doações!A241="";"";Doações!A241)</f>
        <v/>
      </c>
      <c r="B740">
        <f>SE(Doações!A241="";"";"Doação - "&amp;Doações!B241)</f>
        <v/>
      </c>
      <c r="C740">
        <f>SE(Doações!A241="";"";Doações!D241)</f>
        <v/>
      </c>
      <c r="D740">
        <f>SE(Doações!A241="";"";0)</f>
        <v/>
      </c>
    </row>
    <row r="741">
      <c r="A741">
        <f>SE(Doações!A242="";"";Doações!A242)</f>
        <v/>
      </c>
      <c r="B741">
        <f>SE(Doações!A242="";"";"Doação - "&amp;Doações!B242)</f>
        <v/>
      </c>
      <c r="C741">
        <f>SE(Doações!A242="";"";Doações!D242)</f>
        <v/>
      </c>
      <c r="D741">
        <f>SE(Doações!A242="";"";0)</f>
        <v/>
      </c>
    </row>
    <row r="742">
      <c r="A742">
        <f>SE(Doações!A243="";"";Doações!A243)</f>
        <v/>
      </c>
      <c r="B742">
        <f>SE(Doações!A243="";"";"Doação - "&amp;Doações!B243)</f>
        <v/>
      </c>
      <c r="C742">
        <f>SE(Doações!A243="";"";Doações!D243)</f>
        <v/>
      </c>
      <c r="D742">
        <f>SE(Doações!A243="";"";0)</f>
        <v/>
      </c>
    </row>
    <row r="743">
      <c r="A743">
        <f>SE(Doações!A244="";"";Doações!A244)</f>
        <v/>
      </c>
      <c r="B743">
        <f>SE(Doações!A244="";"";"Doação - "&amp;Doações!B244)</f>
        <v/>
      </c>
      <c r="C743">
        <f>SE(Doações!A244="";"";Doações!D244)</f>
        <v/>
      </c>
      <c r="D743">
        <f>SE(Doações!A244="";"";0)</f>
        <v/>
      </c>
    </row>
    <row r="744">
      <c r="A744">
        <f>SE(Doações!A245="";"";Doações!A245)</f>
        <v/>
      </c>
      <c r="B744">
        <f>SE(Doações!A245="";"";"Doação - "&amp;Doações!B245)</f>
        <v/>
      </c>
      <c r="C744">
        <f>SE(Doações!A245="";"";Doações!D245)</f>
        <v/>
      </c>
      <c r="D744">
        <f>SE(Doações!A245="";"";0)</f>
        <v/>
      </c>
    </row>
    <row r="745">
      <c r="A745">
        <f>SE(Doações!A246="";"";Doações!A246)</f>
        <v/>
      </c>
      <c r="B745">
        <f>SE(Doações!A246="";"";"Doação - "&amp;Doações!B246)</f>
        <v/>
      </c>
      <c r="C745">
        <f>SE(Doações!A246="";"";Doações!D246)</f>
        <v/>
      </c>
      <c r="D745">
        <f>SE(Doações!A246="";"";0)</f>
        <v/>
      </c>
    </row>
    <row r="746">
      <c r="A746">
        <f>SE(Doações!A247="";"";Doações!A247)</f>
        <v/>
      </c>
      <c r="B746">
        <f>SE(Doações!A247="";"";"Doação - "&amp;Doações!B247)</f>
        <v/>
      </c>
      <c r="C746">
        <f>SE(Doações!A247="";"";Doações!D247)</f>
        <v/>
      </c>
      <c r="D746">
        <f>SE(Doações!A247="";"";0)</f>
        <v/>
      </c>
    </row>
    <row r="747">
      <c r="A747">
        <f>SE(Doações!A248="";"";Doações!A248)</f>
        <v/>
      </c>
      <c r="B747">
        <f>SE(Doações!A248="";"";"Doação - "&amp;Doações!B248)</f>
        <v/>
      </c>
      <c r="C747">
        <f>SE(Doações!A248="";"";Doações!D248)</f>
        <v/>
      </c>
      <c r="D747">
        <f>SE(Doações!A248="";"";0)</f>
        <v/>
      </c>
    </row>
    <row r="748">
      <c r="A748">
        <f>SE(Doações!A249="";"";Doações!A249)</f>
        <v/>
      </c>
      <c r="B748">
        <f>SE(Doações!A249="";"";"Doação - "&amp;Doações!B249)</f>
        <v/>
      </c>
      <c r="C748">
        <f>SE(Doações!A249="";"";Doações!D249)</f>
        <v/>
      </c>
      <c r="D748">
        <f>SE(Doações!A249="";"";0)</f>
        <v/>
      </c>
    </row>
    <row r="749">
      <c r="A749">
        <f>SE(Doações!A250="";"";Doações!A250)</f>
        <v/>
      </c>
      <c r="B749">
        <f>SE(Doações!A250="";"";"Doação - "&amp;Doações!B250)</f>
        <v/>
      </c>
      <c r="C749">
        <f>SE(Doações!A250="";"";Doações!D250)</f>
        <v/>
      </c>
      <c r="D749">
        <f>SE(Doações!A250="";"";0)</f>
        <v/>
      </c>
    </row>
    <row r="750">
      <c r="A750">
        <f>SE(Doações!A251="";"";Doações!A251)</f>
        <v/>
      </c>
      <c r="B750">
        <f>SE(Doações!A251="";"";"Doação - "&amp;Doações!B251)</f>
        <v/>
      </c>
      <c r="C750">
        <f>SE(Doações!A251="";"";Doações!D251)</f>
        <v/>
      </c>
      <c r="D750">
        <f>SE(Doações!A251="";"";0)</f>
        <v/>
      </c>
    </row>
    <row r="751">
      <c r="A751">
        <f>SE(Doações!A252="";"";Doações!A252)</f>
        <v/>
      </c>
      <c r="B751">
        <f>SE(Doações!A252="";"";"Doação - "&amp;Doações!B252)</f>
        <v/>
      </c>
      <c r="C751">
        <f>SE(Doações!A252="";"";Doações!D252)</f>
        <v/>
      </c>
      <c r="D751">
        <f>SE(Doações!A252="";"";0)</f>
        <v/>
      </c>
    </row>
    <row r="752">
      <c r="A752">
        <f>SE(Doações!A253="";"";Doações!A253)</f>
        <v/>
      </c>
      <c r="B752">
        <f>SE(Doações!A253="";"";"Doação - "&amp;Doações!B253)</f>
        <v/>
      </c>
      <c r="C752">
        <f>SE(Doações!A253="";"";Doações!D253)</f>
        <v/>
      </c>
      <c r="D752">
        <f>SE(Doações!A253="";"";0)</f>
        <v/>
      </c>
    </row>
    <row r="753">
      <c r="A753">
        <f>SE(Doações!A254="";"";Doações!A254)</f>
        <v/>
      </c>
      <c r="B753">
        <f>SE(Doações!A254="";"";"Doação - "&amp;Doações!B254)</f>
        <v/>
      </c>
      <c r="C753">
        <f>SE(Doações!A254="";"";Doações!D254)</f>
        <v/>
      </c>
      <c r="D753">
        <f>SE(Doações!A254="";"";0)</f>
        <v/>
      </c>
    </row>
    <row r="754">
      <c r="A754">
        <f>SE(Doações!A255="";"";Doações!A255)</f>
        <v/>
      </c>
      <c r="B754">
        <f>SE(Doações!A255="";"";"Doação - "&amp;Doações!B255)</f>
        <v/>
      </c>
      <c r="C754">
        <f>SE(Doações!A255="";"";Doações!D255)</f>
        <v/>
      </c>
      <c r="D754">
        <f>SE(Doações!A255="";"";0)</f>
        <v/>
      </c>
    </row>
    <row r="755">
      <c r="A755">
        <f>SE(Doações!A256="";"";Doações!A256)</f>
        <v/>
      </c>
      <c r="B755">
        <f>SE(Doações!A256="";"";"Doação - "&amp;Doações!B256)</f>
        <v/>
      </c>
      <c r="C755">
        <f>SE(Doações!A256="";"";Doações!D256)</f>
        <v/>
      </c>
      <c r="D755">
        <f>SE(Doações!A256="";"";0)</f>
        <v/>
      </c>
    </row>
    <row r="756">
      <c r="A756">
        <f>SE(Doações!A257="";"";Doações!A257)</f>
        <v/>
      </c>
      <c r="B756">
        <f>SE(Doações!A257="";"";"Doação - "&amp;Doações!B257)</f>
        <v/>
      </c>
      <c r="C756">
        <f>SE(Doações!A257="";"";Doações!D257)</f>
        <v/>
      </c>
      <c r="D756">
        <f>SE(Doações!A257="";"";0)</f>
        <v/>
      </c>
    </row>
    <row r="757">
      <c r="A757">
        <f>SE(Doações!A258="";"";Doações!A258)</f>
        <v/>
      </c>
      <c r="B757">
        <f>SE(Doações!A258="";"";"Doação - "&amp;Doações!B258)</f>
        <v/>
      </c>
      <c r="C757">
        <f>SE(Doações!A258="";"";Doações!D258)</f>
        <v/>
      </c>
      <c r="D757">
        <f>SE(Doações!A258="";"";0)</f>
        <v/>
      </c>
    </row>
    <row r="758">
      <c r="A758">
        <f>SE(Doações!A259="";"";Doações!A259)</f>
        <v/>
      </c>
      <c r="B758">
        <f>SE(Doações!A259="";"";"Doação - "&amp;Doações!B259)</f>
        <v/>
      </c>
      <c r="C758">
        <f>SE(Doações!A259="";"";Doações!D259)</f>
        <v/>
      </c>
      <c r="D758">
        <f>SE(Doações!A259="";"";0)</f>
        <v/>
      </c>
    </row>
    <row r="759">
      <c r="A759">
        <f>SE(Doações!A260="";"";Doações!A260)</f>
        <v/>
      </c>
      <c r="B759">
        <f>SE(Doações!A260="";"";"Doação - "&amp;Doações!B260)</f>
        <v/>
      </c>
      <c r="C759">
        <f>SE(Doações!A260="";"";Doações!D260)</f>
        <v/>
      </c>
      <c r="D759">
        <f>SE(Doações!A260="";"";0)</f>
        <v/>
      </c>
    </row>
    <row r="760">
      <c r="A760">
        <f>SE(Doações!A261="";"";Doações!A261)</f>
        <v/>
      </c>
      <c r="B760">
        <f>SE(Doações!A261="";"";"Doação - "&amp;Doações!B261)</f>
        <v/>
      </c>
      <c r="C760">
        <f>SE(Doações!A261="";"";Doações!D261)</f>
        <v/>
      </c>
      <c r="D760">
        <f>SE(Doações!A261="";"";0)</f>
        <v/>
      </c>
    </row>
    <row r="761">
      <c r="A761">
        <f>SE(Doações!A262="";"";Doações!A262)</f>
        <v/>
      </c>
      <c r="B761">
        <f>SE(Doações!A262="";"";"Doação - "&amp;Doações!B262)</f>
        <v/>
      </c>
      <c r="C761">
        <f>SE(Doações!A262="";"";Doações!D262)</f>
        <v/>
      </c>
      <c r="D761">
        <f>SE(Doações!A262="";"";0)</f>
        <v/>
      </c>
    </row>
    <row r="762">
      <c r="A762">
        <f>SE(Doações!A263="";"";Doações!A263)</f>
        <v/>
      </c>
      <c r="B762">
        <f>SE(Doações!A263="";"";"Doação - "&amp;Doações!B263)</f>
        <v/>
      </c>
      <c r="C762">
        <f>SE(Doações!A263="";"";Doações!D263)</f>
        <v/>
      </c>
      <c r="D762">
        <f>SE(Doações!A263="";"";0)</f>
        <v/>
      </c>
    </row>
    <row r="763">
      <c r="A763">
        <f>SE(Doações!A264="";"";Doações!A264)</f>
        <v/>
      </c>
      <c r="B763">
        <f>SE(Doações!A264="";"";"Doação - "&amp;Doações!B264)</f>
        <v/>
      </c>
      <c r="C763">
        <f>SE(Doações!A264="";"";Doações!D264)</f>
        <v/>
      </c>
      <c r="D763">
        <f>SE(Doações!A264="";"";0)</f>
        <v/>
      </c>
    </row>
    <row r="764">
      <c r="A764">
        <f>SE(Doações!A265="";"";Doações!A265)</f>
        <v/>
      </c>
      <c r="B764">
        <f>SE(Doações!A265="";"";"Doação - "&amp;Doações!B265)</f>
        <v/>
      </c>
      <c r="C764">
        <f>SE(Doações!A265="";"";Doações!D265)</f>
        <v/>
      </c>
      <c r="D764">
        <f>SE(Doações!A265="";"";0)</f>
        <v/>
      </c>
    </row>
    <row r="765">
      <c r="A765">
        <f>SE(Doações!A266="";"";Doações!A266)</f>
        <v/>
      </c>
      <c r="B765">
        <f>SE(Doações!A266="";"";"Doação - "&amp;Doações!B266)</f>
        <v/>
      </c>
      <c r="C765">
        <f>SE(Doações!A266="";"";Doações!D266)</f>
        <v/>
      </c>
      <c r="D765">
        <f>SE(Doações!A266="";"";0)</f>
        <v/>
      </c>
    </row>
    <row r="766">
      <c r="A766">
        <f>SE(Doações!A267="";"";Doações!A267)</f>
        <v/>
      </c>
      <c r="B766">
        <f>SE(Doações!A267="";"";"Doação - "&amp;Doações!B267)</f>
        <v/>
      </c>
      <c r="C766">
        <f>SE(Doações!A267="";"";Doações!D267)</f>
        <v/>
      </c>
      <c r="D766">
        <f>SE(Doações!A267="";"";0)</f>
        <v/>
      </c>
    </row>
    <row r="767">
      <c r="A767">
        <f>SE(Doações!A268="";"";Doações!A268)</f>
        <v/>
      </c>
      <c r="B767">
        <f>SE(Doações!A268="";"";"Doação - "&amp;Doações!B268)</f>
        <v/>
      </c>
      <c r="C767">
        <f>SE(Doações!A268="";"";Doações!D268)</f>
        <v/>
      </c>
      <c r="D767">
        <f>SE(Doações!A268="";"";0)</f>
        <v/>
      </c>
    </row>
    <row r="768">
      <c r="A768">
        <f>SE(Doações!A269="";"";Doações!A269)</f>
        <v/>
      </c>
      <c r="B768">
        <f>SE(Doações!A269="";"";"Doação - "&amp;Doações!B269)</f>
        <v/>
      </c>
      <c r="C768">
        <f>SE(Doações!A269="";"";Doações!D269)</f>
        <v/>
      </c>
      <c r="D768">
        <f>SE(Doações!A269="";"";0)</f>
        <v/>
      </c>
    </row>
    <row r="769">
      <c r="A769">
        <f>SE(Doações!A270="";"";Doações!A270)</f>
        <v/>
      </c>
      <c r="B769">
        <f>SE(Doações!A270="";"";"Doação - "&amp;Doações!B270)</f>
        <v/>
      </c>
      <c r="C769">
        <f>SE(Doações!A270="";"";Doações!D270)</f>
        <v/>
      </c>
      <c r="D769">
        <f>SE(Doações!A270="";"";0)</f>
        <v/>
      </c>
    </row>
    <row r="770">
      <c r="A770">
        <f>SE(Doações!A271="";"";Doações!A271)</f>
        <v/>
      </c>
      <c r="B770">
        <f>SE(Doações!A271="";"";"Doação - "&amp;Doações!B271)</f>
        <v/>
      </c>
      <c r="C770">
        <f>SE(Doações!A271="";"";Doações!D271)</f>
        <v/>
      </c>
      <c r="D770">
        <f>SE(Doações!A271="";"";0)</f>
        <v/>
      </c>
    </row>
    <row r="771">
      <c r="A771">
        <f>SE(Doações!A272="";"";Doações!A272)</f>
        <v/>
      </c>
      <c r="B771">
        <f>SE(Doações!A272="";"";"Doação - "&amp;Doações!B272)</f>
        <v/>
      </c>
      <c r="C771">
        <f>SE(Doações!A272="";"";Doações!D272)</f>
        <v/>
      </c>
      <c r="D771">
        <f>SE(Doações!A272="";"";0)</f>
        <v/>
      </c>
    </row>
    <row r="772">
      <c r="A772">
        <f>SE(Doações!A273="";"";Doações!A273)</f>
        <v/>
      </c>
      <c r="B772">
        <f>SE(Doações!A273="";"";"Doação - "&amp;Doações!B273)</f>
        <v/>
      </c>
      <c r="C772">
        <f>SE(Doações!A273="";"";Doações!D273)</f>
        <v/>
      </c>
      <c r="D772">
        <f>SE(Doações!A273="";"";0)</f>
        <v/>
      </c>
    </row>
    <row r="773">
      <c r="A773">
        <f>SE(Doações!A274="";"";Doações!A274)</f>
        <v/>
      </c>
      <c r="B773">
        <f>SE(Doações!A274="";"";"Doação - "&amp;Doações!B274)</f>
        <v/>
      </c>
      <c r="C773">
        <f>SE(Doações!A274="";"";Doações!D274)</f>
        <v/>
      </c>
      <c r="D773">
        <f>SE(Doações!A274="";"";0)</f>
        <v/>
      </c>
    </row>
    <row r="774">
      <c r="A774">
        <f>SE(Doações!A275="";"";Doações!A275)</f>
        <v/>
      </c>
      <c r="B774">
        <f>SE(Doações!A275="";"";"Doação - "&amp;Doações!B275)</f>
        <v/>
      </c>
      <c r="C774">
        <f>SE(Doações!A275="";"";Doações!D275)</f>
        <v/>
      </c>
      <c r="D774">
        <f>SE(Doações!A275="";"";0)</f>
        <v/>
      </c>
    </row>
    <row r="775">
      <c r="A775">
        <f>SE(Doações!A276="";"";Doações!A276)</f>
        <v/>
      </c>
      <c r="B775">
        <f>SE(Doações!A276="";"";"Doação - "&amp;Doações!B276)</f>
        <v/>
      </c>
      <c r="C775">
        <f>SE(Doações!A276="";"";Doações!D276)</f>
        <v/>
      </c>
      <c r="D775">
        <f>SE(Doações!A276="";"";0)</f>
        <v/>
      </c>
    </row>
    <row r="776">
      <c r="A776">
        <f>SE(Doações!A277="";"";Doações!A277)</f>
        <v/>
      </c>
      <c r="B776">
        <f>SE(Doações!A277="";"";"Doação - "&amp;Doações!B277)</f>
        <v/>
      </c>
      <c r="C776">
        <f>SE(Doações!A277="";"";Doações!D277)</f>
        <v/>
      </c>
      <c r="D776">
        <f>SE(Doações!A277="";"";0)</f>
        <v/>
      </c>
    </row>
    <row r="777">
      <c r="A777">
        <f>SE(Doações!A278="";"";Doações!A278)</f>
        <v/>
      </c>
      <c r="B777">
        <f>SE(Doações!A278="";"";"Doação - "&amp;Doações!B278)</f>
        <v/>
      </c>
      <c r="C777">
        <f>SE(Doações!A278="";"";Doações!D278)</f>
        <v/>
      </c>
      <c r="D777">
        <f>SE(Doações!A278="";"";0)</f>
        <v/>
      </c>
    </row>
    <row r="778">
      <c r="A778">
        <f>SE(Doações!A279="";"";Doações!A279)</f>
        <v/>
      </c>
      <c r="B778">
        <f>SE(Doações!A279="";"";"Doação - "&amp;Doações!B279)</f>
        <v/>
      </c>
      <c r="C778">
        <f>SE(Doações!A279="";"";Doações!D279)</f>
        <v/>
      </c>
      <c r="D778">
        <f>SE(Doações!A279="";"";0)</f>
        <v/>
      </c>
    </row>
    <row r="779">
      <c r="A779">
        <f>SE(Doações!A280="";"";Doações!A280)</f>
        <v/>
      </c>
      <c r="B779">
        <f>SE(Doações!A280="";"";"Doação - "&amp;Doações!B280)</f>
        <v/>
      </c>
      <c r="C779">
        <f>SE(Doações!A280="";"";Doações!D280)</f>
        <v/>
      </c>
      <c r="D779">
        <f>SE(Doações!A280="";"";0)</f>
        <v/>
      </c>
    </row>
    <row r="780">
      <c r="A780">
        <f>SE(Doações!A281="";"";Doações!A281)</f>
        <v/>
      </c>
      <c r="B780">
        <f>SE(Doações!A281="";"";"Doação - "&amp;Doações!B281)</f>
        <v/>
      </c>
      <c r="C780">
        <f>SE(Doações!A281="";"";Doações!D281)</f>
        <v/>
      </c>
      <c r="D780">
        <f>SE(Doações!A281="";"";0)</f>
        <v/>
      </c>
    </row>
    <row r="781">
      <c r="A781">
        <f>SE(Doações!A282="";"";Doações!A282)</f>
        <v/>
      </c>
      <c r="B781">
        <f>SE(Doações!A282="";"";"Doação - "&amp;Doações!B282)</f>
        <v/>
      </c>
      <c r="C781">
        <f>SE(Doações!A282="";"";Doações!D282)</f>
        <v/>
      </c>
      <c r="D781">
        <f>SE(Doações!A282="";"";0)</f>
        <v/>
      </c>
    </row>
    <row r="782">
      <c r="A782">
        <f>SE(Doações!A283="";"";Doações!A283)</f>
        <v/>
      </c>
      <c r="B782">
        <f>SE(Doações!A283="";"";"Doação - "&amp;Doações!B283)</f>
        <v/>
      </c>
      <c r="C782">
        <f>SE(Doações!A283="";"";Doações!D283)</f>
        <v/>
      </c>
      <c r="D782">
        <f>SE(Doações!A283="";"";0)</f>
        <v/>
      </c>
    </row>
    <row r="783">
      <c r="A783">
        <f>SE(Doações!A284="";"";Doações!A284)</f>
        <v/>
      </c>
      <c r="B783">
        <f>SE(Doações!A284="";"";"Doação - "&amp;Doações!B284)</f>
        <v/>
      </c>
      <c r="C783">
        <f>SE(Doações!A284="";"";Doações!D284)</f>
        <v/>
      </c>
      <c r="D783">
        <f>SE(Doações!A284="";"";0)</f>
        <v/>
      </c>
    </row>
    <row r="784">
      <c r="A784">
        <f>SE(Doações!A285="";"";Doações!A285)</f>
        <v/>
      </c>
      <c r="B784">
        <f>SE(Doações!A285="";"";"Doação - "&amp;Doações!B285)</f>
        <v/>
      </c>
      <c r="C784">
        <f>SE(Doações!A285="";"";Doações!D285)</f>
        <v/>
      </c>
      <c r="D784">
        <f>SE(Doações!A285="";"";0)</f>
        <v/>
      </c>
    </row>
    <row r="785">
      <c r="A785">
        <f>SE(Doações!A286="";"";Doações!A286)</f>
        <v/>
      </c>
      <c r="B785">
        <f>SE(Doações!A286="";"";"Doação - "&amp;Doações!B286)</f>
        <v/>
      </c>
      <c r="C785">
        <f>SE(Doações!A286="";"";Doações!D286)</f>
        <v/>
      </c>
      <c r="D785">
        <f>SE(Doações!A286="";"";0)</f>
        <v/>
      </c>
    </row>
    <row r="786">
      <c r="A786">
        <f>SE(Doações!A287="";"";Doações!A287)</f>
        <v/>
      </c>
      <c r="B786">
        <f>SE(Doações!A287="";"";"Doação - "&amp;Doações!B287)</f>
        <v/>
      </c>
      <c r="C786">
        <f>SE(Doações!A287="";"";Doações!D287)</f>
        <v/>
      </c>
      <c r="D786">
        <f>SE(Doações!A287="";"";0)</f>
        <v/>
      </c>
    </row>
    <row r="787">
      <c r="A787">
        <f>SE(Doações!A288="";"";Doações!A288)</f>
        <v/>
      </c>
      <c r="B787">
        <f>SE(Doações!A288="";"";"Doação - "&amp;Doações!B288)</f>
        <v/>
      </c>
      <c r="C787">
        <f>SE(Doações!A288="";"";Doações!D288)</f>
        <v/>
      </c>
      <c r="D787">
        <f>SE(Doações!A288="";"";0)</f>
        <v/>
      </c>
    </row>
    <row r="788">
      <c r="A788">
        <f>SE(Doações!A289="";"";Doações!A289)</f>
        <v/>
      </c>
      <c r="B788">
        <f>SE(Doações!A289="";"";"Doação - "&amp;Doações!B289)</f>
        <v/>
      </c>
      <c r="C788">
        <f>SE(Doações!A289="";"";Doações!D289)</f>
        <v/>
      </c>
      <c r="D788">
        <f>SE(Doações!A289="";"";0)</f>
        <v/>
      </c>
    </row>
    <row r="789">
      <c r="A789">
        <f>SE(Doações!A290="";"";Doações!A290)</f>
        <v/>
      </c>
      <c r="B789">
        <f>SE(Doações!A290="";"";"Doação - "&amp;Doações!B290)</f>
        <v/>
      </c>
      <c r="C789">
        <f>SE(Doações!A290="";"";Doações!D290)</f>
        <v/>
      </c>
      <c r="D789">
        <f>SE(Doações!A290="";"";0)</f>
        <v/>
      </c>
    </row>
    <row r="790">
      <c r="A790">
        <f>SE(Doações!A291="";"";Doações!A291)</f>
        <v/>
      </c>
      <c r="B790">
        <f>SE(Doações!A291="";"";"Doação - "&amp;Doações!B291)</f>
        <v/>
      </c>
      <c r="C790">
        <f>SE(Doações!A291="";"";Doações!D291)</f>
        <v/>
      </c>
      <c r="D790">
        <f>SE(Doações!A291="";"";0)</f>
        <v/>
      </c>
    </row>
    <row r="791">
      <c r="A791">
        <f>SE(Doações!A292="";"";Doações!A292)</f>
        <v/>
      </c>
      <c r="B791">
        <f>SE(Doações!A292="";"";"Doação - "&amp;Doações!B292)</f>
        <v/>
      </c>
      <c r="C791">
        <f>SE(Doações!A292="";"";Doações!D292)</f>
        <v/>
      </c>
      <c r="D791">
        <f>SE(Doações!A292="";"";0)</f>
        <v/>
      </c>
    </row>
    <row r="792">
      <c r="A792">
        <f>SE(Doações!A293="";"";Doações!A293)</f>
        <v/>
      </c>
      <c r="B792">
        <f>SE(Doações!A293="";"";"Doação - "&amp;Doações!B293)</f>
        <v/>
      </c>
      <c r="C792">
        <f>SE(Doações!A293="";"";Doações!D293)</f>
        <v/>
      </c>
      <c r="D792">
        <f>SE(Doações!A293="";"";0)</f>
        <v/>
      </c>
    </row>
    <row r="793">
      <c r="A793">
        <f>SE(Doações!A294="";"";Doações!A294)</f>
        <v/>
      </c>
      <c r="B793">
        <f>SE(Doações!A294="";"";"Doação - "&amp;Doações!B294)</f>
        <v/>
      </c>
      <c r="C793">
        <f>SE(Doações!A294="";"";Doações!D294)</f>
        <v/>
      </c>
      <c r="D793">
        <f>SE(Doações!A294="";"";0)</f>
        <v/>
      </c>
    </row>
    <row r="794">
      <c r="A794">
        <f>SE(Doações!A295="";"";Doações!A295)</f>
        <v/>
      </c>
      <c r="B794">
        <f>SE(Doações!A295="";"";"Doação - "&amp;Doações!B295)</f>
        <v/>
      </c>
      <c r="C794">
        <f>SE(Doações!A295="";"";Doações!D295)</f>
        <v/>
      </c>
      <c r="D794">
        <f>SE(Doações!A295="";"";0)</f>
        <v/>
      </c>
    </row>
    <row r="795">
      <c r="A795">
        <f>SE(Doações!A296="";"";Doações!A296)</f>
        <v/>
      </c>
      <c r="B795">
        <f>SE(Doações!A296="";"";"Doação - "&amp;Doações!B296)</f>
        <v/>
      </c>
      <c r="C795">
        <f>SE(Doações!A296="";"";Doações!D296)</f>
        <v/>
      </c>
      <c r="D795">
        <f>SE(Doações!A296="";"";0)</f>
        <v/>
      </c>
    </row>
    <row r="796">
      <c r="A796">
        <f>SE(Doações!A297="";"";Doações!A297)</f>
        <v/>
      </c>
      <c r="B796">
        <f>SE(Doações!A297="";"";"Doação - "&amp;Doações!B297)</f>
        <v/>
      </c>
      <c r="C796">
        <f>SE(Doações!A297="";"";Doações!D297)</f>
        <v/>
      </c>
      <c r="D796">
        <f>SE(Doações!A297="";"";0)</f>
        <v/>
      </c>
    </row>
    <row r="797">
      <c r="A797">
        <f>SE(Doações!A298="";"";Doações!A298)</f>
        <v/>
      </c>
      <c r="B797">
        <f>SE(Doações!A298="";"";"Doação - "&amp;Doações!B298)</f>
        <v/>
      </c>
      <c r="C797">
        <f>SE(Doações!A298="";"";Doações!D298)</f>
        <v/>
      </c>
      <c r="D797">
        <f>SE(Doações!A298="";"";0)</f>
        <v/>
      </c>
    </row>
    <row r="798">
      <c r="A798">
        <f>SE(Doações!A299="";"";Doações!A299)</f>
        <v/>
      </c>
      <c r="B798">
        <f>SE(Doações!A299="";"";"Doação - "&amp;Doações!B299)</f>
        <v/>
      </c>
      <c r="C798">
        <f>SE(Doações!A299="";"";Doações!D299)</f>
        <v/>
      </c>
      <c r="D798">
        <f>SE(Doações!A299="";"";0)</f>
        <v/>
      </c>
    </row>
    <row r="799">
      <c r="A799">
        <f>SE(Doações!A300="";"";Doações!A300)</f>
        <v/>
      </c>
      <c r="B799">
        <f>SE(Doações!A300="";"";"Doação - "&amp;Doações!B300)</f>
        <v/>
      </c>
      <c r="C799">
        <f>SE(Doações!A300="";"";Doações!D300)</f>
        <v/>
      </c>
      <c r="D799">
        <f>SE(Doações!A300="";"";0)</f>
        <v/>
      </c>
    </row>
    <row r="800">
      <c r="A800">
        <f>SE(Doações!A301="";"";Doações!A301)</f>
        <v/>
      </c>
      <c r="B800">
        <f>SE(Doações!A301="";"";"Doação - "&amp;Doações!B301)</f>
        <v/>
      </c>
      <c r="C800">
        <f>SE(Doações!A301="";"";Doações!D301)</f>
        <v/>
      </c>
      <c r="D800">
        <f>SE(Doações!A301="";"";0)</f>
        <v/>
      </c>
    </row>
    <row r="801">
      <c r="A801">
        <f>SE(Doações!A302="";"";Doações!A302)</f>
        <v/>
      </c>
      <c r="B801">
        <f>SE(Doações!A302="";"";"Doação - "&amp;Doações!B302)</f>
        <v/>
      </c>
      <c r="C801">
        <f>SE(Doações!A302="";"";Doações!D302)</f>
        <v/>
      </c>
      <c r="D801">
        <f>SE(Doações!A302="";"";0)</f>
        <v/>
      </c>
    </row>
    <row r="802">
      <c r="A802">
        <f>SE(Doações!A303="";"";Doações!A303)</f>
        <v/>
      </c>
      <c r="B802">
        <f>SE(Doações!A303="";"";"Doação - "&amp;Doações!B303)</f>
        <v/>
      </c>
      <c r="C802">
        <f>SE(Doações!A303="";"";Doações!D303)</f>
        <v/>
      </c>
      <c r="D802">
        <f>SE(Doações!A303="";"";0)</f>
        <v/>
      </c>
    </row>
    <row r="803">
      <c r="A803">
        <f>SE(Doações!A304="";"";Doações!A304)</f>
        <v/>
      </c>
      <c r="B803">
        <f>SE(Doações!A304="";"";"Doação - "&amp;Doações!B304)</f>
        <v/>
      </c>
      <c r="C803">
        <f>SE(Doações!A304="";"";Doações!D304)</f>
        <v/>
      </c>
      <c r="D803">
        <f>SE(Doações!A304="";"";0)</f>
        <v/>
      </c>
    </row>
    <row r="804">
      <c r="A804">
        <f>SE(Doações!A305="";"";Doações!A305)</f>
        <v/>
      </c>
      <c r="B804">
        <f>SE(Doações!A305="";"";"Doação - "&amp;Doações!B305)</f>
        <v/>
      </c>
      <c r="C804">
        <f>SE(Doações!A305="";"";Doações!D305)</f>
        <v/>
      </c>
      <c r="D804">
        <f>SE(Doações!A305="";"";0)</f>
        <v/>
      </c>
    </row>
    <row r="805">
      <c r="A805">
        <f>SE(Doações!A306="";"";Doações!A306)</f>
        <v/>
      </c>
      <c r="B805">
        <f>SE(Doações!A306="";"";"Doação - "&amp;Doações!B306)</f>
        <v/>
      </c>
      <c r="C805">
        <f>SE(Doações!A306="";"";Doações!D306)</f>
        <v/>
      </c>
      <c r="D805">
        <f>SE(Doações!A306="";"";0)</f>
        <v/>
      </c>
    </row>
    <row r="806">
      <c r="A806">
        <f>SE(Doações!A307="";"";Doações!A307)</f>
        <v/>
      </c>
      <c r="B806">
        <f>SE(Doações!A307="";"";"Doação - "&amp;Doações!B307)</f>
        <v/>
      </c>
      <c r="C806">
        <f>SE(Doações!A307="";"";Doações!D307)</f>
        <v/>
      </c>
      <c r="D806">
        <f>SE(Doações!A307="";"";0)</f>
        <v/>
      </c>
    </row>
    <row r="807">
      <c r="A807">
        <f>SE(Doações!A308="";"";Doações!A308)</f>
        <v/>
      </c>
      <c r="B807">
        <f>SE(Doações!A308="";"";"Doação - "&amp;Doações!B308)</f>
        <v/>
      </c>
      <c r="C807">
        <f>SE(Doações!A308="";"";Doações!D308)</f>
        <v/>
      </c>
      <c r="D807">
        <f>SE(Doações!A308="";"";0)</f>
        <v/>
      </c>
    </row>
    <row r="808">
      <c r="A808">
        <f>SE(Doações!A309="";"";Doações!A309)</f>
        <v/>
      </c>
      <c r="B808">
        <f>SE(Doações!A309="";"";"Doação - "&amp;Doações!B309)</f>
        <v/>
      </c>
      <c r="C808">
        <f>SE(Doações!A309="";"";Doações!D309)</f>
        <v/>
      </c>
      <c r="D808">
        <f>SE(Doações!A309="";"";0)</f>
        <v/>
      </c>
    </row>
    <row r="809">
      <c r="A809">
        <f>SE(Doações!A310="";"";Doações!A310)</f>
        <v/>
      </c>
      <c r="B809">
        <f>SE(Doações!A310="";"";"Doação - "&amp;Doações!B310)</f>
        <v/>
      </c>
      <c r="C809">
        <f>SE(Doações!A310="";"";Doações!D310)</f>
        <v/>
      </c>
      <c r="D809">
        <f>SE(Doações!A310="";"";0)</f>
        <v/>
      </c>
    </row>
    <row r="810">
      <c r="A810">
        <f>SE(Doações!A311="";"";Doações!A311)</f>
        <v/>
      </c>
      <c r="B810">
        <f>SE(Doações!A311="";"";"Doação - "&amp;Doações!B311)</f>
        <v/>
      </c>
      <c r="C810">
        <f>SE(Doações!A311="";"";Doações!D311)</f>
        <v/>
      </c>
      <c r="D810">
        <f>SE(Doações!A311="";"";0)</f>
        <v/>
      </c>
    </row>
    <row r="811">
      <c r="A811">
        <f>SE(Doações!A312="";"";Doações!A312)</f>
        <v/>
      </c>
      <c r="B811">
        <f>SE(Doações!A312="";"";"Doação - "&amp;Doações!B312)</f>
        <v/>
      </c>
      <c r="C811">
        <f>SE(Doações!A312="";"";Doações!D312)</f>
        <v/>
      </c>
      <c r="D811">
        <f>SE(Doações!A312="";"";0)</f>
        <v/>
      </c>
    </row>
    <row r="812">
      <c r="A812">
        <f>SE(Doações!A313="";"";Doações!A313)</f>
        <v/>
      </c>
      <c r="B812">
        <f>SE(Doações!A313="";"";"Doação - "&amp;Doações!B313)</f>
        <v/>
      </c>
      <c r="C812">
        <f>SE(Doações!A313="";"";Doações!D313)</f>
        <v/>
      </c>
      <c r="D812">
        <f>SE(Doações!A313="";"";0)</f>
        <v/>
      </c>
    </row>
    <row r="813">
      <c r="A813">
        <f>SE(Doações!A314="";"";Doações!A314)</f>
        <v/>
      </c>
      <c r="B813">
        <f>SE(Doações!A314="";"";"Doação - "&amp;Doações!B314)</f>
        <v/>
      </c>
      <c r="C813">
        <f>SE(Doações!A314="";"";Doações!D314)</f>
        <v/>
      </c>
      <c r="D813">
        <f>SE(Doações!A314="";"";0)</f>
        <v/>
      </c>
    </row>
    <row r="814">
      <c r="A814">
        <f>SE(Doações!A315="";"";Doações!A315)</f>
        <v/>
      </c>
      <c r="B814">
        <f>SE(Doações!A315="";"";"Doação - "&amp;Doações!B315)</f>
        <v/>
      </c>
      <c r="C814">
        <f>SE(Doações!A315="";"";Doações!D315)</f>
        <v/>
      </c>
      <c r="D814">
        <f>SE(Doações!A315="";"";0)</f>
        <v/>
      </c>
    </row>
    <row r="815">
      <c r="A815">
        <f>SE(Doações!A316="";"";Doações!A316)</f>
        <v/>
      </c>
      <c r="B815">
        <f>SE(Doações!A316="";"";"Doação - "&amp;Doações!B316)</f>
        <v/>
      </c>
      <c r="C815">
        <f>SE(Doações!A316="";"";Doações!D316)</f>
        <v/>
      </c>
      <c r="D815">
        <f>SE(Doações!A316="";"";0)</f>
        <v/>
      </c>
    </row>
    <row r="816">
      <c r="A816">
        <f>SE(Doações!A317="";"";Doações!A317)</f>
        <v/>
      </c>
      <c r="B816">
        <f>SE(Doações!A317="";"";"Doação - "&amp;Doações!B317)</f>
        <v/>
      </c>
      <c r="C816">
        <f>SE(Doações!A317="";"";Doações!D317)</f>
        <v/>
      </c>
      <c r="D816">
        <f>SE(Doações!A317="";"";0)</f>
        <v/>
      </c>
    </row>
    <row r="817">
      <c r="A817">
        <f>SE(Doações!A318="";"";Doações!A318)</f>
        <v/>
      </c>
      <c r="B817">
        <f>SE(Doações!A318="";"";"Doação - "&amp;Doações!B318)</f>
        <v/>
      </c>
      <c r="C817">
        <f>SE(Doações!A318="";"";Doações!D318)</f>
        <v/>
      </c>
      <c r="D817">
        <f>SE(Doações!A318="";"";0)</f>
        <v/>
      </c>
    </row>
    <row r="818">
      <c r="A818">
        <f>SE(Doações!A319="";"";Doações!A319)</f>
        <v/>
      </c>
      <c r="B818">
        <f>SE(Doações!A319="";"";"Doação - "&amp;Doações!B319)</f>
        <v/>
      </c>
      <c r="C818">
        <f>SE(Doações!A319="";"";Doações!D319)</f>
        <v/>
      </c>
      <c r="D818">
        <f>SE(Doações!A319="";"";0)</f>
        <v/>
      </c>
    </row>
    <row r="819">
      <c r="A819">
        <f>SE(Doações!A320="";"";Doações!A320)</f>
        <v/>
      </c>
      <c r="B819">
        <f>SE(Doações!A320="";"";"Doação - "&amp;Doações!B320)</f>
        <v/>
      </c>
      <c r="C819">
        <f>SE(Doações!A320="";"";Doações!D320)</f>
        <v/>
      </c>
      <c r="D819">
        <f>SE(Doações!A320="";"";0)</f>
        <v/>
      </c>
    </row>
    <row r="820">
      <c r="A820">
        <f>SE(Doações!A321="";"";Doações!A321)</f>
        <v/>
      </c>
      <c r="B820">
        <f>SE(Doações!A321="";"";"Doação - "&amp;Doações!B321)</f>
        <v/>
      </c>
      <c r="C820">
        <f>SE(Doações!A321="";"";Doações!D321)</f>
        <v/>
      </c>
      <c r="D820">
        <f>SE(Doações!A321="";"";0)</f>
        <v/>
      </c>
    </row>
    <row r="821">
      <c r="A821">
        <f>SE(Doações!A322="";"";Doações!A322)</f>
        <v/>
      </c>
      <c r="B821">
        <f>SE(Doações!A322="";"";"Doação - "&amp;Doações!B322)</f>
        <v/>
      </c>
      <c r="C821">
        <f>SE(Doações!A322="";"";Doações!D322)</f>
        <v/>
      </c>
      <c r="D821">
        <f>SE(Doações!A322="";"";0)</f>
        <v/>
      </c>
    </row>
    <row r="822">
      <c r="A822">
        <f>SE(Doações!A323="";"";Doações!A323)</f>
        <v/>
      </c>
      <c r="B822">
        <f>SE(Doações!A323="";"";"Doação - "&amp;Doações!B323)</f>
        <v/>
      </c>
      <c r="C822">
        <f>SE(Doações!A323="";"";Doações!D323)</f>
        <v/>
      </c>
      <c r="D822">
        <f>SE(Doações!A323="";"";0)</f>
        <v/>
      </c>
    </row>
    <row r="823">
      <c r="A823">
        <f>SE(Doações!A324="";"";Doações!A324)</f>
        <v/>
      </c>
      <c r="B823">
        <f>SE(Doações!A324="";"";"Doação - "&amp;Doações!B324)</f>
        <v/>
      </c>
      <c r="C823">
        <f>SE(Doações!A324="";"";Doações!D324)</f>
        <v/>
      </c>
      <c r="D823">
        <f>SE(Doações!A324="";"";0)</f>
        <v/>
      </c>
    </row>
    <row r="824">
      <c r="A824">
        <f>SE(Doações!A325="";"";Doações!A325)</f>
        <v/>
      </c>
      <c r="B824">
        <f>SE(Doações!A325="";"";"Doação - "&amp;Doações!B325)</f>
        <v/>
      </c>
      <c r="C824">
        <f>SE(Doações!A325="";"";Doações!D325)</f>
        <v/>
      </c>
      <c r="D824">
        <f>SE(Doações!A325="";"";0)</f>
        <v/>
      </c>
    </row>
    <row r="825">
      <c r="A825">
        <f>SE(Doações!A326="";"";Doações!A326)</f>
        <v/>
      </c>
      <c r="B825">
        <f>SE(Doações!A326="";"";"Doação - "&amp;Doações!B326)</f>
        <v/>
      </c>
      <c r="C825">
        <f>SE(Doações!A326="";"";Doações!D326)</f>
        <v/>
      </c>
      <c r="D825">
        <f>SE(Doações!A326="";"";0)</f>
        <v/>
      </c>
    </row>
    <row r="826">
      <c r="A826">
        <f>SE(Doações!A327="";"";Doações!A327)</f>
        <v/>
      </c>
      <c r="B826">
        <f>SE(Doações!A327="";"";"Doação - "&amp;Doações!B327)</f>
        <v/>
      </c>
      <c r="C826">
        <f>SE(Doações!A327="";"";Doações!D327)</f>
        <v/>
      </c>
      <c r="D826">
        <f>SE(Doações!A327="";"";0)</f>
        <v/>
      </c>
    </row>
    <row r="827">
      <c r="A827">
        <f>SE(Doações!A328="";"";Doações!A328)</f>
        <v/>
      </c>
      <c r="B827">
        <f>SE(Doações!A328="";"";"Doação - "&amp;Doações!B328)</f>
        <v/>
      </c>
      <c r="C827">
        <f>SE(Doações!A328="";"";Doações!D328)</f>
        <v/>
      </c>
      <c r="D827">
        <f>SE(Doações!A328="";"";0)</f>
        <v/>
      </c>
    </row>
    <row r="828">
      <c r="A828">
        <f>SE(Doações!A329="";"";Doações!A329)</f>
        <v/>
      </c>
      <c r="B828">
        <f>SE(Doações!A329="";"";"Doação - "&amp;Doações!B329)</f>
        <v/>
      </c>
      <c r="C828">
        <f>SE(Doações!A329="";"";Doações!D329)</f>
        <v/>
      </c>
      <c r="D828">
        <f>SE(Doações!A329="";"";0)</f>
        <v/>
      </c>
    </row>
    <row r="829">
      <c r="A829">
        <f>SE(Doações!A330="";"";Doações!A330)</f>
        <v/>
      </c>
      <c r="B829">
        <f>SE(Doações!A330="";"";"Doação - "&amp;Doações!B330)</f>
        <v/>
      </c>
      <c r="C829">
        <f>SE(Doações!A330="";"";Doações!D330)</f>
        <v/>
      </c>
      <c r="D829">
        <f>SE(Doações!A330="";"";0)</f>
        <v/>
      </c>
    </row>
    <row r="830">
      <c r="A830">
        <f>SE(Doações!A331="";"";Doações!A331)</f>
        <v/>
      </c>
      <c r="B830">
        <f>SE(Doações!A331="";"";"Doação - "&amp;Doações!B331)</f>
        <v/>
      </c>
      <c r="C830">
        <f>SE(Doações!A331="";"";Doações!D331)</f>
        <v/>
      </c>
      <c r="D830">
        <f>SE(Doações!A331="";"";0)</f>
        <v/>
      </c>
    </row>
    <row r="831">
      <c r="A831">
        <f>SE(Doações!A332="";"";Doações!A332)</f>
        <v/>
      </c>
      <c r="B831">
        <f>SE(Doações!A332="";"";"Doação - "&amp;Doações!B332)</f>
        <v/>
      </c>
      <c r="C831">
        <f>SE(Doações!A332="";"";Doações!D332)</f>
        <v/>
      </c>
      <c r="D831">
        <f>SE(Doações!A332="";"";0)</f>
        <v/>
      </c>
    </row>
    <row r="832">
      <c r="A832">
        <f>SE(Doações!A333="";"";Doações!A333)</f>
        <v/>
      </c>
      <c r="B832">
        <f>SE(Doações!A333="";"";"Doação - "&amp;Doações!B333)</f>
        <v/>
      </c>
      <c r="C832">
        <f>SE(Doações!A333="";"";Doações!D333)</f>
        <v/>
      </c>
      <c r="D832">
        <f>SE(Doações!A333="";"";0)</f>
        <v/>
      </c>
    </row>
    <row r="833">
      <c r="A833">
        <f>SE(Doações!A334="";"";Doações!A334)</f>
        <v/>
      </c>
      <c r="B833">
        <f>SE(Doações!A334="";"";"Doação - "&amp;Doações!B334)</f>
        <v/>
      </c>
      <c r="C833">
        <f>SE(Doações!A334="";"";Doações!D334)</f>
        <v/>
      </c>
      <c r="D833">
        <f>SE(Doações!A334="";"";0)</f>
        <v/>
      </c>
    </row>
    <row r="834">
      <c r="A834">
        <f>SE(Doações!A335="";"";Doações!A335)</f>
        <v/>
      </c>
      <c r="B834">
        <f>SE(Doações!A335="";"";"Doação - "&amp;Doações!B335)</f>
        <v/>
      </c>
      <c r="C834">
        <f>SE(Doações!A335="";"";Doações!D335)</f>
        <v/>
      </c>
      <c r="D834">
        <f>SE(Doações!A335="";"";0)</f>
        <v/>
      </c>
    </row>
    <row r="835">
      <c r="A835">
        <f>SE(Doações!A336="";"";Doações!A336)</f>
        <v/>
      </c>
      <c r="B835">
        <f>SE(Doações!A336="";"";"Doação - "&amp;Doações!B336)</f>
        <v/>
      </c>
      <c r="C835">
        <f>SE(Doações!A336="";"";Doações!D336)</f>
        <v/>
      </c>
      <c r="D835">
        <f>SE(Doações!A336="";"";0)</f>
        <v/>
      </c>
    </row>
    <row r="836">
      <c r="A836">
        <f>SE(Doações!A337="";"";Doações!A337)</f>
        <v/>
      </c>
      <c r="B836">
        <f>SE(Doações!A337="";"";"Doação - "&amp;Doações!B337)</f>
        <v/>
      </c>
      <c r="C836">
        <f>SE(Doações!A337="";"";Doações!D337)</f>
        <v/>
      </c>
      <c r="D836">
        <f>SE(Doações!A337="";"";0)</f>
        <v/>
      </c>
    </row>
    <row r="837">
      <c r="A837">
        <f>SE(Doações!A338="";"";Doações!A338)</f>
        <v/>
      </c>
      <c r="B837">
        <f>SE(Doações!A338="";"";"Doação - "&amp;Doações!B338)</f>
        <v/>
      </c>
      <c r="C837">
        <f>SE(Doações!A338="";"";Doações!D338)</f>
        <v/>
      </c>
      <c r="D837">
        <f>SE(Doações!A338="";"";0)</f>
        <v/>
      </c>
    </row>
    <row r="838">
      <c r="A838">
        <f>SE(Doações!A339="";"";Doações!A339)</f>
        <v/>
      </c>
      <c r="B838">
        <f>SE(Doações!A339="";"";"Doação - "&amp;Doações!B339)</f>
        <v/>
      </c>
      <c r="C838">
        <f>SE(Doações!A339="";"";Doações!D339)</f>
        <v/>
      </c>
      <c r="D838">
        <f>SE(Doações!A339="";"";0)</f>
        <v/>
      </c>
    </row>
    <row r="839">
      <c r="A839">
        <f>SE(Doações!A340="";"";Doações!A340)</f>
        <v/>
      </c>
      <c r="B839">
        <f>SE(Doações!A340="";"";"Doação - "&amp;Doações!B340)</f>
        <v/>
      </c>
      <c r="C839">
        <f>SE(Doações!A340="";"";Doações!D340)</f>
        <v/>
      </c>
      <c r="D839">
        <f>SE(Doações!A340="";"";0)</f>
        <v/>
      </c>
    </row>
    <row r="840">
      <c r="A840">
        <f>SE(Doações!A341="";"";Doações!A341)</f>
        <v/>
      </c>
      <c r="B840">
        <f>SE(Doações!A341="";"";"Doação - "&amp;Doações!B341)</f>
        <v/>
      </c>
      <c r="C840">
        <f>SE(Doações!A341="";"";Doações!D341)</f>
        <v/>
      </c>
      <c r="D840">
        <f>SE(Doações!A341="";"";0)</f>
        <v/>
      </c>
    </row>
    <row r="841">
      <c r="A841">
        <f>SE(Doações!A342="";"";Doações!A342)</f>
        <v/>
      </c>
      <c r="B841">
        <f>SE(Doações!A342="";"";"Doação - "&amp;Doações!B342)</f>
        <v/>
      </c>
      <c r="C841">
        <f>SE(Doações!A342="";"";Doações!D342)</f>
        <v/>
      </c>
      <c r="D841">
        <f>SE(Doações!A342="";"";0)</f>
        <v/>
      </c>
    </row>
    <row r="842">
      <c r="A842">
        <f>SE(Doações!A343="";"";Doações!A343)</f>
        <v/>
      </c>
      <c r="B842">
        <f>SE(Doações!A343="";"";"Doação - "&amp;Doações!B343)</f>
        <v/>
      </c>
      <c r="C842">
        <f>SE(Doações!A343="";"";Doações!D343)</f>
        <v/>
      </c>
      <c r="D842">
        <f>SE(Doações!A343="";"";0)</f>
        <v/>
      </c>
    </row>
    <row r="843">
      <c r="A843">
        <f>SE(Doações!A344="";"";Doações!A344)</f>
        <v/>
      </c>
      <c r="B843">
        <f>SE(Doações!A344="";"";"Doação - "&amp;Doações!B344)</f>
        <v/>
      </c>
      <c r="C843">
        <f>SE(Doações!A344="";"";Doações!D344)</f>
        <v/>
      </c>
      <c r="D843">
        <f>SE(Doações!A344="";"";0)</f>
        <v/>
      </c>
    </row>
    <row r="844">
      <c r="A844">
        <f>SE(Doações!A345="";"";Doações!A345)</f>
        <v/>
      </c>
      <c r="B844">
        <f>SE(Doações!A345="";"";"Doação - "&amp;Doações!B345)</f>
        <v/>
      </c>
      <c r="C844">
        <f>SE(Doações!A345="";"";Doações!D345)</f>
        <v/>
      </c>
      <c r="D844">
        <f>SE(Doações!A345="";"";0)</f>
        <v/>
      </c>
    </row>
    <row r="845">
      <c r="A845">
        <f>SE(Doações!A346="";"";Doações!A346)</f>
        <v/>
      </c>
      <c r="B845">
        <f>SE(Doações!A346="";"";"Doação - "&amp;Doações!B346)</f>
        <v/>
      </c>
      <c r="C845">
        <f>SE(Doações!A346="";"";Doações!D346)</f>
        <v/>
      </c>
      <c r="D845">
        <f>SE(Doações!A346="";"";0)</f>
        <v/>
      </c>
    </row>
    <row r="846">
      <c r="A846">
        <f>SE(Doações!A347="";"";Doações!A347)</f>
        <v/>
      </c>
      <c r="B846">
        <f>SE(Doações!A347="";"";"Doação - "&amp;Doações!B347)</f>
        <v/>
      </c>
      <c r="C846">
        <f>SE(Doações!A347="";"";Doações!D347)</f>
        <v/>
      </c>
      <c r="D846">
        <f>SE(Doações!A347="";"";0)</f>
        <v/>
      </c>
    </row>
    <row r="847">
      <c r="A847">
        <f>SE(Doações!A348="";"";Doações!A348)</f>
        <v/>
      </c>
      <c r="B847">
        <f>SE(Doações!A348="";"";"Doação - "&amp;Doações!B348)</f>
        <v/>
      </c>
      <c r="C847">
        <f>SE(Doações!A348="";"";Doações!D348)</f>
        <v/>
      </c>
      <c r="D847">
        <f>SE(Doações!A348="";"";0)</f>
        <v/>
      </c>
    </row>
    <row r="848">
      <c r="A848">
        <f>SE(Doações!A349="";"";Doações!A349)</f>
        <v/>
      </c>
      <c r="B848">
        <f>SE(Doações!A349="";"";"Doação - "&amp;Doações!B349)</f>
        <v/>
      </c>
      <c r="C848">
        <f>SE(Doações!A349="";"";Doações!D349)</f>
        <v/>
      </c>
      <c r="D848">
        <f>SE(Doações!A349="";"";0)</f>
        <v/>
      </c>
    </row>
    <row r="849">
      <c r="A849">
        <f>SE(Doações!A350="";"";Doações!A350)</f>
        <v/>
      </c>
      <c r="B849">
        <f>SE(Doações!A350="";"";"Doação - "&amp;Doações!B350)</f>
        <v/>
      </c>
      <c r="C849">
        <f>SE(Doações!A350="";"";Doações!D350)</f>
        <v/>
      </c>
      <c r="D849">
        <f>SE(Doações!A350="";"";0)</f>
        <v/>
      </c>
    </row>
    <row r="850">
      <c r="A850">
        <f>SE(Doações!A351="";"";Doações!A351)</f>
        <v/>
      </c>
      <c r="B850">
        <f>SE(Doações!A351="";"";"Doação - "&amp;Doações!B351)</f>
        <v/>
      </c>
      <c r="C850">
        <f>SE(Doações!A351="";"";Doações!D351)</f>
        <v/>
      </c>
      <c r="D850">
        <f>SE(Doações!A351="";"";0)</f>
        <v/>
      </c>
    </row>
    <row r="851">
      <c r="A851">
        <f>SE(Doações!A352="";"";Doações!A352)</f>
        <v/>
      </c>
      <c r="B851">
        <f>SE(Doações!A352="";"";"Doação - "&amp;Doações!B352)</f>
        <v/>
      </c>
      <c r="C851">
        <f>SE(Doações!A352="";"";Doações!D352)</f>
        <v/>
      </c>
      <c r="D851">
        <f>SE(Doações!A352="";"";0)</f>
        <v/>
      </c>
    </row>
    <row r="852">
      <c r="A852">
        <f>SE(Doações!A353="";"";Doações!A353)</f>
        <v/>
      </c>
      <c r="B852">
        <f>SE(Doações!A353="";"";"Doação - "&amp;Doações!B353)</f>
        <v/>
      </c>
      <c r="C852">
        <f>SE(Doações!A353="";"";Doações!D353)</f>
        <v/>
      </c>
      <c r="D852">
        <f>SE(Doações!A353="";"";0)</f>
        <v/>
      </c>
    </row>
    <row r="853">
      <c r="A853">
        <f>SE(Doações!A354="";"";Doações!A354)</f>
        <v/>
      </c>
      <c r="B853">
        <f>SE(Doações!A354="";"";"Doação - "&amp;Doações!B354)</f>
        <v/>
      </c>
      <c r="C853">
        <f>SE(Doações!A354="";"";Doações!D354)</f>
        <v/>
      </c>
      <c r="D853">
        <f>SE(Doações!A354="";"";0)</f>
        <v/>
      </c>
    </row>
    <row r="854">
      <c r="A854">
        <f>SE(Doações!A355="";"";Doações!A355)</f>
        <v/>
      </c>
      <c r="B854">
        <f>SE(Doações!A355="";"";"Doação - "&amp;Doações!B355)</f>
        <v/>
      </c>
      <c r="C854">
        <f>SE(Doações!A355="";"";Doações!D355)</f>
        <v/>
      </c>
      <c r="D854">
        <f>SE(Doações!A355="";"";0)</f>
        <v/>
      </c>
    </row>
    <row r="855">
      <c r="A855">
        <f>SE(Doações!A356="";"";Doações!A356)</f>
        <v/>
      </c>
      <c r="B855">
        <f>SE(Doações!A356="";"";"Doação - "&amp;Doações!B356)</f>
        <v/>
      </c>
      <c r="C855">
        <f>SE(Doações!A356="";"";Doações!D356)</f>
        <v/>
      </c>
      <c r="D855">
        <f>SE(Doações!A356="";"";0)</f>
        <v/>
      </c>
    </row>
    <row r="856">
      <c r="A856">
        <f>SE(Doações!A357="";"";Doações!A357)</f>
        <v/>
      </c>
      <c r="B856">
        <f>SE(Doações!A357="";"";"Doação - "&amp;Doações!B357)</f>
        <v/>
      </c>
      <c r="C856">
        <f>SE(Doações!A357="";"";Doações!D357)</f>
        <v/>
      </c>
      <c r="D856">
        <f>SE(Doações!A357="";"";0)</f>
        <v/>
      </c>
    </row>
    <row r="857">
      <c r="A857">
        <f>SE(Doações!A358="";"";Doações!A358)</f>
        <v/>
      </c>
      <c r="B857">
        <f>SE(Doações!A358="";"";"Doação - "&amp;Doações!B358)</f>
        <v/>
      </c>
      <c r="C857">
        <f>SE(Doações!A358="";"";Doações!D358)</f>
        <v/>
      </c>
      <c r="D857">
        <f>SE(Doações!A358="";"";0)</f>
        <v/>
      </c>
    </row>
    <row r="858">
      <c r="A858">
        <f>SE(Doações!A359="";"";Doações!A359)</f>
        <v/>
      </c>
      <c r="B858">
        <f>SE(Doações!A359="";"";"Doação - "&amp;Doações!B359)</f>
        <v/>
      </c>
      <c r="C858">
        <f>SE(Doações!A359="";"";Doações!D359)</f>
        <v/>
      </c>
      <c r="D858">
        <f>SE(Doações!A359="";"";0)</f>
        <v/>
      </c>
    </row>
    <row r="859">
      <c r="A859">
        <f>SE(Doações!A360="";"";Doações!A360)</f>
        <v/>
      </c>
      <c r="B859">
        <f>SE(Doações!A360="";"";"Doação - "&amp;Doações!B360)</f>
        <v/>
      </c>
      <c r="C859">
        <f>SE(Doações!A360="";"";Doações!D360)</f>
        <v/>
      </c>
      <c r="D859">
        <f>SE(Doações!A360="";"";0)</f>
        <v/>
      </c>
    </row>
    <row r="860">
      <c r="A860">
        <f>SE(Doações!A361="";"";Doações!A361)</f>
        <v/>
      </c>
      <c r="B860">
        <f>SE(Doações!A361="";"";"Doação - "&amp;Doações!B361)</f>
        <v/>
      </c>
      <c r="C860">
        <f>SE(Doações!A361="";"";Doações!D361)</f>
        <v/>
      </c>
      <c r="D860">
        <f>SE(Doações!A361="";"";0)</f>
        <v/>
      </c>
    </row>
    <row r="861">
      <c r="A861">
        <f>SE(Doações!A362="";"";Doações!A362)</f>
        <v/>
      </c>
      <c r="B861">
        <f>SE(Doações!A362="";"";"Doação - "&amp;Doações!B362)</f>
        <v/>
      </c>
      <c r="C861">
        <f>SE(Doações!A362="";"";Doações!D362)</f>
        <v/>
      </c>
      <c r="D861">
        <f>SE(Doações!A362="";"";0)</f>
        <v/>
      </c>
    </row>
    <row r="862">
      <c r="A862">
        <f>SE(Doações!A363="";"";Doações!A363)</f>
        <v/>
      </c>
      <c r="B862">
        <f>SE(Doações!A363="";"";"Doação - "&amp;Doações!B363)</f>
        <v/>
      </c>
      <c r="C862">
        <f>SE(Doações!A363="";"";Doações!D363)</f>
        <v/>
      </c>
      <c r="D862">
        <f>SE(Doações!A363="";"";0)</f>
        <v/>
      </c>
    </row>
    <row r="863">
      <c r="A863">
        <f>SE(Doações!A364="";"";Doações!A364)</f>
        <v/>
      </c>
      <c r="B863">
        <f>SE(Doações!A364="";"";"Doação - "&amp;Doações!B364)</f>
        <v/>
      </c>
      <c r="C863">
        <f>SE(Doações!A364="";"";Doações!D364)</f>
        <v/>
      </c>
      <c r="D863">
        <f>SE(Doações!A364="";"";0)</f>
        <v/>
      </c>
    </row>
    <row r="864">
      <c r="A864">
        <f>SE(Doações!A365="";"";Doações!A365)</f>
        <v/>
      </c>
      <c r="B864">
        <f>SE(Doações!A365="";"";"Doação - "&amp;Doações!B365)</f>
        <v/>
      </c>
      <c r="C864">
        <f>SE(Doações!A365="";"";Doações!D365)</f>
        <v/>
      </c>
      <c r="D864">
        <f>SE(Doações!A365="";"";0)</f>
        <v/>
      </c>
    </row>
    <row r="865">
      <c r="A865">
        <f>SE(Doações!A366="";"";Doações!A366)</f>
        <v/>
      </c>
      <c r="B865">
        <f>SE(Doações!A366="";"";"Doação - "&amp;Doações!B366)</f>
        <v/>
      </c>
      <c r="C865">
        <f>SE(Doações!A366="";"";Doações!D366)</f>
        <v/>
      </c>
      <c r="D865">
        <f>SE(Doações!A366="";"";0)</f>
        <v/>
      </c>
    </row>
    <row r="866">
      <c r="A866">
        <f>SE(Doações!A367="";"";Doações!A367)</f>
        <v/>
      </c>
      <c r="B866">
        <f>SE(Doações!A367="";"";"Doação - "&amp;Doações!B367)</f>
        <v/>
      </c>
      <c r="C866">
        <f>SE(Doações!A367="";"";Doações!D367)</f>
        <v/>
      </c>
      <c r="D866">
        <f>SE(Doações!A367="";"";0)</f>
        <v/>
      </c>
    </row>
    <row r="867">
      <c r="A867">
        <f>SE(Doações!A368="";"";Doações!A368)</f>
        <v/>
      </c>
      <c r="B867">
        <f>SE(Doações!A368="";"";"Doação - "&amp;Doações!B368)</f>
        <v/>
      </c>
      <c r="C867">
        <f>SE(Doações!A368="";"";Doações!D368)</f>
        <v/>
      </c>
      <c r="D867">
        <f>SE(Doações!A368="";"";0)</f>
        <v/>
      </c>
    </row>
    <row r="868">
      <c r="A868">
        <f>SE(Doações!A369="";"";Doações!A369)</f>
        <v/>
      </c>
      <c r="B868">
        <f>SE(Doações!A369="";"";"Doação - "&amp;Doações!B369)</f>
        <v/>
      </c>
      <c r="C868">
        <f>SE(Doações!A369="";"";Doações!D369)</f>
        <v/>
      </c>
      <c r="D868">
        <f>SE(Doações!A369="";"";0)</f>
        <v/>
      </c>
    </row>
    <row r="869">
      <c r="A869">
        <f>SE(Doações!A370="";"";Doações!A370)</f>
        <v/>
      </c>
      <c r="B869">
        <f>SE(Doações!A370="";"";"Doação - "&amp;Doações!B370)</f>
        <v/>
      </c>
      <c r="C869">
        <f>SE(Doações!A370="";"";Doações!D370)</f>
        <v/>
      </c>
      <c r="D869">
        <f>SE(Doações!A370="";"";0)</f>
        <v/>
      </c>
    </row>
    <row r="870">
      <c r="A870">
        <f>SE(Doações!A371="";"";Doações!A371)</f>
        <v/>
      </c>
      <c r="B870">
        <f>SE(Doações!A371="";"";"Doação - "&amp;Doações!B371)</f>
        <v/>
      </c>
      <c r="C870">
        <f>SE(Doações!A371="";"";Doações!D371)</f>
        <v/>
      </c>
      <c r="D870">
        <f>SE(Doações!A371="";"";0)</f>
        <v/>
      </c>
    </row>
    <row r="871">
      <c r="A871">
        <f>SE(Doações!A372="";"";Doações!A372)</f>
        <v/>
      </c>
      <c r="B871">
        <f>SE(Doações!A372="";"";"Doação - "&amp;Doações!B372)</f>
        <v/>
      </c>
      <c r="C871">
        <f>SE(Doações!A372="";"";Doações!D372)</f>
        <v/>
      </c>
      <c r="D871">
        <f>SE(Doações!A372="";"";0)</f>
        <v/>
      </c>
    </row>
    <row r="872">
      <c r="A872">
        <f>SE(Doações!A373="";"";Doações!A373)</f>
        <v/>
      </c>
      <c r="B872">
        <f>SE(Doações!A373="";"";"Doação - "&amp;Doações!B373)</f>
        <v/>
      </c>
      <c r="C872">
        <f>SE(Doações!A373="";"";Doações!D373)</f>
        <v/>
      </c>
      <c r="D872">
        <f>SE(Doações!A373="";"";0)</f>
        <v/>
      </c>
    </row>
    <row r="873">
      <c r="A873">
        <f>SE(Doações!A374="";"";Doações!A374)</f>
        <v/>
      </c>
      <c r="B873">
        <f>SE(Doações!A374="";"";"Doação - "&amp;Doações!B374)</f>
        <v/>
      </c>
      <c r="C873">
        <f>SE(Doações!A374="";"";Doações!D374)</f>
        <v/>
      </c>
      <c r="D873">
        <f>SE(Doações!A374="";"";0)</f>
        <v/>
      </c>
    </row>
    <row r="874">
      <c r="A874">
        <f>SE(Doações!A375="";"";Doações!A375)</f>
        <v/>
      </c>
      <c r="B874">
        <f>SE(Doações!A375="";"";"Doação - "&amp;Doações!B375)</f>
        <v/>
      </c>
      <c r="C874">
        <f>SE(Doações!A375="";"";Doações!D375)</f>
        <v/>
      </c>
      <c r="D874">
        <f>SE(Doações!A375="";"";0)</f>
        <v/>
      </c>
    </row>
    <row r="875">
      <c r="A875">
        <f>SE(Doações!A376="";"";Doações!A376)</f>
        <v/>
      </c>
      <c r="B875">
        <f>SE(Doações!A376="";"";"Doação - "&amp;Doações!B376)</f>
        <v/>
      </c>
      <c r="C875">
        <f>SE(Doações!A376="";"";Doações!D376)</f>
        <v/>
      </c>
      <c r="D875">
        <f>SE(Doações!A376="";"";0)</f>
        <v/>
      </c>
    </row>
    <row r="876">
      <c r="A876">
        <f>SE(Doações!A377="";"";Doações!A377)</f>
        <v/>
      </c>
      <c r="B876">
        <f>SE(Doações!A377="";"";"Doação - "&amp;Doações!B377)</f>
        <v/>
      </c>
      <c r="C876">
        <f>SE(Doações!A377="";"";Doações!D377)</f>
        <v/>
      </c>
      <c r="D876">
        <f>SE(Doações!A377="";"";0)</f>
        <v/>
      </c>
    </row>
    <row r="877">
      <c r="A877">
        <f>SE(Doações!A378="";"";Doações!A378)</f>
        <v/>
      </c>
      <c r="B877">
        <f>SE(Doações!A378="";"";"Doação - "&amp;Doações!B378)</f>
        <v/>
      </c>
      <c r="C877">
        <f>SE(Doações!A378="";"";Doações!D378)</f>
        <v/>
      </c>
      <c r="D877">
        <f>SE(Doações!A378="";"";0)</f>
        <v/>
      </c>
    </row>
    <row r="878">
      <c r="A878">
        <f>SE(Doações!A379="";"";Doações!A379)</f>
        <v/>
      </c>
      <c r="B878">
        <f>SE(Doações!A379="";"";"Doação - "&amp;Doações!B379)</f>
        <v/>
      </c>
      <c r="C878">
        <f>SE(Doações!A379="";"";Doações!D379)</f>
        <v/>
      </c>
      <c r="D878">
        <f>SE(Doações!A379="";"";0)</f>
        <v/>
      </c>
    </row>
    <row r="879">
      <c r="A879">
        <f>SE(Doações!A380="";"";Doações!A380)</f>
        <v/>
      </c>
      <c r="B879">
        <f>SE(Doações!A380="";"";"Doação - "&amp;Doações!B380)</f>
        <v/>
      </c>
      <c r="C879">
        <f>SE(Doações!A380="";"";Doações!D380)</f>
        <v/>
      </c>
      <c r="D879">
        <f>SE(Doações!A380="";"";0)</f>
        <v/>
      </c>
    </row>
    <row r="880">
      <c r="A880">
        <f>SE(Doações!A381="";"";Doações!A381)</f>
        <v/>
      </c>
      <c r="B880">
        <f>SE(Doações!A381="";"";"Doação - "&amp;Doações!B381)</f>
        <v/>
      </c>
      <c r="C880">
        <f>SE(Doações!A381="";"";Doações!D381)</f>
        <v/>
      </c>
      <c r="D880">
        <f>SE(Doações!A381="";"";0)</f>
        <v/>
      </c>
    </row>
    <row r="881">
      <c r="A881">
        <f>SE(Doações!A382="";"";Doações!A382)</f>
        <v/>
      </c>
      <c r="B881">
        <f>SE(Doações!A382="";"";"Doação - "&amp;Doações!B382)</f>
        <v/>
      </c>
      <c r="C881">
        <f>SE(Doações!A382="";"";Doações!D382)</f>
        <v/>
      </c>
      <c r="D881">
        <f>SE(Doações!A382="";"";0)</f>
        <v/>
      </c>
    </row>
    <row r="882">
      <c r="A882">
        <f>SE(Doações!A383="";"";Doações!A383)</f>
        <v/>
      </c>
      <c r="B882">
        <f>SE(Doações!A383="";"";"Doação - "&amp;Doações!B383)</f>
        <v/>
      </c>
      <c r="C882">
        <f>SE(Doações!A383="";"";Doações!D383)</f>
        <v/>
      </c>
      <c r="D882">
        <f>SE(Doações!A383="";"";0)</f>
        <v/>
      </c>
    </row>
    <row r="883">
      <c r="A883">
        <f>SE(Doações!A384="";"";Doações!A384)</f>
        <v/>
      </c>
      <c r="B883">
        <f>SE(Doações!A384="";"";"Doação - "&amp;Doações!B384)</f>
        <v/>
      </c>
      <c r="C883">
        <f>SE(Doações!A384="";"";Doações!D384)</f>
        <v/>
      </c>
      <c r="D883">
        <f>SE(Doações!A384="";"";0)</f>
        <v/>
      </c>
    </row>
    <row r="884">
      <c r="A884">
        <f>SE(Doações!A385="";"";Doações!A385)</f>
        <v/>
      </c>
      <c r="B884">
        <f>SE(Doações!A385="";"";"Doação - "&amp;Doações!B385)</f>
        <v/>
      </c>
      <c r="C884">
        <f>SE(Doações!A385="";"";Doações!D385)</f>
        <v/>
      </c>
      <c r="D884">
        <f>SE(Doações!A385="";"";0)</f>
        <v/>
      </c>
    </row>
    <row r="885">
      <c r="A885">
        <f>SE(Doações!A386="";"";Doações!A386)</f>
        <v/>
      </c>
      <c r="B885">
        <f>SE(Doações!A386="";"";"Doação - "&amp;Doações!B386)</f>
        <v/>
      </c>
      <c r="C885">
        <f>SE(Doações!A386="";"";Doações!D386)</f>
        <v/>
      </c>
      <c r="D885">
        <f>SE(Doações!A386="";"";0)</f>
        <v/>
      </c>
    </row>
    <row r="886">
      <c r="A886">
        <f>SE(Doações!A387="";"";Doações!A387)</f>
        <v/>
      </c>
      <c r="B886">
        <f>SE(Doações!A387="";"";"Doação - "&amp;Doações!B387)</f>
        <v/>
      </c>
      <c r="C886">
        <f>SE(Doações!A387="";"";Doações!D387)</f>
        <v/>
      </c>
      <c r="D886">
        <f>SE(Doações!A387="";"";0)</f>
        <v/>
      </c>
    </row>
    <row r="887">
      <c r="A887">
        <f>SE(Doações!A388="";"";Doações!A388)</f>
        <v/>
      </c>
      <c r="B887">
        <f>SE(Doações!A388="";"";"Doação - "&amp;Doações!B388)</f>
        <v/>
      </c>
      <c r="C887">
        <f>SE(Doações!A388="";"";Doações!D388)</f>
        <v/>
      </c>
      <c r="D887">
        <f>SE(Doações!A388="";"";0)</f>
        <v/>
      </c>
    </row>
    <row r="888">
      <c r="A888">
        <f>SE(Doações!A389="";"";Doações!A389)</f>
        <v/>
      </c>
      <c r="B888">
        <f>SE(Doações!A389="";"";"Doação - "&amp;Doações!B389)</f>
        <v/>
      </c>
      <c r="C888">
        <f>SE(Doações!A389="";"";Doações!D389)</f>
        <v/>
      </c>
      <c r="D888">
        <f>SE(Doações!A389="";"";0)</f>
        <v/>
      </c>
    </row>
    <row r="889">
      <c r="A889">
        <f>SE(Doações!A390="";"";Doações!A390)</f>
        <v/>
      </c>
      <c r="B889">
        <f>SE(Doações!A390="";"";"Doação - "&amp;Doações!B390)</f>
        <v/>
      </c>
      <c r="C889">
        <f>SE(Doações!A390="";"";Doações!D390)</f>
        <v/>
      </c>
      <c r="D889">
        <f>SE(Doações!A390="";"";0)</f>
        <v/>
      </c>
    </row>
    <row r="890">
      <c r="A890">
        <f>SE(Doações!A391="";"";Doações!A391)</f>
        <v/>
      </c>
      <c r="B890">
        <f>SE(Doações!A391="";"";"Doação - "&amp;Doações!B391)</f>
        <v/>
      </c>
      <c r="C890">
        <f>SE(Doações!A391="";"";Doações!D391)</f>
        <v/>
      </c>
      <c r="D890">
        <f>SE(Doações!A391="";"";0)</f>
        <v/>
      </c>
    </row>
    <row r="891">
      <c r="A891">
        <f>SE(Doações!A392="";"";Doações!A392)</f>
        <v/>
      </c>
      <c r="B891">
        <f>SE(Doações!A392="";"";"Doação - "&amp;Doações!B392)</f>
        <v/>
      </c>
      <c r="C891">
        <f>SE(Doações!A392="";"";Doações!D392)</f>
        <v/>
      </c>
      <c r="D891">
        <f>SE(Doações!A392="";"";0)</f>
        <v/>
      </c>
    </row>
    <row r="892">
      <c r="A892">
        <f>SE(Doações!A393="";"";Doações!A393)</f>
        <v/>
      </c>
      <c r="B892">
        <f>SE(Doações!A393="";"";"Doação - "&amp;Doações!B393)</f>
        <v/>
      </c>
      <c r="C892">
        <f>SE(Doações!A393="";"";Doações!D393)</f>
        <v/>
      </c>
      <c r="D892">
        <f>SE(Doações!A393="";"";0)</f>
        <v/>
      </c>
    </row>
    <row r="893">
      <c r="A893">
        <f>SE(Doações!A394="";"";Doações!A394)</f>
        <v/>
      </c>
      <c r="B893">
        <f>SE(Doações!A394="";"";"Doação - "&amp;Doações!B394)</f>
        <v/>
      </c>
      <c r="C893">
        <f>SE(Doações!A394="";"";Doações!D394)</f>
        <v/>
      </c>
      <c r="D893">
        <f>SE(Doações!A394="";"";0)</f>
        <v/>
      </c>
    </row>
    <row r="894">
      <c r="A894">
        <f>SE(Doações!A395="";"";Doações!A395)</f>
        <v/>
      </c>
      <c r="B894">
        <f>SE(Doações!A395="";"";"Doação - "&amp;Doações!B395)</f>
        <v/>
      </c>
      <c r="C894">
        <f>SE(Doações!A395="";"";Doações!D395)</f>
        <v/>
      </c>
      <c r="D894">
        <f>SE(Doações!A395="";"";0)</f>
        <v/>
      </c>
    </row>
    <row r="895">
      <c r="A895">
        <f>SE(Doações!A396="";"";Doações!A396)</f>
        <v/>
      </c>
      <c r="B895">
        <f>SE(Doações!A396="";"";"Doação - "&amp;Doações!B396)</f>
        <v/>
      </c>
      <c r="C895">
        <f>SE(Doações!A396="";"";Doações!D396)</f>
        <v/>
      </c>
      <c r="D895">
        <f>SE(Doações!A396="";"";0)</f>
        <v/>
      </c>
    </row>
    <row r="896">
      <c r="A896">
        <f>SE(Doações!A397="";"";Doações!A397)</f>
        <v/>
      </c>
      <c r="B896">
        <f>SE(Doações!A397="";"";"Doação - "&amp;Doações!B397)</f>
        <v/>
      </c>
      <c r="C896">
        <f>SE(Doações!A397="";"";Doações!D397)</f>
        <v/>
      </c>
      <c r="D896">
        <f>SE(Doações!A397="";"";0)</f>
        <v/>
      </c>
    </row>
    <row r="897">
      <c r="A897">
        <f>SE(Doações!A398="";"";Doações!A398)</f>
        <v/>
      </c>
      <c r="B897">
        <f>SE(Doações!A398="";"";"Doação - "&amp;Doações!B398)</f>
        <v/>
      </c>
      <c r="C897">
        <f>SE(Doações!A398="";"";Doações!D398)</f>
        <v/>
      </c>
      <c r="D897">
        <f>SE(Doações!A398="";"";0)</f>
        <v/>
      </c>
    </row>
    <row r="898">
      <c r="A898">
        <f>SE(Doações!A399="";"";Doações!A399)</f>
        <v/>
      </c>
      <c r="B898">
        <f>SE(Doações!A399="";"";"Doação - "&amp;Doações!B399)</f>
        <v/>
      </c>
      <c r="C898">
        <f>SE(Doações!A399="";"";Doações!D399)</f>
        <v/>
      </c>
      <c r="D898">
        <f>SE(Doações!A399="";"";0)</f>
        <v/>
      </c>
    </row>
    <row r="899">
      <c r="A899">
        <f>SE(Doações!A400="";"";Doações!A400)</f>
        <v/>
      </c>
      <c r="B899">
        <f>SE(Doações!A400="";"";"Doação - "&amp;Doações!B400)</f>
        <v/>
      </c>
      <c r="C899">
        <f>SE(Doações!A400="";"";Doações!D400)</f>
        <v/>
      </c>
      <c r="D899">
        <f>SE(Doações!A400="";"";0)</f>
        <v/>
      </c>
    </row>
    <row r="900">
      <c r="A900">
        <f>SE(Doações!A401="";"";Doações!A401)</f>
        <v/>
      </c>
      <c r="B900">
        <f>SE(Doações!A401="";"";"Doação - "&amp;Doações!B401)</f>
        <v/>
      </c>
      <c r="C900">
        <f>SE(Doações!A401="";"";Doações!D401)</f>
        <v/>
      </c>
      <c r="D900">
        <f>SE(Doações!A401="";"";0)</f>
        <v/>
      </c>
    </row>
    <row r="901">
      <c r="A901">
        <f>SE(Doações!A402="";"";Doações!A402)</f>
        <v/>
      </c>
      <c r="B901">
        <f>SE(Doações!A402="";"";"Doação - "&amp;Doações!B402)</f>
        <v/>
      </c>
      <c r="C901">
        <f>SE(Doações!A402="";"";Doações!D402)</f>
        <v/>
      </c>
      <c r="D901">
        <f>SE(Doações!A402="";"";0)</f>
        <v/>
      </c>
    </row>
    <row r="902">
      <c r="A902">
        <f>SE(Doações!A403="";"";Doações!A403)</f>
        <v/>
      </c>
      <c r="B902">
        <f>SE(Doações!A403="";"";"Doação - "&amp;Doações!B403)</f>
        <v/>
      </c>
      <c r="C902">
        <f>SE(Doações!A403="";"";Doações!D403)</f>
        <v/>
      </c>
      <c r="D902">
        <f>SE(Doações!A403="";"";0)</f>
        <v/>
      </c>
    </row>
    <row r="903">
      <c r="A903">
        <f>SE(Doações!A404="";"";Doações!A404)</f>
        <v/>
      </c>
      <c r="B903">
        <f>SE(Doações!A404="";"";"Doação - "&amp;Doações!B404)</f>
        <v/>
      </c>
      <c r="C903">
        <f>SE(Doações!A404="";"";Doações!D404)</f>
        <v/>
      </c>
      <c r="D903">
        <f>SE(Doações!A404="";"";0)</f>
        <v/>
      </c>
    </row>
    <row r="904">
      <c r="A904">
        <f>SE(Doações!A405="";"";Doações!A405)</f>
        <v/>
      </c>
      <c r="B904">
        <f>SE(Doações!A405="";"";"Doação - "&amp;Doações!B405)</f>
        <v/>
      </c>
      <c r="C904">
        <f>SE(Doações!A405="";"";Doações!D405)</f>
        <v/>
      </c>
      <c r="D904">
        <f>SE(Doações!A405="";"";0)</f>
        <v/>
      </c>
    </row>
    <row r="905">
      <c r="A905">
        <f>SE(Doações!A406="";"";Doações!A406)</f>
        <v/>
      </c>
      <c r="B905">
        <f>SE(Doações!A406="";"";"Doação - "&amp;Doações!B406)</f>
        <v/>
      </c>
      <c r="C905">
        <f>SE(Doações!A406="";"";Doações!D406)</f>
        <v/>
      </c>
      <c r="D905">
        <f>SE(Doações!A406="";"";0)</f>
        <v/>
      </c>
    </row>
    <row r="906">
      <c r="A906">
        <f>SE(Doações!A407="";"";Doações!A407)</f>
        <v/>
      </c>
      <c r="B906">
        <f>SE(Doações!A407="";"";"Doação - "&amp;Doações!B407)</f>
        <v/>
      </c>
      <c r="C906">
        <f>SE(Doações!A407="";"";Doações!D407)</f>
        <v/>
      </c>
      <c r="D906">
        <f>SE(Doações!A407="";"";0)</f>
        <v/>
      </c>
    </row>
    <row r="907">
      <c r="A907">
        <f>SE(Doações!A408="";"";Doações!A408)</f>
        <v/>
      </c>
      <c r="B907">
        <f>SE(Doações!A408="";"";"Doação - "&amp;Doações!B408)</f>
        <v/>
      </c>
      <c r="C907">
        <f>SE(Doações!A408="";"";Doações!D408)</f>
        <v/>
      </c>
      <c r="D907">
        <f>SE(Doações!A408="";"";0)</f>
        <v/>
      </c>
    </row>
    <row r="908">
      <c r="A908">
        <f>SE(Doações!A409="";"";Doações!A409)</f>
        <v/>
      </c>
      <c r="B908">
        <f>SE(Doações!A409="";"";"Doação - "&amp;Doações!B409)</f>
        <v/>
      </c>
      <c r="C908">
        <f>SE(Doações!A409="";"";Doações!D409)</f>
        <v/>
      </c>
      <c r="D908">
        <f>SE(Doações!A409="";"";0)</f>
        <v/>
      </c>
    </row>
    <row r="909">
      <c r="A909">
        <f>SE(Doações!A410="";"";Doações!A410)</f>
        <v/>
      </c>
      <c r="B909">
        <f>SE(Doações!A410="";"";"Doação - "&amp;Doações!B410)</f>
        <v/>
      </c>
      <c r="C909">
        <f>SE(Doações!A410="";"";Doações!D410)</f>
        <v/>
      </c>
      <c r="D909">
        <f>SE(Doações!A410="";"";0)</f>
        <v/>
      </c>
    </row>
    <row r="910">
      <c r="A910">
        <f>SE(Doações!A411="";"";Doações!A411)</f>
        <v/>
      </c>
      <c r="B910">
        <f>SE(Doações!A411="";"";"Doação - "&amp;Doações!B411)</f>
        <v/>
      </c>
      <c r="C910">
        <f>SE(Doações!A411="";"";Doações!D411)</f>
        <v/>
      </c>
      <c r="D910">
        <f>SE(Doações!A411="";"";0)</f>
        <v/>
      </c>
    </row>
    <row r="911">
      <c r="A911">
        <f>SE(Doações!A412="";"";Doações!A412)</f>
        <v/>
      </c>
      <c r="B911">
        <f>SE(Doações!A412="";"";"Doação - "&amp;Doações!B412)</f>
        <v/>
      </c>
      <c r="C911">
        <f>SE(Doações!A412="";"";Doações!D412)</f>
        <v/>
      </c>
      <c r="D911">
        <f>SE(Doações!A412="";"";0)</f>
        <v/>
      </c>
    </row>
    <row r="912">
      <c r="A912">
        <f>SE(Doações!A413="";"";Doações!A413)</f>
        <v/>
      </c>
      <c r="B912">
        <f>SE(Doações!A413="";"";"Doação - "&amp;Doações!B413)</f>
        <v/>
      </c>
      <c r="C912">
        <f>SE(Doações!A413="";"";Doações!D413)</f>
        <v/>
      </c>
      <c r="D912">
        <f>SE(Doações!A413="";"";0)</f>
        <v/>
      </c>
    </row>
    <row r="913">
      <c r="A913">
        <f>SE(Doações!A414="";"";Doações!A414)</f>
        <v/>
      </c>
      <c r="B913">
        <f>SE(Doações!A414="";"";"Doação - "&amp;Doações!B414)</f>
        <v/>
      </c>
      <c r="C913">
        <f>SE(Doações!A414="";"";Doações!D414)</f>
        <v/>
      </c>
      <c r="D913">
        <f>SE(Doações!A414="";"";0)</f>
        <v/>
      </c>
    </row>
    <row r="914">
      <c r="A914">
        <f>SE(Doações!A415="";"";Doações!A415)</f>
        <v/>
      </c>
      <c r="B914">
        <f>SE(Doações!A415="";"";"Doação - "&amp;Doações!B415)</f>
        <v/>
      </c>
      <c r="C914">
        <f>SE(Doações!A415="";"";Doações!D415)</f>
        <v/>
      </c>
      <c r="D914">
        <f>SE(Doações!A415="";"";0)</f>
        <v/>
      </c>
    </row>
    <row r="915">
      <c r="A915">
        <f>SE(Doações!A416="";"";Doações!A416)</f>
        <v/>
      </c>
      <c r="B915">
        <f>SE(Doações!A416="";"";"Doação - "&amp;Doações!B416)</f>
        <v/>
      </c>
      <c r="C915">
        <f>SE(Doações!A416="";"";Doações!D416)</f>
        <v/>
      </c>
      <c r="D915">
        <f>SE(Doações!A416="";"";0)</f>
        <v/>
      </c>
    </row>
    <row r="916">
      <c r="A916">
        <f>SE(Doações!A417="";"";Doações!A417)</f>
        <v/>
      </c>
      <c r="B916">
        <f>SE(Doações!A417="";"";"Doação - "&amp;Doações!B417)</f>
        <v/>
      </c>
      <c r="C916">
        <f>SE(Doações!A417="";"";Doações!D417)</f>
        <v/>
      </c>
      <c r="D916">
        <f>SE(Doações!A417="";"";0)</f>
        <v/>
      </c>
    </row>
    <row r="917">
      <c r="A917">
        <f>SE(Doações!A418="";"";Doações!A418)</f>
        <v/>
      </c>
      <c r="B917">
        <f>SE(Doações!A418="";"";"Doação - "&amp;Doações!B418)</f>
        <v/>
      </c>
      <c r="C917">
        <f>SE(Doações!A418="";"";Doações!D418)</f>
        <v/>
      </c>
      <c r="D917">
        <f>SE(Doações!A418="";"";0)</f>
        <v/>
      </c>
    </row>
    <row r="918">
      <c r="A918">
        <f>SE(Doações!A419="";"";Doações!A419)</f>
        <v/>
      </c>
      <c r="B918">
        <f>SE(Doações!A419="";"";"Doação - "&amp;Doações!B419)</f>
        <v/>
      </c>
      <c r="C918">
        <f>SE(Doações!A419="";"";Doações!D419)</f>
        <v/>
      </c>
      <c r="D918">
        <f>SE(Doações!A419="";"";0)</f>
        <v/>
      </c>
    </row>
    <row r="919">
      <c r="A919">
        <f>SE(Doações!A420="";"";Doações!A420)</f>
        <v/>
      </c>
      <c r="B919">
        <f>SE(Doações!A420="";"";"Doação - "&amp;Doações!B420)</f>
        <v/>
      </c>
      <c r="C919">
        <f>SE(Doações!A420="";"";Doações!D420)</f>
        <v/>
      </c>
      <c r="D919">
        <f>SE(Doações!A420="";"";0)</f>
        <v/>
      </c>
    </row>
    <row r="920">
      <c r="A920">
        <f>SE(Doações!A421="";"";Doações!A421)</f>
        <v/>
      </c>
      <c r="B920">
        <f>SE(Doações!A421="";"";"Doação - "&amp;Doações!B421)</f>
        <v/>
      </c>
      <c r="C920">
        <f>SE(Doações!A421="";"";Doações!D421)</f>
        <v/>
      </c>
      <c r="D920">
        <f>SE(Doações!A421="";"";0)</f>
        <v/>
      </c>
    </row>
    <row r="921">
      <c r="A921">
        <f>SE(Doações!A422="";"";Doações!A422)</f>
        <v/>
      </c>
      <c r="B921">
        <f>SE(Doações!A422="";"";"Doação - "&amp;Doações!B422)</f>
        <v/>
      </c>
      <c r="C921">
        <f>SE(Doações!A422="";"";Doações!D422)</f>
        <v/>
      </c>
      <c r="D921">
        <f>SE(Doações!A422="";"";0)</f>
        <v/>
      </c>
    </row>
    <row r="922">
      <c r="A922">
        <f>SE(Doações!A423="";"";Doações!A423)</f>
        <v/>
      </c>
      <c r="B922">
        <f>SE(Doações!A423="";"";"Doação - "&amp;Doações!B423)</f>
        <v/>
      </c>
      <c r="C922">
        <f>SE(Doações!A423="";"";Doações!D423)</f>
        <v/>
      </c>
      <c r="D922">
        <f>SE(Doações!A423="";"";0)</f>
        <v/>
      </c>
    </row>
    <row r="923">
      <c r="A923">
        <f>SE(Doações!A424="";"";Doações!A424)</f>
        <v/>
      </c>
      <c r="B923">
        <f>SE(Doações!A424="";"";"Doação - "&amp;Doações!B424)</f>
        <v/>
      </c>
      <c r="C923">
        <f>SE(Doações!A424="";"";Doações!D424)</f>
        <v/>
      </c>
      <c r="D923">
        <f>SE(Doações!A424="";"";0)</f>
        <v/>
      </c>
    </row>
    <row r="924">
      <c r="A924">
        <f>SE(Doações!A425="";"";Doações!A425)</f>
        <v/>
      </c>
      <c r="B924">
        <f>SE(Doações!A425="";"";"Doação - "&amp;Doações!B425)</f>
        <v/>
      </c>
      <c r="C924">
        <f>SE(Doações!A425="";"";Doações!D425)</f>
        <v/>
      </c>
      <c r="D924">
        <f>SE(Doações!A425="";"";0)</f>
        <v/>
      </c>
    </row>
    <row r="925">
      <c r="A925">
        <f>SE(Doações!A426="";"";Doações!A426)</f>
        <v/>
      </c>
      <c r="B925">
        <f>SE(Doações!A426="";"";"Doação - "&amp;Doações!B426)</f>
        <v/>
      </c>
      <c r="C925">
        <f>SE(Doações!A426="";"";Doações!D426)</f>
        <v/>
      </c>
      <c r="D925">
        <f>SE(Doações!A426="";"";0)</f>
        <v/>
      </c>
    </row>
    <row r="926">
      <c r="A926">
        <f>SE(Doações!A427="";"";Doações!A427)</f>
        <v/>
      </c>
      <c r="B926">
        <f>SE(Doações!A427="";"";"Doação - "&amp;Doações!B427)</f>
        <v/>
      </c>
      <c r="C926">
        <f>SE(Doações!A427="";"";Doações!D427)</f>
        <v/>
      </c>
      <c r="D926">
        <f>SE(Doações!A427="";"";0)</f>
        <v/>
      </c>
    </row>
    <row r="927">
      <c r="A927">
        <f>SE(Doações!A428="";"";Doações!A428)</f>
        <v/>
      </c>
      <c r="B927">
        <f>SE(Doações!A428="";"";"Doação - "&amp;Doações!B428)</f>
        <v/>
      </c>
      <c r="C927">
        <f>SE(Doações!A428="";"";Doações!D428)</f>
        <v/>
      </c>
      <c r="D927">
        <f>SE(Doações!A428="";"";0)</f>
        <v/>
      </c>
    </row>
    <row r="928">
      <c r="A928">
        <f>SE(Doações!A429="";"";Doações!A429)</f>
        <v/>
      </c>
      <c r="B928">
        <f>SE(Doações!A429="";"";"Doação - "&amp;Doações!B429)</f>
        <v/>
      </c>
      <c r="C928">
        <f>SE(Doações!A429="";"";Doações!D429)</f>
        <v/>
      </c>
      <c r="D928">
        <f>SE(Doações!A429="";"";0)</f>
        <v/>
      </c>
    </row>
    <row r="929">
      <c r="A929">
        <f>SE(Doações!A430="";"";Doações!A430)</f>
        <v/>
      </c>
      <c r="B929">
        <f>SE(Doações!A430="";"";"Doação - "&amp;Doações!B430)</f>
        <v/>
      </c>
      <c r="C929">
        <f>SE(Doações!A430="";"";Doações!D430)</f>
        <v/>
      </c>
      <c r="D929">
        <f>SE(Doações!A430="";"";0)</f>
        <v/>
      </c>
    </row>
    <row r="930">
      <c r="A930">
        <f>SE(Doações!A431="";"";Doações!A431)</f>
        <v/>
      </c>
      <c r="B930">
        <f>SE(Doações!A431="";"";"Doação - "&amp;Doações!B431)</f>
        <v/>
      </c>
      <c r="C930">
        <f>SE(Doações!A431="";"";Doações!D431)</f>
        <v/>
      </c>
      <c r="D930">
        <f>SE(Doações!A431="";"";0)</f>
        <v/>
      </c>
    </row>
    <row r="931">
      <c r="A931">
        <f>SE(Doações!A432="";"";Doações!A432)</f>
        <v/>
      </c>
      <c r="B931">
        <f>SE(Doações!A432="";"";"Doação - "&amp;Doações!B432)</f>
        <v/>
      </c>
      <c r="C931">
        <f>SE(Doações!A432="";"";Doações!D432)</f>
        <v/>
      </c>
      <c r="D931">
        <f>SE(Doações!A432="";"";0)</f>
        <v/>
      </c>
    </row>
    <row r="932">
      <c r="A932">
        <f>SE(Doações!A433="";"";Doações!A433)</f>
        <v/>
      </c>
      <c r="B932">
        <f>SE(Doações!A433="";"";"Doação - "&amp;Doações!B433)</f>
        <v/>
      </c>
      <c r="C932">
        <f>SE(Doações!A433="";"";Doações!D433)</f>
        <v/>
      </c>
      <c r="D932">
        <f>SE(Doações!A433="";"";0)</f>
        <v/>
      </c>
    </row>
    <row r="933">
      <c r="A933">
        <f>SE(Doações!A434="";"";Doações!A434)</f>
        <v/>
      </c>
      <c r="B933">
        <f>SE(Doações!A434="";"";"Doação - "&amp;Doações!B434)</f>
        <v/>
      </c>
      <c r="C933">
        <f>SE(Doações!A434="";"";Doações!D434)</f>
        <v/>
      </c>
      <c r="D933">
        <f>SE(Doações!A434="";"";0)</f>
        <v/>
      </c>
    </row>
    <row r="934">
      <c r="A934">
        <f>SE(Doações!A435="";"";Doações!A435)</f>
        <v/>
      </c>
      <c r="B934">
        <f>SE(Doações!A435="";"";"Doação - "&amp;Doações!B435)</f>
        <v/>
      </c>
      <c r="C934">
        <f>SE(Doações!A435="";"";Doações!D435)</f>
        <v/>
      </c>
      <c r="D934">
        <f>SE(Doações!A435="";"";0)</f>
        <v/>
      </c>
    </row>
    <row r="935">
      <c r="A935">
        <f>SE(Doações!A436="";"";Doações!A436)</f>
        <v/>
      </c>
      <c r="B935">
        <f>SE(Doações!A436="";"";"Doação - "&amp;Doações!B436)</f>
        <v/>
      </c>
      <c r="C935">
        <f>SE(Doações!A436="";"";Doações!D436)</f>
        <v/>
      </c>
      <c r="D935">
        <f>SE(Doações!A436="";"";0)</f>
        <v/>
      </c>
    </row>
    <row r="936">
      <c r="A936">
        <f>SE(Doações!A437="";"";Doações!A437)</f>
        <v/>
      </c>
      <c r="B936">
        <f>SE(Doações!A437="";"";"Doação - "&amp;Doações!B437)</f>
        <v/>
      </c>
      <c r="C936">
        <f>SE(Doações!A437="";"";Doações!D437)</f>
        <v/>
      </c>
      <c r="D936">
        <f>SE(Doações!A437="";"";0)</f>
        <v/>
      </c>
    </row>
    <row r="937">
      <c r="A937">
        <f>SE(Doações!A438="";"";Doações!A438)</f>
        <v/>
      </c>
      <c r="B937">
        <f>SE(Doações!A438="";"";"Doação - "&amp;Doações!B438)</f>
        <v/>
      </c>
      <c r="C937">
        <f>SE(Doações!A438="";"";Doações!D438)</f>
        <v/>
      </c>
      <c r="D937">
        <f>SE(Doações!A438="";"";0)</f>
        <v/>
      </c>
    </row>
    <row r="938">
      <c r="A938">
        <f>SE(Doações!A439="";"";Doações!A439)</f>
        <v/>
      </c>
      <c r="B938">
        <f>SE(Doações!A439="";"";"Doação - "&amp;Doações!B439)</f>
        <v/>
      </c>
      <c r="C938">
        <f>SE(Doações!A439="";"";Doações!D439)</f>
        <v/>
      </c>
      <c r="D938">
        <f>SE(Doações!A439="";"";0)</f>
        <v/>
      </c>
    </row>
    <row r="939">
      <c r="A939">
        <f>SE(Doações!A440="";"";Doações!A440)</f>
        <v/>
      </c>
      <c r="B939">
        <f>SE(Doações!A440="";"";"Doação - "&amp;Doações!B440)</f>
        <v/>
      </c>
      <c r="C939">
        <f>SE(Doações!A440="";"";Doações!D440)</f>
        <v/>
      </c>
      <c r="D939">
        <f>SE(Doações!A440="";"";0)</f>
        <v/>
      </c>
    </row>
    <row r="940">
      <c r="A940">
        <f>SE(Doações!A441="";"";Doações!A441)</f>
        <v/>
      </c>
      <c r="B940">
        <f>SE(Doações!A441="";"";"Doação - "&amp;Doações!B441)</f>
        <v/>
      </c>
      <c r="C940">
        <f>SE(Doações!A441="";"";Doações!D441)</f>
        <v/>
      </c>
      <c r="D940">
        <f>SE(Doações!A441="";"";0)</f>
        <v/>
      </c>
    </row>
    <row r="941">
      <c r="A941">
        <f>SE(Doações!A442="";"";Doações!A442)</f>
        <v/>
      </c>
      <c r="B941">
        <f>SE(Doações!A442="";"";"Doação - "&amp;Doações!B442)</f>
        <v/>
      </c>
      <c r="C941">
        <f>SE(Doações!A442="";"";Doações!D442)</f>
        <v/>
      </c>
      <c r="D941">
        <f>SE(Doações!A442="";"";0)</f>
        <v/>
      </c>
    </row>
    <row r="942">
      <c r="A942">
        <f>SE(Doações!A443="";"";Doações!A443)</f>
        <v/>
      </c>
      <c r="B942">
        <f>SE(Doações!A443="";"";"Doação - "&amp;Doações!B443)</f>
        <v/>
      </c>
      <c r="C942">
        <f>SE(Doações!A443="";"";Doações!D443)</f>
        <v/>
      </c>
      <c r="D942">
        <f>SE(Doações!A443="";"";0)</f>
        <v/>
      </c>
    </row>
    <row r="943">
      <c r="A943">
        <f>SE(Doações!A444="";"";Doações!A444)</f>
        <v/>
      </c>
      <c r="B943">
        <f>SE(Doações!A444="";"";"Doação - "&amp;Doações!B444)</f>
        <v/>
      </c>
      <c r="C943">
        <f>SE(Doações!A444="";"";Doações!D444)</f>
        <v/>
      </c>
      <c r="D943">
        <f>SE(Doações!A444="";"";0)</f>
        <v/>
      </c>
    </row>
    <row r="944">
      <c r="A944">
        <f>SE(Doações!A445="";"";Doações!A445)</f>
        <v/>
      </c>
      <c r="B944">
        <f>SE(Doações!A445="";"";"Doação - "&amp;Doações!B445)</f>
        <v/>
      </c>
      <c r="C944">
        <f>SE(Doações!A445="";"";Doações!D445)</f>
        <v/>
      </c>
      <c r="D944">
        <f>SE(Doações!A445="";"";0)</f>
        <v/>
      </c>
    </row>
    <row r="945">
      <c r="A945">
        <f>SE(Doações!A446="";"";Doações!A446)</f>
        <v/>
      </c>
      <c r="B945">
        <f>SE(Doações!A446="";"";"Doação - "&amp;Doações!B446)</f>
        <v/>
      </c>
      <c r="C945">
        <f>SE(Doações!A446="";"";Doações!D446)</f>
        <v/>
      </c>
      <c r="D945">
        <f>SE(Doações!A446="";"";0)</f>
        <v/>
      </c>
    </row>
    <row r="946">
      <c r="A946">
        <f>SE(Doações!A447="";"";Doações!A447)</f>
        <v/>
      </c>
      <c r="B946">
        <f>SE(Doações!A447="";"";"Doação - "&amp;Doações!B447)</f>
        <v/>
      </c>
      <c r="C946">
        <f>SE(Doações!A447="";"";Doações!D447)</f>
        <v/>
      </c>
      <c r="D946">
        <f>SE(Doações!A447="";"";0)</f>
        <v/>
      </c>
    </row>
    <row r="947">
      <c r="A947">
        <f>SE(Doações!A448="";"";Doações!A448)</f>
        <v/>
      </c>
      <c r="B947">
        <f>SE(Doações!A448="";"";"Doação - "&amp;Doações!B448)</f>
        <v/>
      </c>
      <c r="C947">
        <f>SE(Doações!A448="";"";Doações!D448)</f>
        <v/>
      </c>
      <c r="D947">
        <f>SE(Doações!A448="";"";0)</f>
        <v/>
      </c>
    </row>
    <row r="948">
      <c r="A948">
        <f>SE(Doações!A449="";"";Doações!A449)</f>
        <v/>
      </c>
      <c r="B948">
        <f>SE(Doações!A449="";"";"Doação - "&amp;Doações!B449)</f>
        <v/>
      </c>
      <c r="C948">
        <f>SE(Doações!A449="";"";Doações!D449)</f>
        <v/>
      </c>
      <c r="D948">
        <f>SE(Doações!A449="";"";0)</f>
        <v/>
      </c>
    </row>
    <row r="949">
      <c r="A949">
        <f>SE(Doações!A450="";"";Doações!A450)</f>
        <v/>
      </c>
      <c r="B949">
        <f>SE(Doações!A450="";"";"Doação - "&amp;Doações!B450)</f>
        <v/>
      </c>
      <c r="C949">
        <f>SE(Doações!A450="";"";Doações!D450)</f>
        <v/>
      </c>
      <c r="D949">
        <f>SE(Doações!A450="";"";0)</f>
        <v/>
      </c>
    </row>
    <row r="950">
      <c r="A950">
        <f>SE(Doações!A451="";"";Doações!A451)</f>
        <v/>
      </c>
      <c r="B950">
        <f>SE(Doações!A451="";"";"Doação - "&amp;Doações!B451)</f>
        <v/>
      </c>
      <c r="C950">
        <f>SE(Doações!A451="";"";Doações!D451)</f>
        <v/>
      </c>
      <c r="D950">
        <f>SE(Doações!A451="";"";0)</f>
        <v/>
      </c>
    </row>
    <row r="951">
      <c r="A951">
        <f>SE(Doações!A452="";"";Doações!A452)</f>
        <v/>
      </c>
      <c r="B951">
        <f>SE(Doações!A452="";"";"Doação - "&amp;Doações!B452)</f>
        <v/>
      </c>
      <c r="C951">
        <f>SE(Doações!A452="";"";Doações!D452)</f>
        <v/>
      </c>
      <c r="D951">
        <f>SE(Doações!A452="";"";0)</f>
        <v/>
      </c>
    </row>
    <row r="952">
      <c r="A952">
        <f>SE(Doações!A453="";"";Doações!A453)</f>
        <v/>
      </c>
      <c r="B952">
        <f>SE(Doações!A453="";"";"Doação - "&amp;Doações!B453)</f>
        <v/>
      </c>
      <c r="C952">
        <f>SE(Doações!A453="";"";Doações!D453)</f>
        <v/>
      </c>
      <c r="D952">
        <f>SE(Doações!A453="";"";0)</f>
        <v/>
      </c>
    </row>
    <row r="953">
      <c r="A953">
        <f>SE(Doações!A454="";"";Doações!A454)</f>
        <v/>
      </c>
      <c r="B953">
        <f>SE(Doações!A454="";"";"Doação - "&amp;Doações!B454)</f>
        <v/>
      </c>
      <c r="C953">
        <f>SE(Doações!A454="";"";Doações!D454)</f>
        <v/>
      </c>
      <c r="D953">
        <f>SE(Doações!A454="";"";0)</f>
        <v/>
      </c>
    </row>
    <row r="954">
      <c r="A954">
        <f>SE(Doações!A455="";"";Doações!A455)</f>
        <v/>
      </c>
      <c r="B954">
        <f>SE(Doações!A455="";"";"Doação - "&amp;Doações!B455)</f>
        <v/>
      </c>
      <c r="C954">
        <f>SE(Doações!A455="";"";Doações!D455)</f>
        <v/>
      </c>
      <c r="D954">
        <f>SE(Doações!A455="";"";0)</f>
        <v/>
      </c>
    </row>
    <row r="955">
      <c r="A955">
        <f>SE(Doações!A456="";"";Doações!A456)</f>
        <v/>
      </c>
      <c r="B955">
        <f>SE(Doações!A456="";"";"Doação - "&amp;Doações!B456)</f>
        <v/>
      </c>
      <c r="C955">
        <f>SE(Doações!A456="";"";Doações!D456)</f>
        <v/>
      </c>
      <c r="D955">
        <f>SE(Doações!A456="";"";0)</f>
        <v/>
      </c>
    </row>
    <row r="956">
      <c r="A956">
        <f>SE(Doações!A457="";"";Doações!A457)</f>
        <v/>
      </c>
      <c r="B956">
        <f>SE(Doações!A457="";"";"Doação - "&amp;Doações!B457)</f>
        <v/>
      </c>
      <c r="C956">
        <f>SE(Doações!A457="";"";Doações!D457)</f>
        <v/>
      </c>
      <c r="D956">
        <f>SE(Doações!A457="";"";0)</f>
        <v/>
      </c>
    </row>
    <row r="957">
      <c r="A957">
        <f>SE(Doações!A458="";"";Doações!A458)</f>
        <v/>
      </c>
      <c r="B957">
        <f>SE(Doações!A458="";"";"Doação - "&amp;Doações!B458)</f>
        <v/>
      </c>
      <c r="C957">
        <f>SE(Doações!A458="";"";Doações!D458)</f>
        <v/>
      </c>
      <c r="D957">
        <f>SE(Doações!A458="";"";0)</f>
        <v/>
      </c>
    </row>
    <row r="958">
      <c r="A958">
        <f>SE(Doações!A459="";"";Doações!A459)</f>
        <v/>
      </c>
      <c r="B958">
        <f>SE(Doações!A459="";"";"Doação - "&amp;Doações!B459)</f>
        <v/>
      </c>
      <c r="C958">
        <f>SE(Doações!A459="";"";Doações!D459)</f>
        <v/>
      </c>
      <c r="D958">
        <f>SE(Doações!A459="";"";0)</f>
        <v/>
      </c>
    </row>
    <row r="959">
      <c r="A959">
        <f>SE(Doações!A460="";"";Doações!A460)</f>
        <v/>
      </c>
      <c r="B959">
        <f>SE(Doações!A460="";"";"Doação - "&amp;Doações!B460)</f>
        <v/>
      </c>
      <c r="C959">
        <f>SE(Doações!A460="";"";Doações!D460)</f>
        <v/>
      </c>
      <c r="D959">
        <f>SE(Doações!A460="";"";0)</f>
        <v/>
      </c>
    </row>
    <row r="960">
      <c r="A960">
        <f>SE(Doações!A461="";"";Doações!A461)</f>
        <v/>
      </c>
      <c r="B960">
        <f>SE(Doações!A461="";"";"Doação - "&amp;Doações!B461)</f>
        <v/>
      </c>
      <c r="C960">
        <f>SE(Doações!A461="";"";Doações!D461)</f>
        <v/>
      </c>
      <c r="D960">
        <f>SE(Doações!A461="";"";0)</f>
        <v/>
      </c>
    </row>
    <row r="961">
      <c r="A961">
        <f>SE(Doações!A462="";"";Doações!A462)</f>
        <v/>
      </c>
      <c r="B961">
        <f>SE(Doações!A462="";"";"Doação - "&amp;Doações!B462)</f>
        <v/>
      </c>
      <c r="C961">
        <f>SE(Doações!A462="";"";Doações!D462)</f>
        <v/>
      </c>
      <c r="D961">
        <f>SE(Doações!A462="";"";0)</f>
        <v/>
      </c>
    </row>
    <row r="962">
      <c r="A962">
        <f>SE(Doações!A463="";"";Doações!A463)</f>
        <v/>
      </c>
      <c r="B962">
        <f>SE(Doações!A463="";"";"Doação - "&amp;Doações!B463)</f>
        <v/>
      </c>
      <c r="C962">
        <f>SE(Doações!A463="";"";Doações!D463)</f>
        <v/>
      </c>
      <c r="D962">
        <f>SE(Doações!A463="";"";0)</f>
        <v/>
      </c>
    </row>
    <row r="963">
      <c r="A963">
        <f>SE(Doações!A464="";"";Doações!A464)</f>
        <v/>
      </c>
      <c r="B963">
        <f>SE(Doações!A464="";"";"Doação - "&amp;Doações!B464)</f>
        <v/>
      </c>
      <c r="C963">
        <f>SE(Doações!A464="";"";Doações!D464)</f>
        <v/>
      </c>
      <c r="D963">
        <f>SE(Doações!A464="";"";0)</f>
        <v/>
      </c>
    </row>
    <row r="964">
      <c r="A964">
        <f>SE(Doações!A465="";"";Doações!A465)</f>
        <v/>
      </c>
      <c r="B964">
        <f>SE(Doações!A465="";"";"Doação - "&amp;Doações!B465)</f>
        <v/>
      </c>
      <c r="C964">
        <f>SE(Doações!A465="";"";Doações!D465)</f>
        <v/>
      </c>
      <c r="D964">
        <f>SE(Doações!A465="";"";0)</f>
        <v/>
      </c>
    </row>
    <row r="965">
      <c r="A965">
        <f>SE(Doações!A466="";"";Doações!A466)</f>
        <v/>
      </c>
      <c r="B965">
        <f>SE(Doações!A466="";"";"Doação - "&amp;Doações!B466)</f>
        <v/>
      </c>
      <c r="C965">
        <f>SE(Doações!A466="";"";Doações!D466)</f>
        <v/>
      </c>
      <c r="D965">
        <f>SE(Doações!A466="";"";0)</f>
        <v/>
      </c>
    </row>
    <row r="966">
      <c r="A966">
        <f>SE(Doações!A467="";"";Doações!A467)</f>
        <v/>
      </c>
      <c r="B966">
        <f>SE(Doações!A467="";"";"Doação - "&amp;Doações!B467)</f>
        <v/>
      </c>
      <c r="C966">
        <f>SE(Doações!A467="";"";Doações!D467)</f>
        <v/>
      </c>
      <c r="D966">
        <f>SE(Doações!A467="";"";0)</f>
        <v/>
      </c>
    </row>
    <row r="967">
      <c r="A967">
        <f>SE(Doações!A468="";"";Doações!A468)</f>
        <v/>
      </c>
      <c r="B967">
        <f>SE(Doações!A468="";"";"Doação - "&amp;Doações!B468)</f>
        <v/>
      </c>
      <c r="C967">
        <f>SE(Doações!A468="";"";Doações!D468)</f>
        <v/>
      </c>
      <c r="D967">
        <f>SE(Doações!A468="";"";0)</f>
        <v/>
      </c>
    </row>
    <row r="968">
      <c r="A968">
        <f>SE(Doações!A469="";"";Doações!A469)</f>
        <v/>
      </c>
      <c r="B968">
        <f>SE(Doações!A469="";"";"Doação - "&amp;Doações!B469)</f>
        <v/>
      </c>
      <c r="C968">
        <f>SE(Doações!A469="";"";Doações!D469)</f>
        <v/>
      </c>
      <c r="D968">
        <f>SE(Doações!A469="";"";0)</f>
        <v/>
      </c>
    </row>
    <row r="969">
      <c r="A969">
        <f>SE(Doações!A470="";"";Doações!A470)</f>
        <v/>
      </c>
      <c r="B969">
        <f>SE(Doações!A470="";"";"Doação - "&amp;Doações!B470)</f>
        <v/>
      </c>
      <c r="C969">
        <f>SE(Doações!A470="";"";Doações!D470)</f>
        <v/>
      </c>
      <c r="D969">
        <f>SE(Doações!A470="";"";0)</f>
        <v/>
      </c>
    </row>
    <row r="970">
      <c r="A970">
        <f>SE(Doações!A471="";"";Doações!A471)</f>
        <v/>
      </c>
      <c r="B970">
        <f>SE(Doações!A471="";"";"Doação - "&amp;Doações!B471)</f>
        <v/>
      </c>
      <c r="C970">
        <f>SE(Doações!A471="";"";Doações!D471)</f>
        <v/>
      </c>
      <c r="D970">
        <f>SE(Doações!A471="";"";0)</f>
        <v/>
      </c>
    </row>
    <row r="971">
      <c r="A971">
        <f>SE(Doações!A472="";"";Doações!A472)</f>
        <v/>
      </c>
      <c r="B971">
        <f>SE(Doações!A472="";"";"Doação - "&amp;Doações!B472)</f>
        <v/>
      </c>
      <c r="C971">
        <f>SE(Doações!A472="";"";Doações!D472)</f>
        <v/>
      </c>
      <c r="D971">
        <f>SE(Doações!A472="";"";0)</f>
        <v/>
      </c>
    </row>
    <row r="972">
      <c r="A972">
        <f>SE(Doações!A473="";"";Doações!A473)</f>
        <v/>
      </c>
      <c r="B972">
        <f>SE(Doações!A473="";"";"Doação - "&amp;Doações!B473)</f>
        <v/>
      </c>
      <c r="C972">
        <f>SE(Doações!A473="";"";Doações!D473)</f>
        <v/>
      </c>
      <c r="D972">
        <f>SE(Doações!A473="";"";0)</f>
        <v/>
      </c>
    </row>
    <row r="973">
      <c r="A973">
        <f>SE(Doações!A474="";"";Doações!A474)</f>
        <v/>
      </c>
      <c r="B973">
        <f>SE(Doações!A474="";"";"Doação - "&amp;Doações!B474)</f>
        <v/>
      </c>
      <c r="C973">
        <f>SE(Doações!A474="";"";Doações!D474)</f>
        <v/>
      </c>
      <c r="D973">
        <f>SE(Doações!A474="";"";0)</f>
        <v/>
      </c>
    </row>
    <row r="974">
      <c r="A974">
        <f>SE(Doações!A475="";"";Doações!A475)</f>
        <v/>
      </c>
      <c r="B974">
        <f>SE(Doações!A475="";"";"Doação - "&amp;Doações!B475)</f>
        <v/>
      </c>
      <c r="C974">
        <f>SE(Doações!A475="";"";Doações!D475)</f>
        <v/>
      </c>
      <c r="D974">
        <f>SE(Doações!A475="";"";0)</f>
        <v/>
      </c>
    </row>
    <row r="975">
      <c r="A975">
        <f>SE(Doações!A476="";"";Doações!A476)</f>
        <v/>
      </c>
      <c r="B975">
        <f>SE(Doações!A476="";"";"Doação - "&amp;Doações!B476)</f>
        <v/>
      </c>
      <c r="C975">
        <f>SE(Doações!A476="";"";Doações!D476)</f>
        <v/>
      </c>
      <c r="D975">
        <f>SE(Doações!A476="";"";0)</f>
        <v/>
      </c>
    </row>
    <row r="976">
      <c r="A976">
        <f>SE(Doações!A477="";"";Doações!A477)</f>
        <v/>
      </c>
      <c r="B976">
        <f>SE(Doações!A477="";"";"Doação - "&amp;Doações!B477)</f>
        <v/>
      </c>
      <c r="C976">
        <f>SE(Doações!A477="";"";Doações!D477)</f>
        <v/>
      </c>
      <c r="D976">
        <f>SE(Doações!A477="";"";0)</f>
        <v/>
      </c>
    </row>
    <row r="977">
      <c r="A977">
        <f>SE(Doações!A478="";"";Doações!A478)</f>
        <v/>
      </c>
      <c r="B977">
        <f>SE(Doações!A478="";"";"Doação - "&amp;Doações!B478)</f>
        <v/>
      </c>
      <c r="C977">
        <f>SE(Doações!A478="";"";Doações!D478)</f>
        <v/>
      </c>
      <c r="D977">
        <f>SE(Doações!A478="";"";0)</f>
        <v/>
      </c>
    </row>
    <row r="978">
      <c r="A978">
        <f>SE(Doações!A479="";"";Doações!A479)</f>
        <v/>
      </c>
      <c r="B978">
        <f>SE(Doações!A479="";"";"Doação - "&amp;Doações!B479)</f>
        <v/>
      </c>
      <c r="C978">
        <f>SE(Doações!A479="";"";Doações!D479)</f>
        <v/>
      </c>
      <c r="D978">
        <f>SE(Doações!A479="";"";0)</f>
        <v/>
      </c>
    </row>
    <row r="979">
      <c r="A979">
        <f>SE(Doações!A480="";"";Doações!A480)</f>
        <v/>
      </c>
      <c r="B979">
        <f>SE(Doações!A480="";"";"Doação - "&amp;Doações!B480)</f>
        <v/>
      </c>
      <c r="C979">
        <f>SE(Doações!A480="";"";Doações!D480)</f>
        <v/>
      </c>
      <c r="D979">
        <f>SE(Doações!A480="";"";0)</f>
        <v/>
      </c>
    </row>
    <row r="980">
      <c r="A980">
        <f>SE(Doações!A481="";"";Doações!A481)</f>
        <v/>
      </c>
      <c r="B980">
        <f>SE(Doações!A481="";"";"Doação - "&amp;Doações!B481)</f>
        <v/>
      </c>
      <c r="C980">
        <f>SE(Doações!A481="";"";Doações!D481)</f>
        <v/>
      </c>
      <c r="D980">
        <f>SE(Doações!A481="";"";0)</f>
        <v/>
      </c>
    </row>
    <row r="981">
      <c r="A981">
        <f>SE(Doações!A482="";"";Doações!A482)</f>
        <v/>
      </c>
      <c r="B981">
        <f>SE(Doações!A482="";"";"Doação - "&amp;Doações!B482)</f>
        <v/>
      </c>
      <c r="C981">
        <f>SE(Doações!A482="";"";Doações!D482)</f>
        <v/>
      </c>
      <c r="D981">
        <f>SE(Doações!A482="";"";0)</f>
        <v/>
      </c>
    </row>
    <row r="982">
      <c r="A982">
        <f>SE(Doações!A483="";"";Doações!A483)</f>
        <v/>
      </c>
      <c r="B982">
        <f>SE(Doações!A483="";"";"Doação - "&amp;Doações!B483)</f>
        <v/>
      </c>
      <c r="C982">
        <f>SE(Doações!A483="";"";Doações!D483)</f>
        <v/>
      </c>
      <c r="D982">
        <f>SE(Doações!A483="";"";0)</f>
        <v/>
      </c>
    </row>
    <row r="983">
      <c r="A983">
        <f>SE(Doações!A484="";"";Doações!A484)</f>
        <v/>
      </c>
      <c r="B983">
        <f>SE(Doações!A484="";"";"Doação - "&amp;Doações!B484)</f>
        <v/>
      </c>
      <c r="C983">
        <f>SE(Doações!A484="";"";Doações!D484)</f>
        <v/>
      </c>
      <c r="D983">
        <f>SE(Doações!A484="";"";0)</f>
        <v/>
      </c>
    </row>
    <row r="984">
      <c r="A984">
        <f>SE(Doações!A485="";"";Doações!A485)</f>
        <v/>
      </c>
      <c r="B984">
        <f>SE(Doações!A485="";"";"Doação - "&amp;Doações!B485)</f>
        <v/>
      </c>
      <c r="C984">
        <f>SE(Doações!A485="";"";Doações!D485)</f>
        <v/>
      </c>
      <c r="D984">
        <f>SE(Doações!A485="";"";0)</f>
        <v/>
      </c>
    </row>
    <row r="985">
      <c r="A985">
        <f>SE(Doações!A486="";"";Doações!A486)</f>
        <v/>
      </c>
      <c r="B985">
        <f>SE(Doações!A486="";"";"Doação - "&amp;Doações!B486)</f>
        <v/>
      </c>
      <c r="C985">
        <f>SE(Doações!A486="";"";Doações!D486)</f>
        <v/>
      </c>
      <c r="D985">
        <f>SE(Doações!A486="";"";0)</f>
        <v/>
      </c>
    </row>
    <row r="986">
      <c r="A986">
        <f>SE(Doações!A487="";"";Doações!A487)</f>
        <v/>
      </c>
      <c r="B986">
        <f>SE(Doações!A487="";"";"Doação - "&amp;Doações!B487)</f>
        <v/>
      </c>
      <c r="C986">
        <f>SE(Doações!A487="";"";Doações!D487)</f>
        <v/>
      </c>
      <c r="D986">
        <f>SE(Doações!A487="";"";0)</f>
        <v/>
      </c>
    </row>
    <row r="987">
      <c r="A987">
        <f>SE(Doações!A488="";"";Doações!A488)</f>
        <v/>
      </c>
      <c r="B987">
        <f>SE(Doações!A488="";"";"Doação - "&amp;Doações!B488)</f>
        <v/>
      </c>
      <c r="C987">
        <f>SE(Doações!A488="";"";Doações!D488)</f>
        <v/>
      </c>
      <c r="D987">
        <f>SE(Doações!A488="";"";0)</f>
        <v/>
      </c>
    </row>
    <row r="988">
      <c r="A988">
        <f>SE(Doações!A489="";"";Doações!A489)</f>
        <v/>
      </c>
      <c r="B988">
        <f>SE(Doações!A489="";"";"Doação - "&amp;Doações!B489)</f>
        <v/>
      </c>
      <c r="C988">
        <f>SE(Doações!A489="";"";Doações!D489)</f>
        <v/>
      </c>
      <c r="D988">
        <f>SE(Doações!A489="";"";0)</f>
        <v/>
      </c>
    </row>
    <row r="989">
      <c r="A989">
        <f>SE(Doações!A490="";"";Doações!A490)</f>
        <v/>
      </c>
      <c r="B989">
        <f>SE(Doações!A490="";"";"Doação - "&amp;Doações!B490)</f>
        <v/>
      </c>
      <c r="C989">
        <f>SE(Doações!A490="";"";Doações!D490)</f>
        <v/>
      </c>
      <c r="D989">
        <f>SE(Doações!A490="";"";0)</f>
        <v/>
      </c>
    </row>
    <row r="990">
      <c r="A990">
        <f>SE(Doações!A491="";"";Doações!A491)</f>
        <v/>
      </c>
      <c r="B990">
        <f>SE(Doações!A491="";"";"Doação - "&amp;Doações!B491)</f>
        <v/>
      </c>
      <c r="C990">
        <f>SE(Doações!A491="";"";Doações!D491)</f>
        <v/>
      </c>
      <c r="D990">
        <f>SE(Doações!A491="";"";0)</f>
        <v/>
      </c>
    </row>
    <row r="991">
      <c r="A991">
        <f>SE(Doações!A492="";"";Doações!A492)</f>
        <v/>
      </c>
      <c r="B991">
        <f>SE(Doações!A492="";"";"Doação - "&amp;Doações!B492)</f>
        <v/>
      </c>
      <c r="C991">
        <f>SE(Doações!A492="";"";Doações!D492)</f>
        <v/>
      </c>
      <c r="D991">
        <f>SE(Doações!A492="";"";0)</f>
        <v/>
      </c>
    </row>
    <row r="992">
      <c r="A992">
        <f>SE(Doações!A493="";"";Doações!A493)</f>
        <v/>
      </c>
      <c r="B992">
        <f>SE(Doações!A493="";"";"Doação - "&amp;Doações!B493)</f>
        <v/>
      </c>
      <c r="C992">
        <f>SE(Doações!A493="";"";Doações!D493)</f>
        <v/>
      </c>
      <c r="D992">
        <f>SE(Doações!A493="";"";0)</f>
        <v/>
      </c>
    </row>
    <row r="993">
      <c r="A993">
        <f>SE(Doações!A494="";"";Doações!A494)</f>
        <v/>
      </c>
      <c r="B993">
        <f>SE(Doações!A494="";"";"Doação - "&amp;Doações!B494)</f>
        <v/>
      </c>
      <c r="C993">
        <f>SE(Doações!A494="";"";Doações!D494)</f>
        <v/>
      </c>
      <c r="D993">
        <f>SE(Doações!A494="";"";0)</f>
        <v/>
      </c>
    </row>
    <row r="994">
      <c r="A994">
        <f>SE(Doações!A495="";"";Doações!A495)</f>
        <v/>
      </c>
      <c r="B994">
        <f>SE(Doações!A495="";"";"Doação - "&amp;Doações!B495)</f>
        <v/>
      </c>
      <c r="C994">
        <f>SE(Doações!A495="";"";Doações!D495)</f>
        <v/>
      </c>
      <c r="D994">
        <f>SE(Doações!A495="";"";0)</f>
        <v/>
      </c>
    </row>
    <row r="995">
      <c r="A995">
        <f>SE(Doações!A496="";"";Doações!A496)</f>
        <v/>
      </c>
      <c r="B995">
        <f>SE(Doações!A496="";"";"Doação - "&amp;Doações!B496)</f>
        <v/>
      </c>
      <c r="C995">
        <f>SE(Doações!A496="";"";Doações!D496)</f>
        <v/>
      </c>
      <c r="D995">
        <f>SE(Doações!A496="";"";0)</f>
        <v/>
      </c>
    </row>
    <row r="996">
      <c r="A996">
        <f>SE(Doações!A497="";"";Doações!A497)</f>
        <v/>
      </c>
      <c r="B996">
        <f>SE(Doações!A497="";"";"Doação - "&amp;Doações!B497)</f>
        <v/>
      </c>
      <c r="C996">
        <f>SE(Doações!A497="";"";Doações!D497)</f>
        <v/>
      </c>
      <c r="D996">
        <f>SE(Doações!A497="";"";0)</f>
        <v/>
      </c>
    </row>
    <row r="997">
      <c r="A997">
        <f>SE(Doações!A498="";"";Doações!A498)</f>
        <v/>
      </c>
      <c r="B997">
        <f>SE(Doações!A498="";"";"Doação - "&amp;Doações!B498)</f>
        <v/>
      </c>
      <c r="C997">
        <f>SE(Doações!A498="";"";Doações!D498)</f>
        <v/>
      </c>
      <c r="D997">
        <f>SE(Doações!A498="";"";0)</f>
        <v/>
      </c>
    </row>
    <row r="998">
      <c r="A998">
        <f>SE(Doações!A499="";"";Doações!A499)</f>
        <v/>
      </c>
      <c r="B998">
        <f>SE(Doações!A499="";"";"Doação - "&amp;Doações!B499)</f>
        <v/>
      </c>
      <c r="C998">
        <f>SE(Doações!A499="";"";Doações!D499)</f>
        <v/>
      </c>
      <c r="D998">
        <f>SE(Doações!A499="";"";0)</f>
        <v/>
      </c>
    </row>
    <row r="999">
      <c r="A999">
        <f>SE(Doações!A500="";"";Doações!A500)</f>
        <v/>
      </c>
      <c r="B999">
        <f>SE(Doações!A500="";"";"Doação - "&amp;Doações!B500)</f>
        <v/>
      </c>
      <c r="C999">
        <f>SE(Doações!A500="";"";Doações!D500)</f>
        <v/>
      </c>
      <c r="D999">
        <f>SE(Doações!A500="";"";0)</f>
        <v/>
      </c>
    </row>
    <row r="1000">
      <c r="A1000">
        <f>SE(Doações!A501="";"";Doações!A501)</f>
        <v/>
      </c>
      <c r="B1000">
        <f>SE(Doações!A501="";"";"Doação - "&amp;Doações!B501)</f>
        <v/>
      </c>
      <c r="C1000">
        <f>SE(Doações!A501="";"";Doações!D501)</f>
        <v/>
      </c>
      <c r="D1000">
        <f>SE(Doações!A501="";"";0)</f>
        <v/>
      </c>
    </row>
    <row r="1001">
      <c r="A1001">
        <f>SE(Doações!A502="";"";Doações!A502)</f>
        <v/>
      </c>
      <c r="B1001">
        <f>SE(Doações!A502="";"";"Doação - "&amp;Doações!B502)</f>
        <v/>
      </c>
      <c r="C1001">
        <f>SE(Doações!A502="";"";Doações!D502)</f>
        <v/>
      </c>
      <c r="D1001">
        <f>SE(Doações!A502="";"";0)</f>
        <v/>
      </c>
    </row>
    <row r="1002">
      <c r="A1002">
        <f>SE('Arrecadação das Missas'!A3="";"";'Arrecadação das Missas'!A3)</f>
        <v/>
      </c>
      <c r="B1002">
        <f>SE('Arrecadação das Missas'!A3="";"";"Missas - "&amp;'Arrecadação das Missas'!B3)</f>
        <v/>
      </c>
      <c r="C1002">
        <f>SE('Arrecadação das Missas'!A3="";"";'Arrecadação das Missas'!D3)</f>
        <v/>
      </c>
      <c r="D1002">
        <f>SE('Arrecadação das Missas'!A3="";"";0)</f>
        <v/>
      </c>
    </row>
    <row r="1003">
      <c r="A1003">
        <f>SE('Arrecadação das Missas'!A4="";"";'Arrecadação das Missas'!A4)</f>
        <v/>
      </c>
      <c r="B1003">
        <f>SE('Arrecadação das Missas'!A4="";"";"Missas - "&amp;'Arrecadação das Missas'!B4)</f>
        <v/>
      </c>
      <c r="C1003">
        <f>SE('Arrecadação das Missas'!A4="";"";'Arrecadação das Missas'!D4)</f>
        <v/>
      </c>
      <c r="D1003">
        <f>SE('Arrecadação das Missas'!A4="";"";0)</f>
        <v/>
      </c>
    </row>
    <row r="1004">
      <c r="A1004">
        <f>SE('Arrecadação das Missas'!A5="";"";'Arrecadação das Missas'!A5)</f>
        <v/>
      </c>
      <c r="B1004">
        <f>SE('Arrecadação das Missas'!A5="";"";"Missas - "&amp;'Arrecadação das Missas'!B5)</f>
        <v/>
      </c>
      <c r="C1004">
        <f>SE('Arrecadação das Missas'!A5="";"";'Arrecadação das Missas'!D5)</f>
        <v/>
      </c>
      <c r="D1004">
        <f>SE('Arrecadação das Missas'!A5="";"";0)</f>
        <v/>
      </c>
    </row>
    <row r="1005">
      <c r="A1005">
        <f>SE('Arrecadação das Missas'!A6="";"";'Arrecadação das Missas'!A6)</f>
        <v/>
      </c>
      <c r="B1005">
        <f>SE('Arrecadação das Missas'!A6="";"";"Missas - "&amp;'Arrecadação das Missas'!B6)</f>
        <v/>
      </c>
      <c r="C1005">
        <f>SE('Arrecadação das Missas'!A6="";"";'Arrecadação das Missas'!D6)</f>
        <v/>
      </c>
      <c r="D1005">
        <f>SE('Arrecadação das Missas'!A6="";"";0)</f>
        <v/>
      </c>
    </row>
    <row r="1006">
      <c r="A1006">
        <f>SE('Arrecadação das Missas'!A7="";"";'Arrecadação das Missas'!A7)</f>
        <v/>
      </c>
      <c r="B1006">
        <f>SE('Arrecadação das Missas'!A7="";"";"Missas - "&amp;'Arrecadação das Missas'!B7)</f>
        <v/>
      </c>
      <c r="C1006">
        <f>SE('Arrecadação das Missas'!A7="";"";'Arrecadação das Missas'!D7)</f>
        <v/>
      </c>
      <c r="D1006">
        <f>SE('Arrecadação das Missas'!A7="";"";0)</f>
        <v/>
      </c>
    </row>
    <row r="1007">
      <c r="A1007">
        <f>SE('Arrecadação das Missas'!A8="";"";'Arrecadação das Missas'!A8)</f>
        <v/>
      </c>
      <c r="B1007">
        <f>SE('Arrecadação das Missas'!A8="";"";"Missas - "&amp;'Arrecadação das Missas'!B8)</f>
        <v/>
      </c>
      <c r="C1007">
        <f>SE('Arrecadação das Missas'!A8="";"";'Arrecadação das Missas'!D8)</f>
        <v/>
      </c>
      <c r="D1007">
        <f>SE('Arrecadação das Missas'!A8="";"";0)</f>
        <v/>
      </c>
    </row>
    <row r="1008">
      <c r="A1008">
        <f>SE('Arrecadação das Missas'!A9="";"";'Arrecadação das Missas'!A9)</f>
        <v/>
      </c>
      <c r="B1008">
        <f>SE('Arrecadação das Missas'!A9="";"";"Missas - "&amp;'Arrecadação das Missas'!B9)</f>
        <v/>
      </c>
      <c r="C1008">
        <f>SE('Arrecadação das Missas'!A9="";"";'Arrecadação das Missas'!D9)</f>
        <v/>
      </c>
      <c r="D1008">
        <f>SE('Arrecadação das Missas'!A9="";"";0)</f>
        <v/>
      </c>
    </row>
    <row r="1009">
      <c r="A1009">
        <f>SE('Arrecadação das Missas'!A10="";"";'Arrecadação das Missas'!A10)</f>
        <v/>
      </c>
      <c r="B1009">
        <f>SE('Arrecadação das Missas'!A10="";"";"Missas - "&amp;'Arrecadação das Missas'!B10)</f>
        <v/>
      </c>
      <c r="C1009">
        <f>SE('Arrecadação das Missas'!A10="";"";'Arrecadação das Missas'!D10)</f>
        <v/>
      </c>
      <c r="D1009">
        <f>SE('Arrecadação das Missas'!A10="";"";0)</f>
        <v/>
      </c>
    </row>
    <row r="1010">
      <c r="A1010">
        <f>SE('Arrecadação das Missas'!A11="";"";'Arrecadação das Missas'!A11)</f>
        <v/>
      </c>
      <c r="B1010">
        <f>SE('Arrecadação das Missas'!A11="";"";"Missas - "&amp;'Arrecadação das Missas'!B11)</f>
        <v/>
      </c>
      <c r="C1010">
        <f>SE('Arrecadação das Missas'!A11="";"";'Arrecadação das Missas'!D11)</f>
        <v/>
      </c>
      <c r="D1010">
        <f>SE('Arrecadação das Missas'!A11="";"";0)</f>
        <v/>
      </c>
    </row>
    <row r="1011">
      <c r="A1011">
        <f>SE('Arrecadação das Missas'!A12="";"";'Arrecadação das Missas'!A12)</f>
        <v/>
      </c>
      <c r="B1011">
        <f>SE('Arrecadação das Missas'!A12="";"";"Missas - "&amp;'Arrecadação das Missas'!B12)</f>
        <v/>
      </c>
      <c r="C1011">
        <f>SE('Arrecadação das Missas'!A12="";"";'Arrecadação das Missas'!D12)</f>
        <v/>
      </c>
      <c r="D1011">
        <f>SE('Arrecadação das Missas'!A12="";"";0)</f>
        <v/>
      </c>
    </row>
    <row r="1012">
      <c r="A1012">
        <f>SE('Arrecadação das Missas'!A13="";"";'Arrecadação das Missas'!A13)</f>
        <v/>
      </c>
      <c r="B1012">
        <f>SE('Arrecadação das Missas'!A13="";"";"Missas - "&amp;'Arrecadação das Missas'!B13)</f>
        <v/>
      </c>
      <c r="C1012">
        <f>SE('Arrecadação das Missas'!A13="";"";'Arrecadação das Missas'!D13)</f>
        <v/>
      </c>
      <c r="D1012">
        <f>SE('Arrecadação das Missas'!A13="";"";0)</f>
        <v/>
      </c>
    </row>
    <row r="1013">
      <c r="A1013">
        <f>SE('Arrecadação das Missas'!A14="";"";'Arrecadação das Missas'!A14)</f>
        <v/>
      </c>
      <c r="B1013">
        <f>SE('Arrecadação das Missas'!A14="";"";"Missas - "&amp;'Arrecadação das Missas'!B14)</f>
        <v/>
      </c>
      <c r="C1013">
        <f>SE('Arrecadação das Missas'!A14="";"";'Arrecadação das Missas'!D14)</f>
        <v/>
      </c>
      <c r="D1013">
        <f>SE('Arrecadação das Missas'!A14="";"";0)</f>
        <v/>
      </c>
    </row>
    <row r="1014">
      <c r="A1014">
        <f>SE('Arrecadação das Missas'!A15="";"";'Arrecadação das Missas'!A15)</f>
        <v/>
      </c>
      <c r="B1014">
        <f>SE('Arrecadação das Missas'!A15="";"";"Missas - "&amp;'Arrecadação das Missas'!B15)</f>
        <v/>
      </c>
      <c r="C1014">
        <f>SE('Arrecadação das Missas'!A15="";"";'Arrecadação das Missas'!D15)</f>
        <v/>
      </c>
      <c r="D1014">
        <f>SE('Arrecadação das Missas'!A15="";"";0)</f>
        <v/>
      </c>
    </row>
    <row r="1015">
      <c r="A1015">
        <f>SE('Arrecadação das Missas'!A16="";"";'Arrecadação das Missas'!A16)</f>
        <v/>
      </c>
      <c r="B1015">
        <f>SE('Arrecadação das Missas'!A16="";"";"Missas - "&amp;'Arrecadação das Missas'!B16)</f>
        <v/>
      </c>
      <c r="C1015">
        <f>SE('Arrecadação das Missas'!A16="";"";'Arrecadação das Missas'!D16)</f>
        <v/>
      </c>
      <c r="D1015">
        <f>SE('Arrecadação das Missas'!A16="";"";0)</f>
        <v/>
      </c>
    </row>
    <row r="1016">
      <c r="A1016">
        <f>SE('Arrecadação das Missas'!A17="";"";'Arrecadação das Missas'!A17)</f>
        <v/>
      </c>
      <c r="B1016">
        <f>SE('Arrecadação das Missas'!A17="";"";"Missas - "&amp;'Arrecadação das Missas'!B17)</f>
        <v/>
      </c>
      <c r="C1016">
        <f>SE('Arrecadação das Missas'!A17="";"";'Arrecadação das Missas'!D17)</f>
        <v/>
      </c>
      <c r="D1016">
        <f>SE('Arrecadação das Missas'!A17="";"";0)</f>
        <v/>
      </c>
    </row>
    <row r="1017">
      <c r="A1017">
        <f>SE('Arrecadação das Missas'!A18="";"";'Arrecadação das Missas'!A18)</f>
        <v/>
      </c>
      <c r="B1017">
        <f>SE('Arrecadação das Missas'!A18="";"";"Missas - "&amp;'Arrecadação das Missas'!B18)</f>
        <v/>
      </c>
      <c r="C1017">
        <f>SE('Arrecadação das Missas'!A18="";"";'Arrecadação das Missas'!D18)</f>
        <v/>
      </c>
      <c r="D1017">
        <f>SE('Arrecadação das Missas'!A18="";"";0)</f>
        <v/>
      </c>
    </row>
    <row r="1018">
      <c r="A1018">
        <f>SE('Arrecadação das Missas'!A19="";"";'Arrecadação das Missas'!A19)</f>
        <v/>
      </c>
      <c r="B1018">
        <f>SE('Arrecadação das Missas'!A19="";"";"Missas - "&amp;'Arrecadação das Missas'!B19)</f>
        <v/>
      </c>
      <c r="C1018">
        <f>SE('Arrecadação das Missas'!A19="";"";'Arrecadação das Missas'!D19)</f>
        <v/>
      </c>
      <c r="D1018">
        <f>SE('Arrecadação das Missas'!A19="";"";0)</f>
        <v/>
      </c>
    </row>
    <row r="1019">
      <c r="A1019">
        <f>SE('Arrecadação das Missas'!A20="";"";'Arrecadação das Missas'!A20)</f>
        <v/>
      </c>
      <c r="B1019">
        <f>SE('Arrecadação das Missas'!A20="";"";"Missas - "&amp;'Arrecadação das Missas'!B20)</f>
        <v/>
      </c>
      <c r="C1019">
        <f>SE('Arrecadação das Missas'!A20="";"";'Arrecadação das Missas'!D20)</f>
        <v/>
      </c>
      <c r="D1019">
        <f>SE('Arrecadação das Missas'!A20="";"";0)</f>
        <v/>
      </c>
    </row>
    <row r="1020">
      <c r="A1020">
        <f>SE('Arrecadação das Missas'!A21="";"";'Arrecadação das Missas'!A21)</f>
        <v/>
      </c>
      <c r="B1020">
        <f>SE('Arrecadação das Missas'!A21="";"";"Missas - "&amp;'Arrecadação das Missas'!B21)</f>
        <v/>
      </c>
      <c r="C1020">
        <f>SE('Arrecadação das Missas'!A21="";"";'Arrecadação das Missas'!D21)</f>
        <v/>
      </c>
      <c r="D1020">
        <f>SE('Arrecadação das Missas'!A21="";"";0)</f>
        <v/>
      </c>
    </row>
    <row r="1021">
      <c r="A1021">
        <f>SE('Arrecadação das Missas'!A22="";"";'Arrecadação das Missas'!A22)</f>
        <v/>
      </c>
      <c r="B1021">
        <f>SE('Arrecadação das Missas'!A22="";"";"Missas - "&amp;'Arrecadação das Missas'!B22)</f>
        <v/>
      </c>
      <c r="C1021">
        <f>SE('Arrecadação das Missas'!A22="";"";'Arrecadação das Missas'!D22)</f>
        <v/>
      </c>
      <c r="D1021">
        <f>SE('Arrecadação das Missas'!A22="";"";0)</f>
        <v/>
      </c>
    </row>
    <row r="1022">
      <c r="A1022">
        <f>SE('Arrecadação das Missas'!A23="";"";'Arrecadação das Missas'!A23)</f>
        <v/>
      </c>
      <c r="B1022">
        <f>SE('Arrecadação das Missas'!A23="";"";"Missas - "&amp;'Arrecadação das Missas'!B23)</f>
        <v/>
      </c>
      <c r="C1022">
        <f>SE('Arrecadação das Missas'!A23="";"";'Arrecadação das Missas'!D23)</f>
        <v/>
      </c>
      <c r="D1022">
        <f>SE('Arrecadação das Missas'!A23="";"";0)</f>
        <v/>
      </c>
    </row>
    <row r="1023">
      <c r="A1023">
        <f>SE('Arrecadação das Missas'!A24="";"";'Arrecadação das Missas'!A24)</f>
        <v/>
      </c>
      <c r="B1023">
        <f>SE('Arrecadação das Missas'!A24="";"";"Missas - "&amp;'Arrecadação das Missas'!B24)</f>
        <v/>
      </c>
      <c r="C1023">
        <f>SE('Arrecadação das Missas'!A24="";"";'Arrecadação das Missas'!D24)</f>
        <v/>
      </c>
      <c r="D1023">
        <f>SE('Arrecadação das Missas'!A24="";"";0)</f>
        <v/>
      </c>
    </row>
    <row r="1024">
      <c r="A1024">
        <f>SE('Arrecadação das Missas'!A25="";"";'Arrecadação das Missas'!A25)</f>
        <v/>
      </c>
      <c r="B1024">
        <f>SE('Arrecadação das Missas'!A25="";"";"Missas - "&amp;'Arrecadação das Missas'!B25)</f>
        <v/>
      </c>
      <c r="C1024">
        <f>SE('Arrecadação das Missas'!A25="";"";'Arrecadação das Missas'!D25)</f>
        <v/>
      </c>
      <c r="D1024">
        <f>SE('Arrecadação das Missas'!A25="";"";0)</f>
        <v/>
      </c>
    </row>
    <row r="1025">
      <c r="A1025">
        <f>SE('Arrecadação das Missas'!A26="";"";'Arrecadação das Missas'!A26)</f>
        <v/>
      </c>
      <c r="B1025">
        <f>SE('Arrecadação das Missas'!A26="";"";"Missas - "&amp;'Arrecadação das Missas'!B26)</f>
        <v/>
      </c>
      <c r="C1025">
        <f>SE('Arrecadação das Missas'!A26="";"";'Arrecadação das Missas'!D26)</f>
        <v/>
      </c>
      <c r="D1025">
        <f>SE('Arrecadação das Missas'!A26="";"";0)</f>
        <v/>
      </c>
    </row>
    <row r="1026">
      <c r="A1026">
        <f>SE('Arrecadação das Missas'!A27="";"";'Arrecadação das Missas'!A27)</f>
        <v/>
      </c>
      <c r="B1026">
        <f>SE('Arrecadação das Missas'!A27="";"";"Missas - "&amp;'Arrecadação das Missas'!B27)</f>
        <v/>
      </c>
      <c r="C1026">
        <f>SE('Arrecadação das Missas'!A27="";"";'Arrecadação das Missas'!D27)</f>
        <v/>
      </c>
      <c r="D1026">
        <f>SE('Arrecadação das Missas'!A27="";"";0)</f>
        <v/>
      </c>
    </row>
    <row r="1027">
      <c r="A1027">
        <f>SE('Arrecadação das Missas'!A28="";"";'Arrecadação das Missas'!A28)</f>
        <v/>
      </c>
      <c r="B1027">
        <f>SE('Arrecadação das Missas'!A28="";"";"Missas - "&amp;'Arrecadação das Missas'!B28)</f>
        <v/>
      </c>
      <c r="C1027">
        <f>SE('Arrecadação das Missas'!A28="";"";'Arrecadação das Missas'!D28)</f>
        <v/>
      </c>
      <c r="D1027">
        <f>SE('Arrecadação das Missas'!A28="";"";0)</f>
        <v/>
      </c>
    </row>
    <row r="1028">
      <c r="A1028">
        <f>SE('Arrecadação das Missas'!A29="";"";'Arrecadação das Missas'!A29)</f>
        <v/>
      </c>
      <c r="B1028">
        <f>SE('Arrecadação das Missas'!A29="";"";"Missas - "&amp;'Arrecadação das Missas'!B29)</f>
        <v/>
      </c>
      <c r="C1028">
        <f>SE('Arrecadação das Missas'!A29="";"";'Arrecadação das Missas'!D29)</f>
        <v/>
      </c>
      <c r="D1028">
        <f>SE('Arrecadação das Missas'!A29="";"";0)</f>
        <v/>
      </c>
    </row>
    <row r="1029">
      <c r="A1029">
        <f>SE('Arrecadação das Missas'!A30="";"";'Arrecadação das Missas'!A30)</f>
        <v/>
      </c>
      <c r="B1029">
        <f>SE('Arrecadação das Missas'!A30="";"";"Missas - "&amp;'Arrecadação das Missas'!B30)</f>
        <v/>
      </c>
      <c r="C1029">
        <f>SE('Arrecadação das Missas'!A30="";"";'Arrecadação das Missas'!D30)</f>
        <v/>
      </c>
      <c r="D1029">
        <f>SE('Arrecadação das Missas'!A30="";"";0)</f>
        <v/>
      </c>
    </row>
    <row r="1030">
      <c r="A1030">
        <f>SE('Arrecadação das Missas'!A31="";"";'Arrecadação das Missas'!A31)</f>
        <v/>
      </c>
      <c r="B1030">
        <f>SE('Arrecadação das Missas'!A31="";"";"Missas - "&amp;'Arrecadação das Missas'!B31)</f>
        <v/>
      </c>
      <c r="C1030">
        <f>SE('Arrecadação das Missas'!A31="";"";'Arrecadação das Missas'!D31)</f>
        <v/>
      </c>
      <c r="D1030">
        <f>SE('Arrecadação das Missas'!A31="";"";0)</f>
        <v/>
      </c>
    </row>
    <row r="1031">
      <c r="A1031">
        <f>SE('Arrecadação das Missas'!A32="";"";'Arrecadação das Missas'!A32)</f>
        <v/>
      </c>
      <c r="B1031">
        <f>SE('Arrecadação das Missas'!A32="";"";"Missas - "&amp;'Arrecadação das Missas'!B32)</f>
        <v/>
      </c>
      <c r="C1031">
        <f>SE('Arrecadação das Missas'!A32="";"";'Arrecadação das Missas'!D32)</f>
        <v/>
      </c>
      <c r="D1031">
        <f>SE('Arrecadação das Missas'!A32="";"";0)</f>
        <v/>
      </c>
    </row>
    <row r="1032">
      <c r="A1032">
        <f>SE('Arrecadação das Missas'!A33="";"";'Arrecadação das Missas'!A33)</f>
        <v/>
      </c>
      <c r="B1032">
        <f>SE('Arrecadação das Missas'!A33="";"";"Missas - "&amp;'Arrecadação das Missas'!B33)</f>
        <v/>
      </c>
      <c r="C1032">
        <f>SE('Arrecadação das Missas'!A33="";"";'Arrecadação das Missas'!D33)</f>
        <v/>
      </c>
      <c r="D1032">
        <f>SE('Arrecadação das Missas'!A33="";"";0)</f>
        <v/>
      </c>
    </row>
    <row r="1033">
      <c r="A1033">
        <f>SE('Arrecadação das Missas'!A34="";"";'Arrecadação das Missas'!A34)</f>
        <v/>
      </c>
      <c r="B1033">
        <f>SE('Arrecadação das Missas'!A34="";"";"Missas - "&amp;'Arrecadação das Missas'!B34)</f>
        <v/>
      </c>
      <c r="C1033">
        <f>SE('Arrecadação das Missas'!A34="";"";'Arrecadação das Missas'!D34)</f>
        <v/>
      </c>
      <c r="D1033">
        <f>SE('Arrecadação das Missas'!A34="";"";0)</f>
        <v/>
      </c>
    </row>
    <row r="1034">
      <c r="A1034">
        <f>SE('Arrecadação das Missas'!A35="";"";'Arrecadação das Missas'!A35)</f>
        <v/>
      </c>
      <c r="B1034">
        <f>SE('Arrecadação das Missas'!A35="";"";"Missas - "&amp;'Arrecadação das Missas'!B35)</f>
        <v/>
      </c>
      <c r="C1034">
        <f>SE('Arrecadação das Missas'!A35="";"";'Arrecadação das Missas'!D35)</f>
        <v/>
      </c>
      <c r="D1034">
        <f>SE('Arrecadação das Missas'!A35="";"";0)</f>
        <v/>
      </c>
    </row>
    <row r="1035">
      <c r="A1035">
        <f>SE('Arrecadação das Missas'!A36="";"";'Arrecadação das Missas'!A36)</f>
        <v/>
      </c>
      <c r="B1035">
        <f>SE('Arrecadação das Missas'!A36="";"";"Missas - "&amp;'Arrecadação das Missas'!B36)</f>
        <v/>
      </c>
      <c r="C1035">
        <f>SE('Arrecadação das Missas'!A36="";"";'Arrecadação das Missas'!D36)</f>
        <v/>
      </c>
      <c r="D1035">
        <f>SE('Arrecadação das Missas'!A36="";"";0)</f>
        <v/>
      </c>
    </row>
    <row r="1036">
      <c r="A1036">
        <f>SE('Arrecadação das Missas'!A37="";"";'Arrecadação das Missas'!A37)</f>
        <v/>
      </c>
      <c r="B1036">
        <f>SE('Arrecadação das Missas'!A37="";"";"Missas - "&amp;'Arrecadação das Missas'!B37)</f>
        <v/>
      </c>
      <c r="C1036">
        <f>SE('Arrecadação das Missas'!A37="";"";'Arrecadação das Missas'!D37)</f>
        <v/>
      </c>
      <c r="D1036">
        <f>SE('Arrecadação das Missas'!A37="";"";0)</f>
        <v/>
      </c>
    </row>
    <row r="1037">
      <c r="A1037">
        <f>SE('Arrecadação das Missas'!A38="";"";'Arrecadação das Missas'!A38)</f>
        <v/>
      </c>
      <c r="B1037">
        <f>SE('Arrecadação das Missas'!A38="";"";"Missas - "&amp;'Arrecadação das Missas'!B38)</f>
        <v/>
      </c>
      <c r="C1037">
        <f>SE('Arrecadação das Missas'!A38="";"";'Arrecadação das Missas'!D38)</f>
        <v/>
      </c>
      <c r="D1037">
        <f>SE('Arrecadação das Missas'!A38="";"";0)</f>
        <v/>
      </c>
    </row>
    <row r="1038">
      <c r="A1038">
        <f>SE('Arrecadação das Missas'!A39="";"";'Arrecadação das Missas'!A39)</f>
        <v/>
      </c>
      <c r="B1038">
        <f>SE('Arrecadação das Missas'!A39="";"";"Missas - "&amp;'Arrecadação das Missas'!B39)</f>
        <v/>
      </c>
      <c r="C1038">
        <f>SE('Arrecadação das Missas'!A39="";"";'Arrecadação das Missas'!D39)</f>
        <v/>
      </c>
      <c r="D1038">
        <f>SE('Arrecadação das Missas'!A39="";"";0)</f>
        <v/>
      </c>
    </row>
    <row r="1039">
      <c r="A1039">
        <f>SE('Arrecadação das Missas'!A40="";"";'Arrecadação das Missas'!A40)</f>
        <v/>
      </c>
      <c r="B1039">
        <f>SE('Arrecadação das Missas'!A40="";"";"Missas - "&amp;'Arrecadação das Missas'!B40)</f>
        <v/>
      </c>
      <c r="C1039">
        <f>SE('Arrecadação das Missas'!A40="";"";'Arrecadação das Missas'!D40)</f>
        <v/>
      </c>
      <c r="D1039">
        <f>SE('Arrecadação das Missas'!A40="";"";0)</f>
        <v/>
      </c>
    </row>
    <row r="1040">
      <c r="A1040">
        <f>SE('Arrecadação das Missas'!A41="";"";'Arrecadação das Missas'!A41)</f>
        <v/>
      </c>
      <c r="B1040">
        <f>SE('Arrecadação das Missas'!A41="";"";"Missas - "&amp;'Arrecadação das Missas'!B41)</f>
        <v/>
      </c>
      <c r="C1040">
        <f>SE('Arrecadação das Missas'!A41="";"";'Arrecadação das Missas'!D41)</f>
        <v/>
      </c>
      <c r="D1040">
        <f>SE('Arrecadação das Missas'!A41="";"";0)</f>
        <v/>
      </c>
    </row>
    <row r="1041">
      <c r="A1041">
        <f>SE('Arrecadação das Missas'!A42="";"";'Arrecadação das Missas'!A42)</f>
        <v/>
      </c>
      <c r="B1041">
        <f>SE('Arrecadação das Missas'!A42="";"";"Missas - "&amp;'Arrecadação das Missas'!B42)</f>
        <v/>
      </c>
      <c r="C1041">
        <f>SE('Arrecadação das Missas'!A42="";"";'Arrecadação das Missas'!D42)</f>
        <v/>
      </c>
      <c r="D1041">
        <f>SE('Arrecadação das Missas'!A42="";"";0)</f>
        <v/>
      </c>
    </row>
    <row r="1042">
      <c r="A1042">
        <f>SE('Arrecadação das Missas'!A43="";"";'Arrecadação das Missas'!A43)</f>
        <v/>
      </c>
      <c r="B1042">
        <f>SE('Arrecadação das Missas'!A43="";"";"Missas - "&amp;'Arrecadação das Missas'!B43)</f>
        <v/>
      </c>
      <c r="C1042">
        <f>SE('Arrecadação das Missas'!A43="";"";'Arrecadação das Missas'!D43)</f>
        <v/>
      </c>
      <c r="D1042">
        <f>SE('Arrecadação das Missas'!A43="";"";0)</f>
        <v/>
      </c>
    </row>
    <row r="1043">
      <c r="A1043">
        <f>SE('Arrecadação das Missas'!A44="";"";'Arrecadação das Missas'!A44)</f>
        <v/>
      </c>
      <c r="B1043">
        <f>SE('Arrecadação das Missas'!A44="";"";"Missas - "&amp;'Arrecadação das Missas'!B44)</f>
        <v/>
      </c>
      <c r="C1043">
        <f>SE('Arrecadação das Missas'!A44="";"";'Arrecadação das Missas'!D44)</f>
        <v/>
      </c>
      <c r="D1043">
        <f>SE('Arrecadação das Missas'!A44="";"";0)</f>
        <v/>
      </c>
    </row>
    <row r="1044">
      <c r="A1044">
        <f>SE('Arrecadação das Missas'!A45="";"";'Arrecadação das Missas'!A45)</f>
        <v/>
      </c>
      <c r="B1044">
        <f>SE('Arrecadação das Missas'!A45="";"";"Missas - "&amp;'Arrecadação das Missas'!B45)</f>
        <v/>
      </c>
      <c r="C1044">
        <f>SE('Arrecadação das Missas'!A45="";"";'Arrecadação das Missas'!D45)</f>
        <v/>
      </c>
      <c r="D1044">
        <f>SE('Arrecadação das Missas'!A45="";"";0)</f>
        <v/>
      </c>
    </row>
    <row r="1045">
      <c r="A1045">
        <f>SE('Arrecadação das Missas'!A46="";"";'Arrecadação das Missas'!A46)</f>
        <v/>
      </c>
      <c r="B1045">
        <f>SE('Arrecadação das Missas'!A46="";"";"Missas - "&amp;'Arrecadação das Missas'!B46)</f>
        <v/>
      </c>
      <c r="C1045">
        <f>SE('Arrecadação das Missas'!A46="";"";'Arrecadação das Missas'!D46)</f>
        <v/>
      </c>
      <c r="D1045">
        <f>SE('Arrecadação das Missas'!A46="";"";0)</f>
        <v/>
      </c>
    </row>
    <row r="1046">
      <c r="A1046">
        <f>SE('Arrecadação das Missas'!A47="";"";'Arrecadação das Missas'!A47)</f>
        <v/>
      </c>
      <c r="B1046">
        <f>SE('Arrecadação das Missas'!A47="";"";"Missas - "&amp;'Arrecadação das Missas'!B47)</f>
        <v/>
      </c>
      <c r="C1046">
        <f>SE('Arrecadação das Missas'!A47="";"";'Arrecadação das Missas'!D47)</f>
        <v/>
      </c>
      <c r="D1046">
        <f>SE('Arrecadação das Missas'!A47="";"";0)</f>
        <v/>
      </c>
    </row>
    <row r="1047">
      <c r="A1047">
        <f>SE('Arrecadação das Missas'!A48="";"";'Arrecadação das Missas'!A48)</f>
        <v/>
      </c>
      <c r="B1047">
        <f>SE('Arrecadação das Missas'!A48="";"";"Missas - "&amp;'Arrecadação das Missas'!B48)</f>
        <v/>
      </c>
      <c r="C1047">
        <f>SE('Arrecadação das Missas'!A48="";"";'Arrecadação das Missas'!D48)</f>
        <v/>
      </c>
      <c r="D1047">
        <f>SE('Arrecadação das Missas'!A48="";"";0)</f>
        <v/>
      </c>
    </row>
    <row r="1048">
      <c r="A1048">
        <f>SE('Arrecadação das Missas'!A49="";"";'Arrecadação das Missas'!A49)</f>
        <v/>
      </c>
      <c r="B1048">
        <f>SE('Arrecadação das Missas'!A49="";"";"Missas - "&amp;'Arrecadação das Missas'!B49)</f>
        <v/>
      </c>
      <c r="C1048">
        <f>SE('Arrecadação das Missas'!A49="";"";'Arrecadação das Missas'!D49)</f>
        <v/>
      </c>
      <c r="D1048">
        <f>SE('Arrecadação das Missas'!A49="";"";0)</f>
        <v/>
      </c>
    </row>
    <row r="1049">
      <c r="A1049">
        <f>SE('Arrecadação das Missas'!A50="";"";'Arrecadação das Missas'!A50)</f>
        <v/>
      </c>
      <c r="B1049">
        <f>SE('Arrecadação das Missas'!A50="";"";"Missas - "&amp;'Arrecadação das Missas'!B50)</f>
        <v/>
      </c>
      <c r="C1049">
        <f>SE('Arrecadação das Missas'!A50="";"";'Arrecadação das Missas'!D50)</f>
        <v/>
      </c>
      <c r="D1049">
        <f>SE('Arrecadação das Missas'!A50="";"";0)</f>
        <v/>
      </c>
    </row>
    <row r="1050">
      <c r="A1050">
        <f>SE('Arrecadação das Missas'!A51="";"";'Arrecadação das Missas'!A51)</f>
        <v/>
      </c>
      <c r="B1050">
        <f>SE('Arrecadação das Missas'!A51="";"";"Missas - "&amp;'Arrecadação das Missas'!B51)</f>
        <v/>
      </c>
      <c r="C1050">
        <f>SE('Arrecadação das Missas'!A51="";"";'Arrecadação das Missas'!D51)</f>
        <v/>
      </c>
      <c r="D1050">
        <f>SE('Arrecadação das Missas'!A51="";"";0)</f>
        <v/>
      </c>
    </row>
    <row r="1051">
      <c r="A1051">
        <f>SE('Arrecadação das Missas'!A52="";"";'Arrecadação das Missas'!A52)</f>
        <v/>
      </c>
      <c r="B1051">
        <f>SE('Arrecadação das Missas'!A52="";"";"Missas - "&amp;'Arrecadação das Missas'!B52)</f>
        <v/>
      </c>
      <c r="C1051">
        <f>SE('Arrecadação das Missas'!A52="";"";'Arrecadação das Missas'!D52)</f>
        <v/>
      </c>
      <c r="D1051">
        <f>SE('Arrecadação das Missas'!A52="";"";0)</f>
        <v/>
      </c>
    </row>
    <row r="1052">
      <c r="A1052">
        <f>SE('Arrecadação das Missas'!A53="";"";'Arrecadação das Missas'!A53)</f>
        <v/>
      </c>
      <c r="B1052">
        <f>SE('Arrecadação das Missas'!A53="";"";"Missas - "&amp;'Arrecadação das Missas'!B53)</f>
        <v/>
      </c>
      <c r="C1052">
        <f>SE('Arrecadação das Missas'!A53="";"";'Arrecadação das Missas'!D53)</f>
        <v/>
      </c>
      <c r="D1052">
        <f>SE('Arrecadação das Missas'!A53="";"";0)</f>
        <v/>
      </c>
    </row>
    <row r="1053">
      <c r="A1053">
        <f>SE('Arrecadação das Missas'!A54="";"";'Arrecadação das Missas'!A54)</f>
        <v/>
      </c>
      <c r="B1053">
        <f>SE('Arrecadação das Missas'!A54="";"";"Missas - "&amp;'Arrecadação das Missas'!B54)</f>
        <v/>
      </c>
      <c r="C1053">
        <f>SE('Arrecadação das Missas'!A54="";"";'Arrecadação das Missas'!D54)</f>
        <v/>
      </c>
      <c r="D1053">
        <f>SE('Arrecadação das Missas'!A54="";"";0)</f>
        <v/>
      </c>
    </row>
    <row r="1054">
      <c r="A1054">
        <f>SE('Arrecadação das Missas'!A55="";"";'Arrecadação das Missas'!A55)</f>
        <v/>
      </c>
      <c r="B1054">
        <f>SE('Arrecadação das Missas'!A55="";"";"Missas - "&amp;'Arrecadação das Missas'!B55)</f>
        <v/>
      </c>
      <c r="C1054">
        <f>SE('Arrecadação das Missas'!A55="";"";'Arrecadação das Missas'!D55)</f>
        <v/>
      </c>
      <c r="D1054">
        <f>SE('Arrecadação das Missas'!A55="";"";0)</f>
        <v/>
      </c>
    </row>
    <row r="1055">
      <c r="A1055">
        <f>SE('Arrecadação das Missas'!A56="";"";'Arrecadação das Missas'!A56)</f>
        <v/>
      </c>
      <c r="B1055">
        <f>SE('Arrecadação das Missas'!A56="";"";"Missas - "&amp;'Arrecadação das Missas'!B56)</f>
        <v/>
      </c>
      <c r="C1055">
        <f>SE('Arrecadação das Missas'!A56="";"";'Arrecadação das Missas'!D56)</f>
        <v/>
      </c>
      <c r="D1055">
        <f>SE('Arrecadação das Missas'!A56="";"";0)</f>
        <v/>
      </c>
    </row>
    <row r="1056">
      <c r="A1056">
        <f>SE('Arrecadação das Missas'!A57="";"";'Arrecadação das Missas'!A57)</f>
        <v/>
      </c>
      <c r="B1056">
        <f>SE('Arrecadação das Missas'!A57="";"";"Missas - "&amp;'Arrecadação das Missas'!B57)</f>
        <v/>
      </c>
      <c r="C1056">
        <f>SE('Arrecadação das Missas'!A57="";"";'Arrecadação das Missas'!D57)</f>
        <v/>
      </c>
      <c r="D1056">
        <f>SE('Arrecadação das Missas'!A57="";"";0)</f>
        <v/>
      </c>
    </row>
    <row r="1057">
      <c r="A1057">
        <f>SE('Arrecadação das Missas'!A58="";"";'Arrecadação das Missas'!A58)</f>
        <v/>
      </c>
      <c r="B1057">
        <f>SE('Arrecadação das Missas'!A58="";"";"Missas - "&amp;'Arrecadação das Missas'!B58)</f>
        <v/>
      </c>
      <c r="C1057">
        <f>SE('Arrecadação das Missas'!A58="";"";'Arrecadação das Missas'!D58)</f>
        <v/>
      </c>
      <c r="D1057">
        <f>SE('Arrecadação das Missas'!A58="";"";0)</f>
        <v/>
      </c>
    </row>
    <row r="1058">
      <c r="A1058">
        <f>SE('Arrecadação das Missas'!A59="";"";'Arrecadação das Missas'!A59)</f>
        <v/>
      </c>
      <c r="B1058">
        <f>SE('Arrecadação das Missas'!A59="";"";"Missas - "&amp;'Arrecadação das Missas'!B59)</f>
        <v/>
      </c>
      <c r="C1058">
        <f>SE('Arrecadação das Missas'!A59="";"";'Arrecadação das Missas'!D59)</f>
        <v/>
      </c>
      <c r="D1058">
        <f>SE('Arrecadação das Missas'!A59="";"";0)</f>
        <v/>
      </c>
    </row>
    <row r="1059">
      <c r="A1059">
        <f>SE('Arrecadação das Missas'!A60="";"";'Arrecadação das Missas'!A60)</f>
        <v/>
      </c>
      <c r="B1059">
        <f>SE('Arrecadação das Missas'!A60="";"";"Missas - "&amp;'Arrecadação das Missas'!B60)</f>
        <v/>
      </c>
      <c r="C1059">
        <f>SE('Arrecadação das Missas'!A60="";"";'Arrecadação das Missas'!D60)</f>
        <v/>
      </c>
      <c r="D1059">
        <f>SE('Arrecadação das Missas'!A60="";"";0)</f>
        <v/>
      </c>
    </row>
    <row r="1060">
      <c r="A1060">
        <f>SE('Arrecadação das Missas'!A61="";"";'Arrecadação das Missas'!A61)</f>
        <v/>
      </c>
      <c r="B1060">
        <f>SE('Arrecadação das Missas'!A61="";"";"Missas - "&amp;'Arrecadação das Missas'!B61)</f>
        <v/>
      </c>
      <c r="C1060">
        <f>SE('Arrecadação das Missas'!A61="";"";'Arrecadação das Missas'!D61)</f>
        <v/>
      </c>
      <c r="D1060">
        <f>SE('Arrecadação das Missas'!A61="";"";0)</f>
        <v/>
      </c>
    </row>
    <row r="1061">
      <c r="A1061">
        <f>SE('Arrecadação das Missas'!A62="";"";'Arrecadação das Missas'!A62)</f>
        <v/>
      </c>
      <c r="B1061">
        <f>SE('Arrecadação das Missas'!A62="";"";"Missas - "&amp;'Arrecadação das Missas'!B62)</f>
        <v/>
      </c>
      <c r="C1061">
        <f>SE('Arrecadação das Missas'!A62="";"";'Arrecadação das Missas'!D62)</f>
        <v/>
      </c>
      <c r="D1061">
        <f>SE('Arrecadação das Missas'!A62="";"";0)</f>
        <v/>
      </c>
    </row>
    <row r="1062">
      <c r="A1062">
        <f>SE('Arrecadação das Missas'!A63="";"";'Arrecadação das Missas'!A63)</f>
        <v/>
      </c>
      <c r="B1062">
        <f>SE('Arrecadação das Missas'!A63="";"";"Missas - "&amp;'Arrecadação das Missas'!B63)</f>
        <v/>
      </c>
      <c r="C1062">
        <f>SE('Arrecadação das Missas'!A63="";"";'Arrecadação das Missas'!D63)</f>
        <v/>
      </c>
      <c r="D1062">
        <f>SE('Arrecadação das Missas'!A63="";"";0)</f>
        <v/>
      </c>
    </row>
    <row r="1063">
      <c r="A1063">
        <f>SE('Arrecadação das Missas'!A64="";"";'Arrecadação das Missas'!A64)</f>
        <v/>
      </c>
      <c r="B1063">
        <f>SE('Arrecadação das Missas'!A64="";"";"Missas - "&amp;'Arrecadação das Missas'!B64)</f>
        <v/>
      </c>
      <c r="C1063">
        <f>SE('Arrecadação das Missas'!A64="";"";'Arrecadação das Missas'!D64)</f>
        <v/>
      </c>
      <c r="D1063">
        <f>SE('Arrecadação das Missas'!A64="";"";0)</f>
        <v/>
      </c>
    </row>
    <row r="1064">
      <c r="A1064">
        <f>SE('Arrecadação das Missas'!A65="";"";'Arrecadação das Missas'!A65)</f>
        <v/>
      </c>
      <c r="B1064">
        <f>SE('Arrecadação das Missas'!A65="";"";"Missas - "&amp;'Arrecadação das Missas'!B65)</f>
        <v/>
      </c>
      <c r="C1064">
        <f>SE('Arrecadação das Missas'!A65="";"";'Arrecadação das Missas'!D65)</f>
        <v/>
      </c>
      <c r="D1064">
        <f>SE('Arrecadação das Missas'!A65="";"";0)</f>
        <v/>
      </c>
    </row>
    <row r="1065">
      <c r="A1065">
        <f>SE('Arrecadação das Missas'!A66="";"";'Arrecadação das Missas'!A66)</f>
        <v/>
      </c>
      <c r="B1065">
        <f>SE('Arrecadação das Missas'!A66="";"";"Missas - "&amp;'Arrecadação das Missas'!B66)</f>
        <v/>
      </c>
      <c r="C1065">
        <f>SE('Arrecadação das Missas'!A66="";"";'Arrecadação das Missas'!D66)</f>
        <v/>
      </c>
      <c r="D1065">
        <f>SE('Arrecadação das Missas'!A66="";"";0)</f>
        <v/>
      </c>
    </row>
    <row r="1066">
      <c r="A1066">
        <f>SE('Arrecadação das Missas'!A67="";"";'Arrecadação das Missas'!A67)</f>
        <v/>
      </c>
      <c r="B1066">
        <f>SE('Arrecadação das Missas'!A67="";"";"Missas - "&amp;'Arrecadação das Missas'!B67)</f>
        <v/>
      </c>
      <c r="C1066">
        <f>SE('Arrecadação das Missas'!A67="";"";'Arrecadação das Missas'!D67)</f>
        <v/>
      </c>
      <c r="D1066">
        <f>SE('Arrecadação das Missas'!A67="";"";0)</f>
        <v/>
      </c>
    </row>
    <row r="1067">
      <c r="A1067">
        <f>SE('Arrecadação das Missas'!A68="";"";'Arrecadação das Missas'!A68)</f>
        <v/>
      </c>
      <c r="B1067">
        <f>SE('Arrecadação das Missas'!A68="";"";"Missas - "&amp;'Arrecadação das Missas'!B68)</f>
        <v/>
      </c>
      <c r="C1067">
        <f>SE('Arrecadação das Missas'!A68="";"";'Arrecadação das Missas'!D68)</f>
        <v/>
      </c>
      <c r="D1067">
        <f>SE('Arrecadação das Missas'!A68="";"";0)</f>
        <v/>
      </c>
    </row>
    <row r="1068">
      <c r="A1068">
        <f>SE('Arrecadação das Missas'!A69="";"";'Arrecadação das Missas'!A69)</f>
        <v/>
      </c>
      <c r="B1068">
        <f>SE('Arrecadação das Missas'!A69="";"";"Missas - "&amp;'Arrecadação das Missas'!B69)</f>
        <v/>
      </c>
      <c r="C1068">
        <f>SE('Arrecadação das Missas'!A69="";"";'Arrecadação das Missas'!D69)</f>
        <v/>
      </c>
      <c r="D1068">
        <f>SE('Arrecadação das Missas'!A69="";"";0)</f>
        <v/>
      </c>
    </row>
    <row r="1069">
      <c r="A1069">
        <f>SE('Arrecadação das Missas'!A70="";"";'Arrecadação das Missas'!A70)</f>
        <v/>
      </c>
      <c r="B1069">
        <f>SE('Arrecadação das Missas'!A70="";"";"Missas - "&amp;'Arrecadação das Missas'!B70)</f>
        <v/>
      </c>
      <c r="C1069">
        <f>SE('Arrecadação das Missas'!A70="";"";'Arrecadação das Missas'!D70)</f>
        <v/>
      </c>
      <c r="D1069">
        <f>SE('Arrecadação das Missas'!A70="";"";0)</f>
        <v/>
      </c>
    </row>
    <row r="1070">
      <c r="A1070">
        <f>SE('Arrecadação das Missas'!A71="";"";'Arrecadação das Missas'!A71)</f>
        <v/>
      </c>
      <c r="B1070">
        <f>SE('Arrecadação das Missas'!A71="";"";"Missas - "&amp;'Arrecadação das Missas'!B71)</f>
        <v/>
      </c>
      <c r="C1070">
        <f>SE('Arrecadação das Missas'!A71="";"";'Arrecadação das Missas'!D71)</f>
        <v/>
      </c>
      <c r="D1070">
        <f>SE('Arrecadação das Missas'!A71="";"";0)</f>
        <v/>
      </c>
    </row>
    <row r="1071">
      <c r="A1071">
        <f>SE('Arrecadação das Missas'!A72="";"";'Arrecadação das Missas'!A72)</f>
        <v/>
      </c>
      <c r="B1071">
        <f>SE('Arrecadação das Missas'!A72="";"";"Missas - "&amp;'Arrecadação das Missas'!B72)</f>
        <v/>
      </c>
      <c r="C1071">
        <f>SE('Arrecadação das Missas'!A72="";"";'Arrecadação das Missas'!D72)</f>
        <v/>
      </c>
      <c r="D1071">
        <f>SE('Arrecadação das Missas'!A72="";"";0)</f>
        <v/>
      </c>
    </row>
    <row r="1072">
      <c r="A1072">
        <f>SE('Arrecadação das Missas'!A73="";"";'Arrecadação das Missas'!A73)</f>
        <v/>
      </c>
      <c r="B1072">
        <f>SE('Arrecadação das Missas'!A73="";"";"Missas - "&amp;'Arrecadação das Missas'!B73)</f>
        <v/>
      </c>
      <c r="C1072">
        <f>SE('Arrecadação das Missas'!A73="";"";'Arrecadação das Missas'!D73)</f>
        <v/>
      </c>
      <c r="D1072">
        <f>SE('Arrecadação das Missas'!A73="";"";0)</f>
        <v/>
      </c>
    </row>
    <row r="1073">
      <c r="A1073">
        <f>SE('Arrecadação das Missas'!A74="";"";'Arrecadação das Missas'!A74)</f>
        <v/>
      </c>
      <c r="B1073">
        <f>SE('Arrecadação das Missas'!A74="";"";"Missas - "&amp;'Arrecadação das Missas'!B74)</f>
        <v/>
      </c>
      <c r="C1073">
        <f>SE('Arrecadação das Missas'!A74="";"";'Arrecadação das Missas'!D74)</f>
        <v/>
      </c>
      <c r="D1073">
        <f>SE('Arrecadação das Missas'!A74="";"";0)</f>
        <v/>
      </c>
    </row>
    <row r="1074">
      <c r="A1074">
        <f>SE('Arrecadação das Missas'!A75="";"";'Arrecadação das Missas'!A75)</f>
        <v/>
      </c>
      <c r="B1074">
        <f>SE('Arrecadação das Missas'!A75="";"";"Missas - "&amp;'Arrecadação das Missas'!B75)</f>
        <v/>
      </c>
      <c r="C1074">
        <f>SE('Arrecadação das Missas'!A75="";"";'Arrecadação das Missas'!D75)</f>
        <v/>
      </c>
      <c r="D1074">
        <f>SE('Arrecadação das Missas'!A75="";"";0)</f>
        <v/>
      </c>
    </row>
    <row r="1075">
      <c r="A1075">
        <f>SE('Arrecadação das Missas'!A76="";"";'Arrecadação das Missas'!A76)</f>
        <v/>
      </c>
      <c r="B1075">
        <f>SE('Arrecadação das Missas'!A76="";"";"Missas - "&amp;'Arrecadação das Missas'!B76)</f>
        <v/>
      </c>
      <c r="C1075">
        <f>SE('Arrecadação das Missas'!A76="";"";'Arrecadação das Missas'!D76)</f>
        <v/>
      </c>
      <c r="D1075">
        <f>SE('Arrecadação das Missas'!A76="";"";0)</f>
        <v/>
      </c>
    </row>
    <row r="1076">
      <c r="A1076">
        <f>SE('Arrecadação das Missas'!A77="";"";'Arrecadação das Missas'!A77)</f>
        <v/>
      </c>
      <c r="B1076">
        <f>SE('Arrecadação das Missas'!A77="";"";"Missas - "&amp;'Arrecadação das Missas'!B77)</f>
        <v/>
      </c>
      <c r="C1076">
        <f>SE('Arrecadação das Missas'!A77="";"";'Arrecadação das Missas'!D77)</f>
        <v/>
      </c>
      <c r="D1076">
        <f>SE('Arrecadação das Missas'!A77="";"";0)</f>
        <v/>
      </c>
    </row>
    <row r="1077">
      <c r="A1077">
        <f>SE('Arrecadação das Missas'!A78="";"";'Arrecadação das Missas'!A78)</f>
        <v/>
      </c>
      <c r="B1077">
        <f>SE('Arrecadação das Missas'!A78="";"";"Missas - "&amp;'Arrecadação das Missas'!B78)</f>
        <v/>
      </c>
      <c r="C1077">
        <f>SE('Arrecadação das Missas'!A78="";"";'Arrecadação das Missas'!D78)</f>
        <v/>
      </c>
      <c r="D1077">
        <f>SE('Arrecadação das Missas'!A78="";"";0)</f>
        <v/>
      </c>
    </row>
    <row r="1078">
      <c r="A1078">
        <f>SE('Arrecadação das Missas'!A79="";"";'Arrecadação das Missas'!A79)</f>
        <v/>
      </c>
      <c r="B1078">
        <f>SE('Arrecadação das Missas'!A79="";"";"Missas - "&amp;'Arrecadação das Missas'!B79)</f>
        <v/>
      </c>
      <c r="C1078">
        <f>SE('Arrecadação das Missas'!A79="";"";'Arrecadação das Missas'!D79)</f>
        <v/>
      </c>
      <c r="D1078">
        <f>SE('Arrecadação das Missas'!A79="";"";0)</f>
        <v/>
      </c>
    </row>
    <row r="1079">
      <c r="A1079">
        <f>SE('Arrecadação das Missas'!A80="";"";'Arrecadação das Missas'!A80)</f>
        <v/>
      </c>
      <c r="B1079">
        <f>SE('Arrecadação das Missas'!A80="";"";"Missas - "&amp;'Arrecadação das Missas'!B80)</f>
        <v/>
      </c>
      <c r="C1079">
        <f>SE('Arrecadação das Missas'!A80="";"";'Arrecadação das Missas'!D80)</f>
        <v/>
      </c>
      <c r="D1079">
        <f>SE('Arrecadação das Missas'!A80="";"";0)</f>
        <v/>
      </c>
    </row>
    <row r="1080">
      <c r="A1080">
        <f>SE('Arrecadação das Missas'!A81="";"";'Arrecadação das Missas'!A81)</f>
        <v/>
      </c>
      <c r="B1080">
        <f>SE('Arrecadação das Missas'!A81="";"";"Missas - "&amp;'Arrecadação das Missas'!B81)</f>
        <v/>
      </c>
      <c r="C1080">
        <f>SE('Arrecadação das Missas'!A81="";"";'Arrecadação das Missas'!D81)</f>
        <v/>
      </c>
      <c r="D1080">
        <f>SE('Arrecadação das Missas'!A81="";"";0)</f>
        <v/>
      </c>
    </row>
    <row r="1081">
      <c r="A1081">
        <f>SE('Arrecadação das Missas'!A82="";"";'Arrecadação das Missas'!A82)</f>
        <v/>
      </c>
      <c r="B1081">
        <f>SE('Arrecadação das Missas'!A82="";"";"Missas - "&amp;'Arrecadação das Missas'!B82)</f>
        <v/>
      </c>
      <c r="C1081">
        <f>SE('Arrecadação das Missas'!A82="";"";'Arrecadação das Missas'!D82)</f>
        <v/>
      </c>
      <c r="D1081">
        <f>SE('Arrecadação das Missas'!A82="";"";0)</f>
        <v/>
      </c>
    </row>
    <row r="1082">
      <c r="A1082">
        <f>SE('Arrecadação das Missas'!A83="";"";'Arrecadação das Missas'!A83)</f>
        <v/>
      </c>
      <c r="B1082">
        <f>SE('Arrecadação das Missas'!A83="";"";"Missas - "&amp;'Arrecadação das Missas'!B83)</f>
        <v/>
      </c>
      <c r="C1082">
        <f>SE('Arrecadação das Missas'!A83="";"";'Arrecadação das Missas'!D83)</f>
        <v/>
      </c>
      <c r="D1082">
        <f>SE('Arrecadação das Missas'!A83="";"";0)</f>
        <v/>
      </c>
    </row>
    <row r="1083">
      <c r="A1083">
        <f>SE('Arrecadação das Missas'!A84="";"";'Arrecadação das Missas'!A84)</f>
        <v/>
      </c>
      <c r="B1083">
        <f>SE('Arrecadação das Missas'!A84="";"";"Missas - "&amp;'Arrecadação das Missas'!B84)</f>
        <v/>
      </c>
      <c r="C1083">
        <f>SE('Arrecadação das Missas'!A84="";"";'Arrecadação das Missas'!D84)</f>
        <v/>
      </c>
      <c r="D1083">
        <f>SE('Arrecadação das Missas'!A84="";"";0)</f>
        <v/>
      </c>
    </row>
    <row r="1084">
      <c r="A1084">
        <f>SE('Arrecadação das Missas'!A85="";"";'Arrecadação das Missas'!A85)</f>
        <v/>
      </c>
      <c r="B1084">
        <f>SE('Arrecadação das Missas'!A85="";"";"Missas - "&amp;'Arrecadação das Missas'!B85)</f>
        <v/>
      </c>
      <c r="C1084">
        <f>SE('Arrecadação das Missas'!A85="";"";'Arrecadação das Missas'!D85)</f>
        <v/>
      </c>
      <c r="D1084">
        <f>SE('Arrecadação das Missas'!A85="";"";0)</f>
        <v/>
      </c>
    </row>
    <row r="1085">
      <c r="A1085">
        <f>SE('Arrecadação das Missas'!A86="";"";'Arrecadação das Missas'!A86)</f>
        <v/>
      </c>
      <c r="B1085">
        <f>SE('Arrecadação das Missas'!A86="";"";"Missas - "&amp;'Arrecadação das Missas'!B86)</f>
        <v/>
      </c>
      <c r="C1085">
        <f>SE('Arrecadação das Missas'!A86="";"";'Arrecadação das Missas'!D86)</f>
        <v/>
      </c>
      <c r="D1085">
        <f>SE('Arrecadação das Missas'!A86="";"";0)</f>
        <v/>
      </c>
    </row>
    <row r="1086">
      <c r="A1086">
        <f>SE('Arrecadação das Missas'!A87="";"";'Arrecadação das Missas'!A87)</f>
        <v/>
      </c>
      <c r="B1086">
        <f>SE('Arrecadação das Missas'!A87="";"";"Missas - "&amp;'Arrecadação das Missas'!B87)</f>
        <v/>
      </c>
      <c r="C1086">
        <f>SE('Arrecadação das Missas'!A87="";"";'Arrecadação das Missas'!D87)</f>
        <v/>
      </c>
      <c r="D1086">
        <f>SE('Arrecadação das Missas'!A87="";"";0)</f>
        <v/>
      </c>
    </row>
    <row r="1087">
      <c r="A1087">
        <f>SE('Arrecadação das Missas'!A88="";"";'Arrecadação das Missas'!A88)</f>
        <v/>
      </c>
      <c r="B1087">
        <f>SE('Arrecadação das Missas'!A88="";"";"Missas - "&amp;'Arrecadação das Missas'!B88)</f>
        <v/>
      </c>
      <c r="C1087">
        <f>SE('Arrecadação das Missas'!A88="";"";'Arrecadação das Missas'!D88)</f>
        <v/>
      </c>
      <c r="D1087">
        <f>SE('Arrecadação das Missas'!A88="";"";0)</f>
        <v/>
      </c>
    </row>
    <row r="1088">
      <c r="A1088">
        <f>SE('Arrecadação das Missas'!A89="";"";'Arrecadação das Missas'!A89)</f>
        <v/>
      </c>
      <c r="B1088">
        <f>SE('Arrecadação das Missas'!A89="";"";"Missas - "&amp;'Arrecadação das Missas'!B89)</f>
        <v/>
      </c>
      <c r="C1088">
        <f>SE('Arrecadação das Missas'!A89="";"";'Arrecadação das Missas'!D89)</f>
        <v/>
      </c>
      <c r="D1088">
        <f>SE('Arrecadação das Missas'!A89="";"";0)</f>
        <v/>
      </c>
    </row>
    <row r="1089">
      <c r="A1089">
        <f>SE('Arrecadação das Missas'!A90="";"";'Arrecadação das Missas'!A90)</f>
        <v/>
      </c>
      <c r="B1089">
        <f>SE('Arrecadação das Missas'!A90="";"";"Missas - "&amp;'Arrecadação das Missas'!B90)</f>
        <v/>
      </c>
      <c r="C1089">
        <f>SE('Arrecadação das Missas'!A90="";"";'Arrecadação das Missas'!D90)</f>
        <v/>
      </c>
      <c r="D1089">
        <f>SE('Arrecadação das Missas'!A90="";"";0)</f>
        <v/>
      </c>
    </row>
    <row r="1090">
      <c r="A1090">
        <f>SE('Arrecadação das Missas'!A91="";"";'Arrecadação das Missas'!A91)</f>
        <v/>
      </c>
      <c r="B1090">
        <f>SE('Arrecadação das Missas'!A91="";"";"Missas - "&amp;'Arrecadação das Missas'!B91)</f>
        <v/>
      </c>
      <c r="C1090">
        <f>SE('Arrecadação das Missas'!A91="";"";'Arrecadação das Missas'!D91)</f>
        <v/>
      </c>
      <c r="D1090">
        <f>SE('Arrecadação das Missas'!A91="";"";0)</f>
        <v/>
      </c>
    </row>
    <row r="1091">
      <c r="A1091">
        <f>SE('Arrecadação das Missas'!A92="";"";'Arrecadação das Missas'!A92)</f>
        <v/>
      </c>
      <c r="B1091">
        <f>SE('Arrecadação das Missas'!A92="";"";"Missas - "&amp;'Arrecadação das Missas'!B92)</f>
        <v/>
      </c>
      <c r="C1091">
        <f>SE('Arrecadação das Missas'!A92="";"";'Arrecadação das Missas'!D92)</f>
        <v/>
      </c>
      <c r="D1091">
        <f>SE('Arrecadação das Missas'!A92="";"";0)</f>
        <v/>
      </c>
    </row>
    <row r="1092">
      <c r="A1092">
        <f>SE('Arrecadação das Missas'!A93="";"";'Arrecadação das Missas'!A93)</f>
        <v/>
      </c>
      <c r="B1092">
        <f>SE('Arrecadação das Missas'!A93="";"";"Missas - "&amp;'Arrecadação das Missas'!B93)</f>
        <v/>
      </c>
      <c r="C1092">
        <f>SE('Arrecadação das Missas'!A93="";"";'Arrecadação das Missas'!D93)</f>
        <v/>
      </c>
      <c r="D1092">
        <f>SE('Arrecadação das Missas'!A93="";"";0)</f>
        <v/>
      </c>
    </row>
    <row r="1093">
      <c r="A1093">
        <f>SE('Arrecadação das Missas'!A94="";"";'Arrecadação das Missas'!A94)</f>
        <v/>
      </c>
      <c r="B1093">
        <f>SE('Arrecadação das Missas'!A94="";"";"Missas - "&amp;'Arrecadação das Missas'!B94)</f>
        <v/>
      </c>
      <c r="C1093">
        <f>SE('Arrecadação das Missas'!A94="";"";'Arrecadação das Missas'!D94)</f>
        <v/>
      </c>
      <c r="D1093">
        <f>SE('Arrecadação das Missas'!A94="";"";0)</f>
        <v/>
      </c>
    </row>
    <row r="1094">
      <c r="A1094">
        <f>SE('Arrecadação das Missas'!A95="";"";'Arrecadação das Missas'!A95)</f>
        <v/>
      </c>
      <c r="B1094">
        <f>SE('Arrecadação das Missas'!A95="";"";"Missas - "&amp;'Arrecadação das Missas'!B95)</f>
        <v/>
      </c>
      <c r="C1094">
        <f>SE('Arrecadação das Missas'!A95="";"";'Arrecadação das Missas'!D95)</f>
        <v/>
      </c>
      <c r="D1094">
        <f>SE('Arrecadação das Missas'!A95="";"";0)</f>
        <v/>
      </c>
    </row>
    <row r="1095">
      <c r="A1095">
        <f>SE('Arrecadação das Missas'!A96="";"";'Arrecadação das Missas'!A96)</f>
        <v/>
      </c>
      <c r="B1095">
        <f>SE('Arrecadação das Missas'!A96="";"";"Missas - "&amp;'Arrecadação das Missas'!B96)</f>
        <v/>
      </c>
      <c r="C1095">
        <f>SE('Arrecadação das Missas'!A96="";"";'Arrecadação das Missas'!D96)</f>
        <v/>
      </c>
      <c r="D1095">
        <f>SE('Arrecadação das Missas'!A96="";"";0)</f>
        <v/>
      </c>
    </row>
    <row r="1096">
      <c r="A1096">
        <f>SE('Arrecadação das Missas'!A97="";"";'Arrecadação das Missas'!A97)</f>
        <v/>
      </c>
      <c r="B1096">
        <f>SE('Arrecadação das Missas'!A97="";"";"Missas - "&amp;'Arrecadação das Missas'!B97)</f>
        <v/>
      </c>
      <c r="C1096">
        <f>SE('Arrecadação das Missas'!A97="";"";'Arrecadação das Missas'!D97)</f>
        <v/>
      </c>
      <c r="D1096">
        <f>SE('Arrecadação das Missas'!A97="";"";0)</f>
        <v/>
      </c>
    </row>
    <row r="1097">
      <c r="A1097">
        <f>SE('Arrecadação das Missas'!A98="";"";'Arrecadação das Missas'!A98)</f>
        <v/>
      </c>
      <c r="B1097">
        <f>SE('Arrecadação das Missas'!A98="";"";"Missas - "&amp;'Arrecadação das Missas'!B98)</f>
        <v/>
      </c>
      <c r="C1097">
        <f>SE('Arrecadação das Missas'!A98="";"";'Arrecadação das Missas'!D98)</f>
        <v/>
      </c>
      <c r="D1097">
        <f>SE('Arrecadação das Missas'!A98="";"";0)</f>
        <v/>
      </c>
    </row>
    <row r="1098">
      <c r="A1098">
        <f>SE('Arrecadação das Missas'!A99="";"";'Arrecadação das Missas'!A99)</f>
        <v/>
      </c>
      <c r="B1098">
        <f>SE('Arrecadação das Missas'!A99="";"";"Missas - "&amp;'Arrecadação das Missas'!B99)</f>
        <v/>
      </c>
      <c r="C1098">
        <f>SE('Arrecadação das Missas'!A99="";"";'Arrecadação das Missas'!D99)</f>
        <v/>
      </c>
      <c r="D1098">
        <f>SE('Arrecadação das Missas'!A99="";"";0)</f>
        <v/>
      </c>
    </row>
    <row r="1099">
      <c r="A1099">
        <f>SE('Arrecadação das Missas'!A100="";"";'Arrecadação das Missas'!A100)</f>
        <v/>
      </c>
      <c r="B1099">
        <f>SE('Arrecadação das Missas'!A100="";"";"Missas - "&amp;'Arrecadação das Missas'!B100)</f>
        <v/>
      </c>
      <c r="C1099">
        <f>SE('Arrecadação das Missas'!A100="";"";'Arrecadação das Missas'!D100)</f>
        <v/>
      </c>
      <c r="D1099">
        <f>SE('Arrecadação das Missas'!A100="";"";0)</f>
        <v/>
      </c>
    </row>
    <row r="1100">
      <c r="A1100">
        <f>SE('Arrecadação das Missas'!A101="";"";'Arrecadação das Missas'!A101)</f>
        <v/>
      </c>
      <c r="B1100">
        <f>SE('Arrecadação das Missas'!A101="";"";"Missas - "&amp;'Arrecadação das Missas'!B101)</f>
        <v/>
      </c>
      <c r="C1100">
        <f>SE('Arrecadação das Missas'!A101="";"";'Arrecadação das Missas'!D101)</f>
        <v/>
      </c>
      <c r="D1100">
        <f>SE('Arrecadação das Missas'!A101="";"";0)</f>
        <v/>
      </c>
    </row>
    <row r="1101">
      <c r="A1101">
        <f>SE('Arrecadação das Missas'!A102="";"";'Arrecadação das Missas'!A102)</f>
        <v/>
      </c>
      <c r="B1101">
        <f>SE('Arrecadação das Missas'!A102="";"";"Missas - "&amp;'Arrecadação das Missas'!B102)</f>
        <v/>
      </c>
      <c r="C1101">
        <f>SE('Arrecadação das Missas'!A102="";"";'Arrecadação das Missas'!D102)</f>
        <v/>
      </c>
      <c r="D1101">
        <f>SE('Arrecadação das Missas'!A102="";"";0)</f>
        <v/>
      </c>
    </row>
    <row r="1102">
      <c r="A1102">
        <f>SE('Arrecadação das Missas'!A103="";"";'Arrecadação das Missas'!A103)</f>
        <v/>
      </c>
      <c r="B1102">
        <f>SE('Arrecadação das Missas'!A103="";"";"Missas - "&amp;'Arrecadação das Missas'!B103)</f>
        <v/>
      </c>
      <c r="C1102">
        <f>SE('Arrecadação das Missas'!A103="";"";'Arrecadação das Missas'!D103)</f>
        <v/>
      </c>
      <c r="D1102">
        <f>SE('Arrecadação das Missas'!A103="";"";0)</f>
        <v/>
      </c>
    </row>
    <row r="1103">
      <c r="A1103">
        <f>SE('Arrecadação das Missas'!A104="";"";'Arrecadação das Missas'!A104)</f>
        <v/>
      </c>
      <c r="B1103">
        <f>SE('Arrecadação das Missas'!A104="";"";"Missas - "&amp;'Arrecadação das Missas'!B104)</f>
        <v/>
      </c>
      <c r="C1103">
        <f>SE('Arrecadação das Missas'!A104="";"";'Arrecadação das Missas'!D104)</f>
        <v/>
      </c>
      <c r="D1103">
        <f>SE('Arrecadação das Missas'!A104="";"";0)</f>
        <v/>
      </c>
    </row>
    <row r="1104">
      <c r="A1104">
        <f>SE('Arrecadação das Missas'!A105="";"";'Arrecadação das Missas'!A105)</f>
        <v/>
      </c>
      <c r="B1104">
        <f>SE('Arrecadação das Missas'!A105="";"";"Missas - "&amp;'Arrecadação das Missas'!B105)</f>
        <v/>
      </c>
      <c r="C1104">
        <f>SE('Arrecadação das Missas'!A105="";"";'Arrecadação das Missas'!D105)</f>
        <v/>
      </c>
      <c r="D1104">
        <f>SE('Arrecadação das Missas'!A105="";"";0)</f>
        <v/>
      </c>
    </row>
    <row r="1105">
      <c r="A1105">
        <f>SE('Arrecadação das Missas'!A106="";"";'Arrecadação das Missas'!A106)</f>
        <v/>
      </c>
      <c r="B1105">
        <f>SE('Arrecadação das Missas'!A106="";"";"Missas - "&amp;'Arrecadação das Missas'!B106)</f>
        <v/>
      </c>
      <c r="C1105">
        <f>SE('Arrecadação das Missas'!A106="";"";'Arrecadação das Missas'!D106)</f>
        <v/>
      </c>
      <c r="D1105">
        <f>SE('Arrecadação das Missas'!A106="";"";0)</f>
        <v/>
      </c>
    </row>
    <row r="1106">
      <c r="A1106">
        <f>SE('Arrecadação das Missas'!A107="";"";'Arrecadação das Missas'!A107)</f>
        <v/>
      </c>
      <c r="B1106">
        <f>SE('Arrecadação das Missas'!A107="";"";"Missas - "&amp;'Arrecadação das Missas'!B107)</f>
        <v/>
      </c>
      <c r="C1106">
        <f>SE('Arrecadação das Missas'!A107="";"";'Arrecadação das Missas'!D107)</f>
        <v/>
      </c>
      <c r="D1106">
        <f>SE('Arrecadação das Missas'!A107="";"";0)</f>
        <v/>
      </c>
    </row>
    <row r="1107">
      <c r="A1107">
        <f>SE('Arrecadação das Missas'!A108="";"";'Arrecadação das Missas'!A108)</f>
        <v/>
      </c>
      <c r="B1107">
        <f>SE('Arrecadação das Missas'!A108="";"";"Missas - "&amp;'Arrecadação das Missas'!B108)</f>
        <v/>
      </c>
      <c r="C1107">
        <f>SE('Arrecadação das Missas'!A108="";"";'Arrecadação das Missas'!D108)</f>
        <v/>
      </c>
      <c r="D1107">
        <f>SE('Arrecadação das Missas'!A108="";"";0)</f>
        <v/>
      </c>
    </row>
    <row r="1108">
      <c r="A1108">
        <f>SE('Arrecadação das Missas'!A109="";"";'Arrecadação das Missas'!A109)</f>
        <v/>
      </c>
      <c r="B1108">
        <f>SE('Arrecadação das Missas'!A109="";"";"Missas - "&amp;'Arrecadação das Missas'!B109)</f>
        <v/>
      </c>
      <c r="C1108">
        <f>SE('Arrecadação das Missas'!A109="";"";'Arrecadação das Missas'!D109)</f>
        <v/>
      </c>
      <c r="D1108">
        <f>SE('Arrecadação das Missas'!A109="";"";0)</f>
        <v/>
      </c>
    </row>
    <row r="1109">
      <c r="A1109">
        <f>SE('Arrecadação das Missas'!A110="";"";'Arrecadação das Missas'!A110)</f>
        <v/>
      </c>
      <c r="B1109">
        <f>SE('Arrecadação das Missas'!A110="";"";"Missas - "&amp;'Arrecadação das Missas'!B110)</f>
        <v/>
      </c>
      <c r="C1109">
        <f>SE('Arrecadação das Missas'!A110="";"";'Arrecadação das Missas'!D110)</f>
        <v/>
      </c>
      <c r="D1109">
        <f>SE('Arrecadação das Missas'!A110="";"";0)</f>
        <v/>
      </c>
    </row>
    <row r="1110">
      <c r="A1110">
        <f>SE('Arrecadação das Missas'!A111="";"";'Arrecadação das Missas'!A111)</f>
        <v/>
      </c>
      <c r="B1110">
        <f>SE('Arrecadação das Missas'!A111="";"";"Missas - "&amp;'Arrecadação das Missas'!B111)</f>
        <v/>
      </c>
      <c r="C1110">
        <f>SE('Arrecadação das Missas'!A111="";"";'Arrecadação das Missas'!D111)</f>
        <v/>
      </c>
      <c r="D1110">
        <f>SE('Arrecadação das Missas'!A111="";"";0)</f>
        <v/>
      </c>
    </row>
    <row r="1111">
      <c r="A1111">
        <f>SE('Arrecadação das Missas'!A112="";"";'Arrecadação das Missas'!A112)</f>
        <v/>
      </c>
      <c r="B1111">
        <f>SE('Arrecadação das Missas'!A112="";"";"Missas - "&amp;'Arrecadação das Missas'!B112)</f>
        <v/>
      </c>
      <c r="C1111">
        <f>SE('Arrecadação das Missas'!A112="";"";'Arrecadação das Missas'!D112)</f>
        <v/>
      </c>
      <c r="D1111">
        <f>SE('Arrecadação das Missas'!A112="";"";0)</f>
        <v/>
      </c>
    </row>
    <row r="1112">
      <c r="A1112">
        <f>SE('Arrecadação das Missas'!A113="";"";'Arrecadação das Missas'!A113)</f>
        <v/>
      </c>
      <c r="B1112">
        <f>SE('Arrecadação das Missas'!A113="";"";"Missas - "&amp;'Arrecadação das Missas'!B113)</f>
        <v/>
      </c>
      <c r="C1112">
        <f>SE('Arrecadação das Missas'!A113="";"";'Arrecadação das Missas'!D113)</f>
        <v/>
      </c>
      <c r="D1112">
        <f>SE('Arrecadação das Missas'!A113="";"";0)</f>
        <v/>
      </c>
    </row>
    <row r="1113">
      <c r="A1113">
        <f>SE('Arrecadação das Missas'!A114="";"";'Arrecadação das Missas'!A114)</f>
        <v/>
      </c>
      <c r="B1113">
        <f>SE('Arrecadação das Missas'!A114="";"";"Missas - "&amp;'Arrecadação das Missas'!B114)</f>
        <v/>
      </c>
      <c r="C1113">
        <f>SE('Arrecadação das Missas'!A114="";"";'Arrecadação das Missas'!D114)</f>
        <v/>
      </c>
      <c r="D1113">
        <f>SE('Arrecadação das Missas'!A114="";"";0)</f>
        <v/>
      </c>
    </row>
    <row r="1114">
      <c r="A1114">
        <f>SE('Arrecadação das Missas'!A115="";"";'Arrecadação das Missas'!A115)</f>
        <v/>
      </c>
      <c r="B1114">
        <f>SE('Arrecadação das Missas'!A115="";"";"Missas - "&amp;'Arrecadação das Missas'!B115)</f>
        <v/>
      </c>
      <c r="C1114">
        <f>SE('Arrecadação das Missas'!A115="";"";'Arrecadação das Missas'!D115)</f>
        <v/>
      </c>
      <c r="D1114">
        <f>SE('Arrecadação das Missas'!A115="";"";0)</f>
        <v/>
      </c>
    </row>
    <row r="1115">
      <c r="A1115">
        <f>SE('Arrecadação das Missas'!A116="";"";'Arrecadação das Missas'!A116)</f>
        <v/>
      </c>
      <c r="B1115">
        <f>SE('Arrecadação das Missas'!A116="";"";"Missas - "&amp;'Arrecadação das Missas'!B116)</f>
        <v/>
      </c>
      <c r="C1115">
        <f>SE('Arrecadação das Missas'!A116="";"";'Arrecadação das Missas'!D116)</f>
        <v/>
      </c>
      <c r="D1115">
        <f>SE('Arrecadação das Missas'!A116="";"";0)</f>
        <v/>
      </c>
    </row>
    <row r="1116">
      <c r="A1116">
        <f>SE('Arrecadação das Missas'!A117="";"";'Arrecadação das Missas'!A117)</f>
        <v/>
      </c>
      <c r="B1116">
        <f>SE('Arrecadação das Missas'!A117="";"";"Missas - "&amp;'Arrecadação das Missas'!B117)</f>
        <v/>
      </c>
      <c r="C1116">
        <f>SE('Arrecadação das Missas'!A117="";"";'Arrecadação das Missas'!D117)</f>
        <v/>
      </c>
      <c r="D1116">
        <f>SE('Arrecadação das Missas'!A117="";"";0)</f>
        <v/>
      </c>
    </row>
    <row r="1117">
      <c r="A1117">
        <f>SE('Arrecadação das Missas'!A118="";"";'Arrecadação das Missas'!A118)</f>
        <v/>
      </c>
      <c r="B1117">
        <f>SE('Arrecadação das Missas'!A118="";"";"Missas - "&amp;'Arrecadação das Missas'!B118)</f>
        <v/>
      </c>
      <c r="C1117">
        <f>SE('Arrecadação das Missas'!A118="";"";'Arrecadação das Missas'!D118)</f>
        <v/>
      </c>
      <c r="D1117">
        <f>SE('Arrecadação das Missas'!A118="";"";0)</f>
        <v/>
      </c>
    </row>
    <row r="1118">
      <c r="A1118">
        <f>SE('Arrecadação das Missas'!A119="";"";'Arrecadação das Missas'!A119)</f>
        <v/>
      </c>
      <c r="B1118">
        <f>SE('Arrecadação das Missas'!A119="";"";"Missas - "&amp;'Arrecadação das Missas'!B119)</f>
        <v/>
      </c>
      <c r="C1118">
        <f>SE('Arrecadação das Missas'!A119="";"";'Arrecadação das Missas'!D119)</f>
        <v/>
      </c>
      <c r="D1118">
        <f>SE('Arrecadação das Missas'!A119="";"";0)</f>
        <v/>
      </c>
    </row>
    <row r="1119">
      <c r="A1119">
        <f>SE('Arrecadação das Missas'!A120="";"";'Arrecadação das Missas'!A120)</f>
        <v/>
      </c>
      <c r="B1119">
        <f>SE('Arrecadação das Missas'!A120="";"";"Missas - "&amp;'Arrecadação das Missas'!B120)</f>
        <v/>
      </c>
      <c r="C1119">
        <f>SE('Arrecadação das Missas'!A120="";"";'Arrecadação das Missas'!D120)</f>
        <v/>
      </c>
      <c r="D1119">
        <f>SE('Arrecadação das Missas'!A120="";"";0)</f>
        <v/>
      </c>
    </row>
    <row r="1120">
      <c r="A1120">
        <f>SE('Arrecadação das Missas'!A121="";"";'Arrecadação das Missas'!A121)</f>
        <v/>
      </c>
      <c r="B1120">
        <f>SE('Arrecadação das Missas'!A121="";"";"Missas - "&amp;'Arrecadação das Missas'!B121)</f>
        <v/>
      </c>
      <c r="C1120">
        <f>SE('Arrecadação das Missas'!A121="";"";'Arrecadação das Missas'!D121)</f>
        <v/>
      </c>
      <c r="D1120">
        <f>SE('Arrecadação das Missas'!A121="";"";0)</f>
        <v/>
      </c>
    </row>
    <row r="1121">
      <c r="A1121">
        <f>SE('Arrecadação das Missas'!A122="";"";'Arrecadação das Missas'!A122)</f>
        <v/>
      </c>
      <c r="B1121">
        <f>SE('Arrecadação das Missas'!A122="";"";"Missas - "&amp;'Arrecadação das Missas'!B122)</f>
        <v/>
      </c>
      <c r="C1121">
        <f>SE('Arrecadação das Missas'!A122="";"";'Arrecadação das Missas'!D122)</f>
        <v/>
      </c>
      <c r="D1121">
        <f>SE('Arrecadação das Missas'!A122="";"";0)</f>
        <v/>
      </c>
    </row>
    <row r="1122">
      <c r="A1122">
        <f>SE('Arrecadação das Missas'!A123="";"";'Arrecadação das Missas'!A123)</f>
        <v/>
      </c>
      <c r="B1122">
        <f>SE('Arrecadação das Missas'!A123="";"";"Missas - "&amp;'Arrecadação das Missas'!B123)</f>
        <v/>
      </c>
      <c r="C1122">
        <f>SE('Arrecadação das Missas'!A123="";"";'Arrecadação das Missas'!D123)</f>
        <v/>
      </c>
      <c r="D1122">
        <f>SE('Arrecadação das Missas'!A123="";"";0)</f>
        <v/>
      </c>
    </row>
    <row r="1123">
      <c r="A1123">
        <f>SE('Arrecadação das Missas'!A124="";"";'Arrecadação das Missas'!A124)</f>
        <v/>
      </c>
      <c r="B1123">
        <f>SE('Arrecadação das Missas'!A124="";"";"Missas - "&amp;'Arrecadação das Missas'!B124)</f>
        <v/>
      </c>
      <c r="C1123">
        <f>SE('Arrecadação das Missas'!A124="";"";'Arrecadação das Missas'!D124)</f>
        <v/>
      </c>
      <c r="D1123">
        <f>SE('Arrecadação das Missas'!A124="";"";0)</f>
        <v/>
      </c>
    </row>
    <row r="1124">
      <c r="A1124">
        <f>SE('Arrecadação das Missas'!A125="";"";'Arrecadação das Missas'!A125)</f>
        <v/>
      </c>
      <c r="B1124">
        <f>SE('Arrecadação das Missas'!A125="";"";"Missas - "&amp;'Arrecadação das Missas'!B125)</f>
        <v/>
      </c>
      <c r="C1124">
        <f>SE('Arrecadação das Missas'!A125="";"";'Arrecadação das Missas'!D125)</f>
        <v/>
      </c>
      <c r="D1124">
        <f>SE('Arrecadação das Missas'!A125="";"";0)</f>
        <v/>
      </c>
    </row>
    <row r="1125">
      <c r="A1125">
        <f>SE('Arrecadação das Missas'!A126="";"";'Arrecadação das Missas'!A126)</f>
        <v/>
      </c>
      <c r="B1125">
        <f>SE('Arrecadação das Missas'!A126="";"";"Missas - "&amp;'Arrecadação das Missas'!B126)</f>
        <v/>
      </c>
      <c r="C1125">
        <f>SE('Arrecadação das Missas'!A126="";"";'Arrecadação das Missas'!D126)</f>
        <v/>
      </c>
      <c r="D1125">
        <f>SE('Arrecadação das Missas'!A126="";"";0)</f>
        <v/>
      </c>
    </row>
    <row r="1126">
      <c r="A1126">
        <f>SE('Arrecadação das Missas'!A127="";"";'Arrecadação das Missas'!A127)</f>
        <v/>
      </c>
      <c r="B1126">
        <f>SE('Arrecadação das Missas'!A127="";"";"Missas - "&amp;'Arrecadação das Missas'!B127)</f>
        <v/>
      </c>
      <c r="C1126">
        <f>SE('Arrecadação das Missas'!A127="";"";'Arrecadação das Missas'!D127)</f>
        <v/>
      </c>
      <c r="D1126">
        <f>SE('Arrecadação das Missas'!A127="";"";0)</f>
        <v/>
      </c>
    </row>
    <row r="1127">
      <c r="A1127">
        <f>SE('Arrecadação das Missas'!A128="";"";'Arrecadação das Missas'!A128)</f>
        <v/>
      </c>
      <c r="B1127">
        <f>SE('Arrecadação das Missas'!A128="";"";"Missas - "&amp;'Arrecadação das Missas'!B128)</f>
        <v/>
      </c>
      <c r="C1127">
        <f>SE('Arrecadação das Missas'!A128="";"";'Arrecadação das Missas'!D128)</f>
        <v/>
      </c>
      <c r="D1127">
        <f>SE('Arrecadação das Missas'!A128="";"";0)</f>
        <v/>
      </c>
    </row>
    <row r="1128">
      <c r="A1128">
        <f>SE('Arrecadação das Missas'!A129="";"";'Arrecadação das Missas'!A129)</f>
        <v/>
      </c>
      <c r="B1128">
        <f>SE('Arrecadação das Missas'!A129="";"";"Missas - "&amp;'Arrecadação das Missas'!B129)</f>
        <v/>
      </c>
      <c r="C1128">
        <f>SE('Arrecadação das Missas'!A129="";"";'Arrecadação das Missas'!D129)</f>
        <v/>
      </c>
      <c r="D1128">
        <f>SE('Arrecadação das Missas'!A129="";"";0)</f>
        <v/>
      </c>
    </row>
    <row r="1129">
      <c r="A1129">
        <f>SE('Arrecadação das Missas'!A130="";"";'Arrecadação das Missas'!A130)</f>
        <v/>
      </c>
      <c r="B1129">
        <f>SE('Arrecadação das Missas'!A130="";"";"Missas - "&amp;'Arrecadação das Missas'!B130)</f>
        <v/>
      </c>
      <c r="C1129">
        <f>SE('Arrecadação das Missas'!A130="";"";'Arrecadação das Missas'!D130)</f>
        <v/>
      </c>
      <c r="D1129">
        <f>SE('Arrecadação das Missas'!A130="";"";0)</f>
        <v/>
      </c>
    </row>
    <row r="1130">
      <c r="A1130">
        <f>SE('Arrecadação das Missas'!A131="";"";'Arrecadação das Missas'!A131)</f>
        <v/>
      </c>
      <c r="B1130">
        <f>SE('Arrecadação das Missas'!A131="";"";"Missas - "&amp;'Arrecadação das Missas'!B131)</f>
        <v/>
      </c>
      <c r="C1130">
        <f>SE('Arrecadação das Missas'!A131="";"";'Arrecadação das Missas'!D131)</f>
        <v/>
      </c>
      <c r="D1130">
        <f>SE('Arrecadação das Missas'!A131="";"";0)</f>
        <v/>
      </c>
    </row>
    <row r="1131">
      <c r="A1131">
        <f>SE('Arrecadação das Missas'!A132="";"";'Arrecadação das Missas'!A132)</f>
        <v/>
      </c>
      <c r="B1131">
        <f>SE('Arrecadação das Missas'!A132="";"";"Missas - "&amp;'Arrecadação das Missas'!B132)</f>
        <v/>
      </c>
      <c r="C1131">
        <f>SE('Arrecadação das Missas'!A132="";"";'Arrecadação das Missas'!D132)</f>
        <v/>
      </c>
      <c r="D1131">
        <f>SE('Arrecadação das Missas'!A132="";"";0)</f>
        <v/>
      </c>
    </row>
    <row r="1132">
      <c r="A1132">
        <f>SE('Arrecadação das Missas'!A133="";"";'Arrecadação das Missas'!A133)</f>
        <v/>
      </c>
      <c r="B1132">
        <f>SE('Arrecadação das Missas'!A133="";"";"Missas - "&amp;'Arrecadação das Missas'!B133)</f>
        <v/>
      </c>
      <c r="C1132">
        <f>SE('Arrecadação das Missas'!A133="";"";'Arrecadação das Missas'!D133)</f>
        <v/>
      </c>
      <c r="D1132">
        <f>SE('Arrecadação das Missas'!A133="";"";0)</f>
        <v/>
      </c>
    </row>
    <row r="1133">
      <c r="A1133">
        <f>SE('Arrecadação das Missas'!A134="";"";'Arrecadação das Missas'!A134)</f>
        <v/>
      </c>
      <c r="B1133">
        <f>SE('Arrecadação das Missas'!A134="";"";"Missas - "&amp;'Arrecadação das Missas'!B134)</f>
        <v/>
      </c>
      <c r="C1133">
        <f>SE('Arrecadação das Missas'!A134="";"";'Arrecadação das Missas'!D134)</f>
        <v/>
      </c>
      <c r="D1133">
        <f>SE('Arrecadação das Missas'!A134="";"";0)</f>
        <v/>
      </c>
    </row>
    <row r="1134">
      <c r="A1134">
        <f>SE('Arrecadação das Missas'!A135="";"";'Arrecadação das Missas'!A135)</f>
        <v/>
      </c>
      <c r="B1134">
        <f>SE('Arrecadação das Missas'!A135="";"";"Missas - "&amp;'Arrecadação das Missas'!B135)</f>
        <v/>
      </c>
      <c r="C1134">
        <f>SE('Arrecadação das Missas'!A135="";"";'Arrecadação das Missas'!D135)</f>
        <v/>
      </c>
      <c r="D1134">
        <f>SE('Arrecadação das Missas'!A135="";"";0)</f>
        <v/>
      </c>
    </row>
    <row r="1135">
      <c r="A1135">
        <f>SE('Arrecadação das Missas'!A136="";"";'Arrecadação das Missas'!A136)</f>
        <v/>
      </c>
      <c r="B1135">
        <f>SE('Arrecadação das Missas'!A136="";"";"Missas - "&amp;'Arrecadação das Missas'!B136)</f>
        <v/>
      </c>
      <c r="C1135">
        <f>SE('Arrecadação das Missas'!A136="";"";'Arrecadação das Missas'!D136)</f>
        <v/>
      </c>
      <c r="D1135">
        <f>SE('Arrecadação das Missas'!A136="";"";0)</f>
        <v/>
      </c>
    </row>
    <row r="1136">
      <c r="A1136">
        <f>SE('Arrecadação das Missas'!A137="";"";'Arrecadação das Missas'!A137)</f>
        <v/>
      </c>
      <c r="B1136">
        <f>SE('Arrecadação das Missas'!A137="";"";"Missas - "&amp;'Arrecadação das Missas'!B137)</f>
        <v/>
      </c>
      <c r="C1136">
        <f>SE('Arrecadação das Missas'!A137="";"";'Arrecadação das Missas'!D137)</f>
        <v/>
      </c>
      <c r="D1136">
        <f>SE('Arrecadação das Missas'!A137="";"";0)</f>
        <v/>
      </c>
    </row>
    <row r="1137">
      <c r="A1137">
        <f>SE('Arrecadação das Missas'!A138="";"";'Arrecadação das Missas'!A138)</f>
        <v/>
      </c>
      <c r="B1137">
        <f>SE('Arrecadação das Missas'!A138="";"";"Missas - "&amp;'Arrecadação das Missas'!B138)</f>
        <v/>
      </c>
      <c r="C1137">
        <f>SE('Arrecadação das Missas'!A138="";"";'Arrecadação das Missas'!D138)</f>
        <v/>
      </c>
      <c r="D1137">
        <f>SE('Arrecadação das Missas'!A138="";"";0)</f>
        <v/>
      </c>
    </row>
    <row r="1138">
      <c r="A1138">
        <f>SE('Arrecadação das Missas'!A139="";"";'Arrecadação das Missas'!A139)</f>
        <v/>
      </c>
      <c r="B1138">
        <f>SE('Arrecadação das Missas'!A139="";"";"Missas - "&amp;'Arrecadação das Missas'!B139)</f>
        <v/>
      </c>
      <c r="C1138">
        <f>SE('Arrecadação das Missas'!A139="";"";'Arrecadação das Missas'!D139)</f>
        <v/>
      </c>
      <c r="D1138">
        <f>SE('Arrecadação das Missas'!A139="";"";0)</f>
        <v/>
      </c>
    </row>
    <row r="1139">
      <c r="A1139">
        <f>SE('Arrecadação das Missas'!A140="";"";'Arrecadação das Missas'!A140)</f>
        <v/>
      </c>
      <c r="B1139">
        <f>SE('Arrecadação das Missas'!A140="";"";"Missas - "&amp;'Arrecadação das Missas'!B140)</f>
        <v/>
      </c>
      <c r="C1139">
        <f>SE('Arrecadação das Missas'!A140="";"";'Arrecadação das Missas'!D140)</f>
        <v/>
      </c>
      <c r="D1139">
        <f>SE('Arrecadação das Missas'!A140="";"";0)</f>
        <v/>
      </c>
    </row>
    <row r="1140">
      <c r="A1140">
        <f>SE('Arrecadação das Missas'!A141="";"";'Arrecadação das Missas'!A141)</f>
        <v/>
      </c>
      <c r="B1140">
        <f>SE('Arrecadação das Missas'!A141="";"";"Missas - "&amp;'Arrecadação das Missas'!B141)</f>
        <v/>
      </c>
      <c r="C1140">
        <f>SE('Arrecadação das Missas'!A141="";"";'Arrecadação das Missas'!D141)</f>
        <v/>
      </c>
      <c r="D1140">
        <f>SE('Arrecadação das Missas'!A141="";"";0)</f>
        <v/>
      </c>
    </row>
    <row r="1141">
      <c r="A1141">
        <f>SE('Arrecadação das Missas'!A142="";"";'Arrecadação das Missas'!A142)</f>
        <v/>
      </c>
      <c r="B1141">
        <f>SE('Arrecadação das Missas'!A142="";"";"Missas - "&amp;'Arrecadação das Missas'!B142)</f>
        <v/>
      </c>
      <c r="C1141">
        <f>SE('Arrecadação das Missas'!A142="";"";'Arrecadação das Missas'!D142)</f>
        <v/>
      </c>
      <c r="D1141">
        <f>SE('Arrecadação das Missas'!A142="";"";0)</f>
        <v/>
      </c>
    </row>
    <row r="1142">
      <c r="A1142">
        <f>SE('Arrecadação das Missas'!A143="";"";'Arrecadação das Missas'!A143)</f>
        <v/>
      </c>
      <c r="B1142">
        <f>SE('Arrecadação das Missas'!A143="";"";"Missas - "&amp;'Arrecadação das Missas'!B143)</f>
        <v/>
      </c>
      <c r="C1142">
        <f>SE('Arrecadação das Missas'!A143="";"";'Arrecadação das Missas'!D143)</f>
        <v/>
      </c>
      <c r="D1142">
        <f>SE('Arrecadação das Missas'!A143="";"";0)</f>
        <v/>
      </c>
    </row>
    <row r="1143">
      <c r="A1143">
        <f>SE('Arrecadação das Missas'!A144="";"";'Arrecadação das Missas'!A144)</f>
        <v/>
      </c>
      <c r="B1143">
        <f>SE('Arrecadação das Missas'!A144="";"";"Missas - "&amp;'Arrecadação das Missas'!B144)</f>
        <v/>
      </c>
      <c r="C1143">
        <f>SE('Arrecadação das Missas'!A144="";"";'Arrecadação das Missas'!D144)</f>
        <v/>
      </c>
      <c r="D1143">
        <f>SE('Arrecadação das Missas'!A144="";"";0)</f>
        <v/>
      </c>
    </row>
    <row r="1144">
      <c r="A1144">
        <f>SE('Arrecadação das Missas'!A145="";"";'Arrecadação das Missas'!A145)</f>
        <v/>
      </c>
      <c r="B1144">
        <f>SE('Arrecadação das Missas'!A145="";"";"Missas - "&amp;'Arrecadação das Missas'!B145)</f>
        <v/>
      </c>
      <c r="C1144">
        <f>SE('Arrecadação das Missas'!A145="";"";'Arrecadação das Missas'!D145)</f>
        <v/>
      </c>
      <c r="D1144">
        <f>SE('Arrecadação das Missas'!A145="";"";0)</f>
        <v/>
      </c>
    </row>
    <row r="1145">
      <c r="A1145">
        <f>SE('Arrecadação das Missas'!A146="";"";'Arrecadação das Missas'!A146)</f>
        <v/>
      </c>
      <c r="B1145">
        <f>SE('Arrecadação das Missas'!A146="";"";"Missas - "&amp;'Arrecadação das Missas'!B146)</f>
        <v/>
      </c>
      <c r="C1145">
        <f>SE('Arrecadação das Missas'!A146="";"";'Arrecadação das Missas'!D146)</f>
        <v/>
      </c>
      <c r="D1145">
        <f>SE('Arrecadação das Missas'!A146="";"";0)</f>
        <v/>
      </c>
    </row>
    <row r="1146">
      <c r="A1146">
        <f>SE('Arrecadação das Missas'!A147="";"";'Arrecadação das Missas'!A147)</f>
        <v/>
      </c>
      <c r="B1146">
        <f>SE('Arrecadação das Missas'!A147="";"";"Missas - "&amp;'Arrecadação das Missas'!B147)</f>
        <v/>
      </c>
      <c r="C1146">
        <f>SE('Arrecadação das Missas'!A147="";"";'Arrecadação das Missas'!D147)</f>
        <v/>
      </c>
      <c r="D1146">
        <f>SE('Arrecadação das Missas'!A147="";"";0)</f>
        <v/>
      </c>
    </row>
    <row r="1147">
      <c r="A1147">
        <f>SE('Arrecadação das Missas'!A148="";"";'Arrecadação das Missas'!A148)</f>
        <v/>
      </c>
      <c r="B1147">
        <f>SE('Arrecadação das Missas'!A148="";"";"Missas - "&amp;'Arrecadação das Missas'!B148)</f>
        <v/>
      </c>
      <c r="C1147">
        <f>SE('Arrecadação das Missas'!A148="";"";'Arrecadação das Missas'!D148)</f>
        <v/>
      </c>
      <c r="D1147">
        <f>SE('Arrecadação das Missas'!A148="";"";0)</f>
        <v/>
      </c>
    </row>
    <row r="1148">
      <c r="A1148">
        <f>SE('Arrecadação das Missas'!A149="";"";'Arrecadação das Missas'!A149)</f>
        <v/>
      </c>
      <c r="B1148">
        <f>SE('Arrecadação das Missas'!A149="";"";"Missas - "&amp;'Arrecadação das Missas'!B149)</f>
        <v/>
      </c>
      <c r="C1148">
        <f>SE('Arrecadação das Missas'!A149="";"";'Arrecadação das Missas'!D149)</f>
        <v/>
      </c>
      <c r="D1148">
        <f>SE('Arrecadação das Missas'!A149="";"";0)</f>
        <v/>
      </c>
    </row>
    <row r="1149">
      <c r="A1149">
        <f>SE('Arrecadação das Missas'!A150="";"";'Arrecadação das Missas'!A150)</f>
        <v/>
      </c>
      <c r="B1149">
        <f>SE('Arrecadação das Missas'!A150="";"";"Missas - "&amp;'Arrecadação das Missas'!B150)</f>
        <v/>
      </c>
      <c r="C1149">
        <f>SE('Arrecadação das Missas'!A150="";"";'Arrecadação das Missas'!D150)</f>
        <v/>
      </c>
      <c r="D1149">
        <f>SE('Arrecadação das Missas'!A150="";"";0)</f>
        <v/>
      </c>
    </row>
    <row r="1150">
      <c r="A1150">
        <f>SE('Arrecadação das Missas'!A151="";"";'Arrecadação das Missas'!A151)</f>
        <v/>
      </c>
      <c r="B1150">
        <f>SE('Arrecadação das Missas'!A151="";"";"Missas - "&amp;'Arrecadação das Missas'!B151)</f>
        <v/>
      </c>
      <c r="C1150">
        <f>SE('Arrecadação das Missas'!A151="";"";'Arrecadação das Missas'!D151)</f>
        <v/>
      </c>
      <c r="D1150">
        <f>SE('Arrecadação das Missas'!A151="";"";0)</f>
        <v/>
      </c>
    </row>
    <row r="1151">
      <c r="A1151">
        <f>SE('Arrecadação das Missas'!A152="";"";'Arrecadação das Missas'!A152)</f>
        <v/>
      </c>
      <c r="B1151">
        <f>SE('Arrecadação das Missas'!A152="";"";"Missas - "&amp;'Arrecadação das Missas'!B152)</f>
        <v/>
      </c>
      <c r="C1151">
        <f>SE('Arrecadação das Missas'!A152="";"";'Arrecadação das Missas'!D152)</f>
        <v/>
      </c>
      <c r="D1151">
        <f>SE('Arrecadação das Missas'!A152="";"";0)</f>
        <v/>
      </c>
    </row>
    <row r="1152">
      <c r="A1152">
        <f>SE('Arrecadação das Missas'!A153="";"";'Arrecadação das Missas'!A153)</f>
        <v/>
      </c>
      <c r="B1152">
        <f>SE('Arrecadação das Missas'!A153="";"";"Missas - "&amp;'Arrecadação das Missas'!B153)</f>
        <v/>
      </c>
      <c r="C1152">
        <f>SE('Arrecadação das Missas'!A153="";"";'Arrecadação das Missas'!D153)</f>
        <v/>
      </c>
      <c r="D1152">
        <f>SE('Arrecadação das Missas'!A153="";"";0)</f>
        <v/>
      </c>
    </row>
    <row r="1153">
      <c r="A1153">
        <f>SE('Arrecadação das Missas'!A154="";"";'Arrecadação das Missas'!A154)</f>
        <v/>
      </c>
      <c r="B1153">
        <f>SE('Arrecadação das Missas'!A154="";"";"Missas - "&amp;'Arrecadação das Missas'!B154)</f>
        <v/>
      </c>
      <c r="C1153">
        <f>SE('Arrecadação das Missas'!A154="";"";'Arrecadação das Missas'!D154)</f>
        <v/>
      </c>
      <c r="D1153">
        <f>SE('Arrecadação das Missas'!A154="";"";0)</f>
        <v/>
      </c>
    </row>
    <row r="1154">
      <c r="A1154">
        <f>SE('Arrecadação das Missas'!A155="";"";'Arrecadação das Missas'!A155)</f>
        <v/>
      </c>
      <c r="B1154">
        <f>SE('Arrecadação das Missas'!A155="";"";"Missas - "&amp;'Arrecadação das Missas'!B155)</f>
        <v/>
      </c>
      <c r="C1154">
        <f>SE('Arrecadação das Missas'!A155="";"";'Arrecadação das Missas'!D155)</f>
        <v/>
      </c>
      <c r="D1154">
        <f>SE('Arrecadação das Missas'!A155="";"";0)</f>
        <v/>
      </c>
    </row>
    <row r="1155">
      <c r="A1155">
        <f>SE('Arrecadação das Missas'!A156="";"";'Arrecadação das Missas'!A156)</f>
        <v/>
      </c>
      <c r="B1155">
        <f>SE('Arrecadação das Missas'!A156="";"";"Missas - "&amp;'Arrecadação das Missas'!B156)</f>
        <v/>
      </c>
      <c r="C1155">
        <f>SE('Arrecadação das Missas'!A156="";"";'Arrecadação das Missas'!D156)</f>
        <v/>
      </c>
      <c r="D1155">
        <f>SE('Arrecadação das Missas'!A156="";"";0)</f>
        <v/>
      </c>
    </row>
    <row r="1156">
      <c r="A1156">
        <f>SE('Arrecadação das Missas'!A157="";"";'Arrecadação das Missas'!A157)</f>
        <v/>
      </c>
      <c r="B1156">
        <f>SE('Arrecadação das Missas'!A157="";"";"Missas - "&amp;'Arrecadação das Missas'!B157)</f>
        <v/>
      </c>
      <c r="C1156">
        <f>SE('Arrecadação das Missas'!A157="";"";'Arrecadação das Missas'!D157)</f>
        <v/>
      </c>
      <c r="D1156">
        <f>SE('Arrecadação das Missas'!A157="";"";0)</f>
        <v/>
      </c>
    </row>
    <row r="1157">
      <c r="A1157">
        <f>SE('Arrecadação das Missas'!A158="";"";'Arrecadação das Missas'!A158)</f>
        <v/>
      </c>
      <c r="B1157">
        <f>SE('Arrecadação das Missas'!A158="";"";"Missas - "&amp;'Arrecadação das Missas'!B158)</f>
        <v/>
      </c>
      <c r="C1157">
        <f>SE('Arrecadação das Missas'!A158="";"";'Arrecadação das Missas'!D158)</f>
        <v/>
      </c>
      <c r="D1157">
        <f>SE('Arrecadação das Missas'!A158="";"";0)</f>
        <v/>
      </c>
    </row>
    <row r="1158">
      <c r="A1158">
        <f>SE('Arrecadação das Missas'!A159="";"";'Arrecadação das Missas'!A159)</f>
        <v/>
      </c>
      <c r="B1158">
        <f>SE('Arrecadação das Missas'!A159="";"";"Missas - "&amp;'Arrecadação das Missas'!B159)</f>
        <v/>
      </c>
      <c r="C1158">
        <f>SE('Arrecadação das Missas'!A159="";"";'Arrecadação das Missas'!D159)</f>
        <v/>
      </c>
      <c r="D1158">
        <f>SE('Arrecadação das Missas'!A159="";"";0)</f>
        <v/>
      </c>
    </row>
    <row r="1159">
      <c r="A1159">
        <f>SE('Arrecadação das Missas'!A160="";"";'Arrecadação das Missas'!A160)</f>
        <v/>
      </c>
      <c r="B1159">
        <f>SE('Arrecadação das Missas'!A160="";"";"Missas - "&amp;'Arrecadação das Missas'!B160)</f>
        <v/>
      </c>
      <c r="C1159">
        <f>SE('Arrecadação das Missas'!A160="";"";'Arrecadação das Missas'!D160)</f>
        <v/>
      </c>
      <c r="D1159">
        <f>SE('Arrecadação das Missas'!A160="";"";0)</f>
        <v/>
      </c>
    </row>
    <row r="1160">
      <c r="A1160">
        <f>SE('Arrecadação das Missas'!A161="";"";'Arrecadação das Missas'!A161)</f>
        <v/>
      </c>
      <c r="B1160">
        <f>SE('Arrecadação das Missas'!A161="";"";"Missas - "&amp;'Arrecadação das Missas'!B161)</f>
        <v/>
      </c>
      <c r="C1160">
        <f>SE('Arrecadação das Missas'!A161="";"";'Arrecadação das Missas'!D161)</f>
        <v/>
      </c>
      <c r="D1160">
        <f>SE('Arrecadação das Missas'!A161="";"";0)</f>
        <v/>
      </c>
    </row>
    <row r="1161">
      <c r="A1161">
        <f>SE('Arrecadação das Missas'!A162="";"";'Arrecadação das Missas'!A162)</f>
        <v/>
      </c>
      <c r="B1161">
        <f>SE('Arrecadação das Missas'!A162="";"";"Missas - "&amp;'Arrecadação das Missas'!B162)</f>
        <v/>
      </c>
      <c r="C1161">
        <f>SE('Arrecadação das Missas'!A162="";"";'Arrecadação das Missas'!D162)</f>
        <v/>
      </c>
      <c r="D1161">
        <f>SE('Arrecadação das Missas'!A162="";"";0)</f>
        <v/>
      </c>
    </row>
    <row r="1162">
      <c r="A1162">
        <f>SE('Arrecadação das Missas'!A163="";"";'Arrecadação das Missas'!A163)</f>
        <v/>
      </c>
      <c r="B1162">
        <f>SE('Arrecadação das Missas'!A163="";"";"Missas - "&amp;'Arrecadação das Missas'!B163)</f>
        <v/>
      </c>
      <c r="C1162">
        <f>SE('Arrecadação das Missas'!A163="";"";'Arrecadação das Missas'!D163)</f>
        <v/>
      </c>
      <c r="D1162">
        <f>SE('Arrecadação das Missas'!A163="";"";0)</f>
        <v/>
      </c>
    </row>
    <row r="1163">
      <c r="A1163">
        <f>SE('Arrecadação das Missas'!A164="";"";'Arrecadação das Missas'!A164)</f>
        <v/>
      </c>
      <c r="B1163">
        <f>SE('Arrecadação das Missas'!A164="";"";"Missas - "&amp;'Arrecadação das Missas'!B164)</f>
        <v/>
      </c>
      <c r="C1163">
        <f>SE('Arrecadação das Missas'!A164="";"";'Arrecadação das Missas'!D164)</f>
        <v/>
      </c>
      <c r="D1163">
        <f>SE('Arrecadação das Missas'!A164="";"";0)</f>
        <v/>
      </c>
    </row>
    <row r="1164">
      <c r="A1164">
        <f>SE('Arrecadação das Missas'!A165="";"";'Arrecadação das Missas'!A165)</f>
        <v/>
      </c>
      <c r="B1164">
        <f>SE('Arrecadação das Missas'!A165="";"";"Missas - "&amp;'Arrecadação das Missas'!B165)</f>
        <v/>
      </c>
      <c r="C1164">
        <f>SE('Arrecadação das Missas'!A165="";"";'Arrecadação das Missas'!D165)</f>
        <v/>
      </c>
      <c r="D1164">
        <f>SE('Arrecadação das Missas'!A165="";"";0)</f>
        <v/>
      </c>
    </row>
    <row r="1165">
      <c r="A1165">
        <f>SE('Arrecadação das Missas'!A166="";"";'Arrecadação das Missas'!A166)</f>
        <v/>
      </c>
      <c r="B1165">
        <f>SE('Arrecadação das Missas'!A166="";"";"Missas - "&amp;'Arrecadação das Missas'!B166)</f>
        <v/>
      </c>
      <c r="C1165">
        <f>SE('Arrecadação das Missas'!A166="";"";'Arrecadação das Missas'!D166)</f>
        <v/>
      </c>
      <c r="D1165">
        <f>SE('Arrecadação das Missas'!A166="";"";0)</f>
        <v/>
      </c>
    </row>
    <row r="1166">
      <c r="A1166">
        <f>SE('Arrecadação das Missas'!A167="";"";'Arrecadação das Missas'!A167)</f>
        <v/>
      </c>
      <c r="B1166">
        <f>SE('Arrecadação das Missas'!A167="";"";"Missas - "&amp;'Arrecadação das Missas'!B167)</f>
        <v/>
      </c>
      <c r="C1166">
        <f>SE('Arrecadação das Missas'!A167="";"";'Arrecadação das Missas'!D167)</f>
        <v/>
      </c>
      <c r="D1166">
        <f>SE('Arrecadação das Missas'!A167="";"";0)</f>
        <v/>
      </c>
    </row>
    <row r="1167">
      <c r="A1167">
        <f>SE('Arrecadação das Missas'!A168="";"";'Arrecadação das Missas'!A168)</f>
        <v/>
      </c>
      <c r="B1167">
        <f>SE('Arrecadação das Missas'!A168="";"";"Missas - "&amp;'Arrecadação das Missas'!B168)</f>
        <v/>
      </c>
      <c r="C1167">
        <f>SE('Arrecadação das Missas'!A168="";"";'Arrecadação das Missas'!D168)</f>
        <v/>
      </c>
      <c r="D1167">
        <f>SE('Arrecadação das Missas'!A168="";"";0)</f>
        <v/>
      </c>
    </row>
    <row r="1168">
      <c r="A1168">
        <f>SE('Arrecadação das Missas'!A169="";"";'Arrecadação das Missas'!A169)</f>
        <v/>
      </c>
      <c r="B1168">
        <f>SE('Arrecadação das Missas'!A169="";"";"Missas - "&amp;'Arrecadação das Missas'!B169)</f>
        <v/>
      </c>
      <c r="C1168">
        <f>SE('Arrecadação das Missas'!A169="";"";'Arrecadação das Missas'!D169)</f>
        <v/>
      </c>
      <c r="D1168">
        <f>SE('Arrecadação das Missas'!A169="";"";0)</f>
        <v/>
      </c>
    </row>
    <row r="1169">
      <c r="A1169">
        <f>SE('Arrecadação das Missas'!A170="";"";'Arrecadação das Missas'!A170)</f>
        <v/>
      </c>
      <c r="B1169">
        <f>SE('Arrecadação das Missas'!A170="";"";"Missas - "&amp;'Arrecadação das Missas'!B170)</f>
        <v/>
      </c>
      <c r="C1169">
        <f>SE('Arrecadação das Missas'!A170="";"";'Arrecadação das Missas'!D170)</f>
        <v/>
      </c>
      <c r="D1169">
        <f>SE('Arrecadação das Missas'!A170="";"";0)</f>
        <v/>
      </c>
    </row>
    <row r="1170">
      <c r="A1170">
        <f>SE('Arrecadação das Missas'!A171="";"";'Arrecadação das Missas'!A171)</f>
        <v/>
      </c>
      <c r="B1170">
        <f>SE('Arrecadação das Missas'!A171="";"";"Missas - "&amp;'Arrecadação das Missas'!B171)</f>
        <v/>
      </c>
      <c r="C1170">
        <f>SE('Arrecadação das Missas'!A171="";"";'Arrecadação das Missas'!D171)</f>
        <v/>
      </c>
      <c r="D1170">
        <f>SE('Arrecadação das Missas'!A171="";"";0)</f>
        <v/>
      </c>
    </row>
    <row r="1171">
      <c r="A1171">
        <f>SE('Arrecadação das Missas'!A172="";"";'Arrecadação das Missas'!A172)</f>
        <v/>
      </c>
      <c r="B1171">
        <f>SE('Arrecadação das Missas'!A172="";"";"Missas - "&amp;'Arrecadação das Missas'!B172)</f>
        <v/>
      </c>
      <c r="C1171">
        <f>SE('Arrecadação das Missas'!A172="";"";'Arrecadação das Missas'!D172)</f>
        <v/>
      </c>
      <c r="D1171">
        <f>SE('Arrecadação das Missas'!A172="";"";0)</f>
        <v/>
      </c>
    </row>
    <row r="1172">
      <c r="A1172">
        <f>SE('Arrecadação das Missas'!A173="";"";'Arrecadação das Missas'!A173)</f>
        <v/>
      </c>
      <c r="B1172">
        <f>SE('Arrecadação das Missas'!A173="";"";"Missas - "&amp;'Arrecadação das Missas'!B173)</f>
        <v/>
      </c>
      <c r="C1172">
        <f>SE('Arrecadação das Missas'!A173="";"";'Arrecadação das Missas'!D173)</f>
        <v/>
      </c>
      <c r="D1172">
        <f>SE('Arrecadação das Missas'!A173="";"";0)</f>
        <v/>
      </c>
    </row>
    <row r="1173">
      <c r="A1173">
        <f>SE('Arrecadação das Missas'!A174="";"";'Arrecadação das Missas'!A174)</f>
        <v/>
      </c>
      <c r="B1173">
        <f>SE('Arrecadação das Missas'!A174="";"";"Missas - "&amp;'Arrecadação das Missas'!B174)</f>
        <v/>
      </c>
      <c r="C1173">
        <f>SE('Arrecadação das Missas'!A174="";"";'Arrecadação das Missas'!D174)</f>
        <v/>
      </c>
      <c r="D1173">
        <f>SE('Arrecadação das Missas'!A174="";"";0)</f>
        <v/>
      </c>
    </row>
    <row r="1174">
      <c r="A1174">
        <f>SE('Arrecadação das Missas'!A175="";"";'Arrecadação das Missas'!A175)</f>
        <v/>
      </c>
      <c r="B1174">
        <f>SE('Arrecadação das Missas'!A175="";"";"Missas - "&amp;'Arrecadação das Missas'!B175)</f>
        <v/>
      </c>
      <c r="C1174">
        <f>SE('Arrecadação das Missas'!A175="";"";'Arrecadação das Missas'!D175)</f>
        <v/>
      </c>
      <c r="D1174">
        <f>SE('Arrecadação das Missas'!A175="";"";0)</f>
        <v/>
      </c>
    </row>
    <row r="1175">
      <c r="A1175">
        <f>SE('Arrecadação das Missas'!A176="";"";'Arrecadação das Missas'!A176)</f>
        <v/>
      </c>
      <c r="B1175">
        <f>SE('Arrecadação das Missas'!A176="";"";"Missas - "&amp;'Arrecadação das Missas'!B176)</f>
        <v/>
      </c>
      <c r="C1175">
        <f>SE('Arrecadação das Missas'!A176="";"";'Arrecadação das Missas'!D176)</f>
        <v/>
      </c>
      <c r="D1175">
        <f>SE('Arrecadação das Missas'!A176="";"";0)</f>
        <v/>
      </c>
    </row>
    <row r="1176">
      <c r="A1176">
        <f>SE('Arrecadação das Missas'!A177="";"";'Arrecadação das Missas'!A177)</f>
        <v/>
      </c>
      <c r="B1176">
        <f>SE('Arrecadação das Missas'!A177="";"";"Missas - "&amp;'Arrecadação das Missas'!B177)</f>
        <v/>
      </c>
      <c r="C1176">
        <f>SE('Arrecadação das Missas'!A177="";"";'Arrecadação das Missas'!D177)</f>
        <v/>
      </c>
      <c r="D1176">
        <f>SE('Arrecadação das Missas'!A177="";"";0)</f>
        <v/>
      </c>
    </row>
    <row r="1177">
      <c r="A1177">
        <f>SE('Arrecadação das Missas'!A178="";"";'Arrecadação das Missas'!A178)</f>
        <v/>
      </c>
      <c r="B1177">
        <f>SE('Arrecadação das Missas'!A178="";"";"Missas - "&amp;'Arrecadação das Missas'!B178)</f>
        <v/>
      </c>
      <c r="C1177">
        <f>SE('Arrecadação das Missas'!A178="";"";'Arrecadação das Missas'!D178)</f>
        <v/>
      </c>
      <c r="D1177">
        <f>SE('Arrecadação das Missas'!A178="";"";0)</f>
        <v/>
      </c>
    </row>
    <row r="1178">
      <c r="A1178">
        <f>SE('Arrecadação das Missas'!A179="";"";'Arrecadação das Missas'!A179)</f>
        <v/>
      </c>
      <c r="B1178">
        <f>SE('Arrecadação das Missas'!A179="";"";"Missas - "&amp;'Arrecadação das Missas'!B179)</f>
        <v/>
      </c>
      <c r="C1178">
        <f>SE('Arrecadação das Missas'!A179="";"";'Arrecadação das Missas'!D179)</f>
        <v/>
      </c>
      <c r="D1178">
        <f>SE('Arrecadação das Missas'!A179="";"";0)</f>
        <v/>
      </c>
    </row>
    <row r="1179">
      <c r="A1179">
        <f>SE('Arrecadação das Missas'!A180="";"";'Arrecadação das Missas'!A180)</f>
        <v/>
      </c>
      <c r="B1179">
        <f>SE('Arrecadação das Missas'!A180="";"";"Missas - "&amp;'Arrecadação das Missas'!B180)</f>
        <v/>
      </c>
      <c r="C1179">
        <f>SE('Arrecadação das Missas'!A180="";"";'Arrecadação das Missas'!D180)</f>
        <v/>
      </c>
      <c r="D1179">
        <f>SE('Arrecadação das Missas'!A180="";"";0)</f>
        <v/>
      </c>
    </row>
    <row r="1180">
      <c r="A1180">
        <f>SE('Arrecadação das Missas'!A181="";"";'Arrecadação das Missas'!A181)</f>
        <v/>
      </c>
      <c r="B1180">
        <f>SE('Arrecadação das Missas'!A181="";"";"Missas - "&amp;'Arrecadação das Missas'!B181)</f>
        <v/>
      </c>
      <c r="C1180">
        <f>SE('Arrecadação das Missas'!A181="";"";'Arrecadação das Missas'!D181)</f>
        <v/>
      </c>
      <c r="D1180">
        <f>SE('Arrecadação das Missas'!A181="";"";0)</f>
        <v/>
      </c>
    </row>
    <row r="1181">
      <c r="A1181">
        <f>SE('Arrecadação das Missas'!A182="";"";'Arrecadação das Missas'!A182)</f>
        <v/>
      </c>
      <c r="B1181">
        <f>SE('Arrecadação das Missas'!A182="";"";"Missas - "&amp;'Arrecadação das Missas'!B182)</f>
        <v/>
      </c>
      <c r="C1181">
        <f>SE('Arrecadação das Missas'!A182="";"";'Arrecadação das Missas'!D182)</f>
        <v/>
      </c>
      <c r="D1181">
        <f>SE('Arrecadação das Missas'!A182="";"";0)</f>
        <v/>
      </c>
    </row>
    <row r="1182">
      <c r="A1182">
        <f>SE('Arrecadação das Missas'!A183="";"";'Arrecadação das Missas'!A183)</f>
        <v/>
      </c>
      <c r="B1182">
        <f>SE('Arrecadação das Missas'!A183="";"";"Missas - "&amp;'Arrecadação das Missas'!B183)</f>
        <v/>
      </c>
      <c r="C1182">
        <f>SE('Arrecadação das Missas'!A183="";"";'Arrecadação das Missas'!D183)</f>
        <v/>
      </c>
      <c r="D1182">
        <f>SE('Arrecadação das Missas'!A183="";"";0)</f>
        <v/>
      </c>
    </row>
    <row r="1183">
      <c r="A1183">
        <f>SE('Arrecadação das Missas'!A184="";"";'Arrecadação das Missas'!A184)</f>
        <v/>
      </c>
      <c r="B1183">
        <f>SE('Arrecadação das Missas'!A184="";"";"Missas - "&amp;'Arrecadação das Missas'!B184)</f>
        <v/>
      </c>
      <c r="C1183">
        <f>SE('Arrecadação das Missas'!A184="";"";'Arrecadação das Missas'!D184)</f>
        <v/>
      </c>
      <c r="D1183">
        <f>SE('Arrecadação das Missas'!A184="";"";0)</f>
        <v/>
      </c>
    </row>
    <row r="1184">
      <c r="A1184">
        <f>SE('Arrecadação das Missas'!A185="";"";'Arrecadação das Missas'!A185)</f>
        <v/>
      </c>
      <c r="B1184">
        <f>SE('Arrecadação das Missas'!A185="";"";"Missas - "&amp;'Arrecadação das Missas'!B185)</f>
        <v/>
      </c>
      <c r="C1184">
        <f>SE('Arrecadação das Missas'!A185="";"";'Arrecadação das Missas'!D185)</f>
        <v/>
      </c>
      <c r="D1184">
        <f>SE('Arrecadação das Missas'!A185="";"";0)</f>
        <v/>
      </c>
    </row>
    <row r="1185">
      <c r="A1185">
        <f>SE('Arrecadação das Missas'!A186="";"";'Arrecadação das Missas'!A186)</f>
        <v/>
      </c>
      <c r="B1185">
        <f>SE('Arrecadação das Missas'!A186="";"";"Missas - "&amp;'Arrecadação das Missas'!B186)</f>
        <v/>
      </c>
      <c r="C1185">
        <f>SE('Arrecadação das Missas'!A186="";"";'Arrecadação das Missas'!D186)</f>
        <v/>
      </c>
      <c r="D1185">
        <f>SE('Arrecadação das Missas'!A186="";"";0)</f>
        <v/>
      </c>
    </row>
    <row r="1186">
      <c r="A1186">
        <f>SE('Arrecadação das Missas'!A187="";"";'Arrecadação das Missas'!A187)</f>
        <v/>
      </c>
      <c r="B1186">
        <f>SE('Arrecadação das Missas'!A187="";"";"Missas - "&amp;'Arrecadação das Missas'!B187)</f>
        <v/>
      </c>
      <c r="C1186">
        <f>SE('Arrecadação das Missas'!A187="";"";'Arrecadação das Missas'!D187)</f>
        <v/>
      </c>
      <c r="D1186">
        <f>SE('Arrecadação das Missas'!A187="";"";0)</f>
        <v/>
      </c>
    </row>
    <row r="1187">
      <c r="A1187">
        <f>SE('Arrecadação das Missas'!A188="";"";'Arrecadação das Missas'!A188)</f>
        <v/>
      </c>
      <c r="B1187">
        <f>SE('Arrecadação das Missas'!A188="";"";"Missas - "&amp;'Arrecadação das Missas'!B188)</f>
        <v/>
      </c>
      <c r="C1187">
        <f>SE('Arrecadação das Missas'!A188="";"";'Arrecadação das Missas'!D188)</f>
        <v/>
      </c>
      <c r="D1187">
        <f>SE('Arrecadação das Missas'!A188="";"";0)</f>
        <v/>
      </c>
    </row>
    <row r="1188">
      <c r="A1188">
        <f>SE('Arrecadação das Missas'!A189="";"";'Arrecadação das Missas'!A189)</f>
        <v/>
      </c>
      <c r="B1188">
        <f>SE('Arrecadação das Missas'!A189="";"";"Missas - "&amp;'Arrecadação das Missas'!B189)</f>
        <v/>
      </c>
      <c r="C1188">
        <f>SE('Arrecadação das Missas'!A189="";"";'Arrecadação das Missas'!D189)</f>
        <v/>
      </c>
      <c r="D1188">
        <f>SE('Arrecadação das Missas'!A189="";"";0)</f>
        <v/>
      </c>
    </row>
    <row r="1189">
      <c r="A1189">
        <f>SE('Arrecadação das Missas'!A190="";"";'Arrecadação das Missas'!A190)</f>
        <v/>
      </c>
      <c r="B1189">
        <f>SE('Arrecadação das Missas'!A190="";"";"Missas - "&amp;'Arrecadação das Missas'!B190)</f>
        <v/>
      </c>
      <c r="C1189">
        <f>SE('Arrecadação das Missas'!A190="";"";'Arrecadação das Missas'!D190)</f>
        <v/>
      </c>
      <c r="D1189">
        <f>SE('Arrecadação das Missas'!A190="";"";0)</f>
        <v/>
      </c>
    </row>
    <row r="1190">
      <c r="A1190">
        <f>SE('Arrecadação das Missas'!A191="";"";'Arrecadação das Missas'!A191)</f>
        <v/>
      </c>
      <c r="B1190">
        <f>SE('Arrecadação das Missas'!A191="";"";"Missas - "&amp;'Arrecadação das Missas'!B191)</f>
        <v/>
      </c>
      <c r="C1190">
        <f>SE('Arrecadação das Missas'!A191="";"";'Arrecadação das Missas'!D191)</f>
        <v/>
      </c>
      <c r="D1190">
        <f>SE('Arrecadação das Missas'!A191="";"";0)</f>
        <v/>
      </c>
    </row>
    <row r="1191">
      <c r="A1191">
        <f>SE('Arrecadação das Missas'!A192="";"";'Arrecadação das Missas'!A192)</f>
        <v/>
      </c>
      <c r="B1191">
        <f>SE('Arrecadação das Missas'!A192="";"";"Missas - "&amp;'Arrecadação das Missas'!B192)</f>
        <v/>
      </c>
      <c r="C1191">
        <f>SE('Arrecadação das Missas'!A192="";"";'Arrecadação das Missas'!D192)</f>
        <v/>
      </c>
      <c r="D1191">
        <f>SE('Arrecadação das Missas'!A192="";"";0)</f>
        <v/>
      </c>
    </row>
    <row r="1192">
      <c r="A1192">
        <f>SE('Arrecadação das Missas'!A193="";"";'Arrecadação das Missas'!A193)</f>
        <v/>
      </c>
      <c r="B1192">
        <f>SE('Arrecadação das Missas'!A193="";"";"Missas - "&amp;'Arrecadação das Missas'!B193)</f>
        <v/>
      </c>
      <c r="C1192">
        <f>SE('Arrecadação das Missas'!A193="";"";'Arrecadação das Missas'!D193)</f>
        <v/>
      </c>
      <c r="D1192">
        <f>SE('Arrecadação das Missas'!A193="";"";0)</f>
        <v/>
      </c>
    </row>
    <row r="1193">
      <c r="A1193">
        <f>SE('Arrecadação das Missas'!A194="";"";'Arrecadação das Missas'!A194)</f>
        <v/>
      </c>
      <c r="B1193">
        <f>SE('Arrecadação das Missas'!A194="";"";"Missas - "&amp;'Arrecadação das Missas'!B194)</f>
        <v/>
      </c>
      <c r="C1193">
        <f>SE('Arrecadação das Missas'!A194="";"";'Arrecadação das Missas'!D194)</f>
        <v/>
      </c>
      <c r="D1193">
        <f>SE('Arrecadação das Missas'!A194="";"";0)</f>
        <v/>
      </c>
    </row>
    <row r="1194">
      <c r="A1194">
        <f>SE('Arrecadação das Missas'!A195="";"";'Arrecadação das Missas'!A195)</f>
        <v/>
      </c>
      <c r="B1194">
        <f>SE('Arrecadação das Missas'!A195="";"";"Missas - "&amp;'Arrecadação das Missas'!B195)</f>
        <v/>
      </c>
      <c r="C1194">
        <f>SE('Arrecadação das Missas'!A195="";"";'Arrecadação das Missas'!D195)</f>
        <v/>
      </c>
      <c r="D1194">
        <f>SE('Arrecadação das Missas'!A195="";"";0)</f>
        <v/>
      </c>
    </row>
    <row r="1195">
      <c r="A1195">
        <f>SE('Arrecadação das Missas'!A196="";"";'Arrecadação das Missas'!A196)</f>
        <v/>
      </c>
      <c r="B1195">
        <f>SE('Arrecadação das Missas'!A196="";"";"Missas - "&amp;'Arrecadação das Missas'!B196)</f>
        <v/>
      </c>
      <c r="C1195">
        <f>SE('Arrecadação das Missas'!A196="";"";'Arrecadação das Missas'!D196)</f>
        <v/>
      </c>
      <c r="D1195">
        <f>SE('Arrecadação das Missas'!A196="";"";0)</f>
        <v/>
      </c>
    </row>
    <row r="1196">
      <c r="A1196">
        <f>SE('Arrecadação das Missas'!A197="";"";'Arrecadação das Missas'!A197)</f>
        <v/>
      </c>
      <c r="B1196">
        <f>SE('Arrecadação das Missas'!A197="";"";"Missas - "&amp;'Arrecadação das Missas'!B197)</f>
        <v/>
      </c>
      <c r="C1196">
        <f>SE('Arrecadação das Missas'!A197="";"";'Arrecadação das Missas'!D197)</f>
        <v/>
      </c>
      <c r="D1196">
        <f>SE('Arrecadação das Missas'!A197="";"";0)</f>
        <v/>
      </c>
    </row>
    <row r="1197">
      <c r="A1197">
        <f>SE('Arrecadação das Missas'!A198="";"";'Arrecadação das Missas'!A198)</f>
        <v/>
      </c>
      <c r="B1197">
        <f>SE('Arrecadação das Missas'!A198="";"";"Missas - "&amp;'Arrecadação das Missas'!B198)</f>
        <v/>
      </c>
      <c r="C1197">
        <f>SE('Arrecadação das Missas'!A198="";"";'Arrecadação das Missas'!D198)</f>
        <v/>
      </c>
      <c r="D1197">
        <f>SE('Arrecadação das Missas'!A198="";"";0)</f>
        <v/>
      </c>
    </row>
    <row r="1198">
      <c r="A1198">
        <f>SE('Arrecadação das Missas'!A199="";"";'Arrecadação das Missas'!A199)</f>
        <v/>
      </c>
      <c r="B1198">
        <f>SE('Arrecadação das Missas'!A199="";"";"Missas - "&amp;'Arrecadação das Missas'!B199)</f>
        <v/>
      </c>
      <c r="C1198">
        <f>SE('Arrecadação das Missas'!A199="";"";'Arrecadação das Missas'!D199)</f>
        <v/>
      </c>
      <c r="D1198">
        <f>SE('Arrecadação das Missas'!A199="";"";0)</f>
        <v/>
      </c>
    </row>
    <row r="1199">
      <c r="A1199">
        <f>SE('Arrecadação das Missas'!A200="";"";'Arrecadação das Missas'!A200)</f>
        <v/>
      </c>
      <c r="B1199">
        <f>SE('Arrecadação das Missas'!A200="";"";"Missas - "&amp;'Arrecadação das Missas'!B200)</f>
        <v/>
      </c>
      <c r="C1199">
        <f>SE('Arrecadação das Missas'!A200="";"";'Arrecadação das Missas'!D200)</f>
        <v/>
      </c>
      <c r="D1199">
        <f>SE('Arrecadação das Missas'!A200="";"";0)</f>
        <v/>
      </c>
    </row>
    <row r="1200">
      <c r="A1200">
        <f>SE('Arrecadação das Missas'!A201="";"";'Arrecadação das Missas'!A201)</f>
        <v/>
      </c>
      <c r="B1200">
        <f>SE('Arrecadação das Missas'!A201="";"";"Missas - "&amp;'Arrecadação das Missas'!B201)</f>
        <v/>
      </c>
      <c r="C1200">
        <f>SE('Arrecadação das Missas'!A201="";"";'Arrecadação das Missas'!D201)</f>
        <v/>
      </c>
      <c r="D1200">
        <f>SE('Arrecadação das Missas'!A201="";"";0)</f>
        <v/>
      </c>
    </row>
    <row r="1201">
      <c r="A1201">
        <f>SE('Arrecadação das Missas'!A202="";"";'Arrecadação das Missas'!A202)</f>
        <v/>
      </c>
      <c r="B1201">
        <f>SE('Arrecadação das Missas'!A202="";"";"Missas - "&amp;'Arrecadação das Missas'!B202)</f>
        <v/>
      </c>
      <c r="C1201">
        <f>SE('Arrecadação das Missas'!A202="";"";'Arrecadação das Missas'!D202)</f>
        <v/>
      </c>
      <c r="D1201">
        <f>SE('Arrecadação das Missas'!A202="";"";0)</f>
        <v/>
      </c>
    </row>
    <row r="1202">
      <c r="A1202">
        <f>SE('Arrecadação das Missas'!A203="";"";'Arrecadação das Missas'!A203)</f>
        <v/>
      </c>
      <c r="B1202">
        <f>SE('Arrecadação das Missas'!A203="";"";"Missas - "&amp;'Arrecadação das Missas'!B203)</f>
        <v/>
      </c>
      <c r="C1202">
        <f>SE('Arrecadação das Missas'!A203="";"";'Arrecadação das Missas'!D203)</f>
        <v/>
      </c>
      <c r="D1202">
        <f>SE('Arrecadação das Missas'!A203="";"";0)</f>
        <v/>
      </c>
    </row>
    <row r="1203">
      <c r="A1203">
        <f>SE('Arrecadação das Missas'!A204="";"";'Arrecadação das Missas'!A204)</f>
        <v/>
      </c>
      <c r="B1203">
        <f>SE('Arrecadação das Missas'!A204="";"";"Missas - "&amp;'Arrecadação das Missas'!B204)</f>
        <v/>
      </c>
      <c r="C1203">
        <f>SE('Arrecadação das Missas'!A204="";"";'Arrecadação das Missas'!D204)</f>
        <v/>
      </c>
      <c r="D1203">
        <f>SE('Arrecadação das Missas'!A204="";"";0)</f>
        <v/>
      </c>
    </row>
    <row r="1204">
      <c r="A1204">
        <f>SE('Arrecadação das Missas'!A205="";"";'Arrecadação das Missas'!A205)</f>
        <v/>
      </c>
      <c r="B1204">
        <f>SE('Arrecadação das Missas'!A205="";"";"Missas - "&amp;'Arrecadação das Missas'!B205)</f>
        <v/>
      </c>
      <c r="C1204">
        <f>SE('Arrecadação das Missas'!A205="";"";'Arrecadação das Missas'!D205)</f>
        <v/>
      </c>
      <c r="D1204">
        <f>SE('Arrecadação das Missas'!A205="";"";0)</f>
        <v/>
      </c>
    </row>
    <row r="1205">
      <c r="A1205">
        <f>SE('Arrecadação das Missas'!A206="";"";'Arrecadação das Missas'!A206)</f>
        <v/>
      </c>
      <c r="B1205">
        <f>SE('Arrecadação das Missas'!A206="";"";"Missas - "&amp;'Arrecadação das Missas'!B206)</f>
        <v/>
      </c>
      <c r="C1205">
        <f>SE('Arrecadação das Missas'!A206="";"";'Arrecadação das Missas'!D206)</f>
        <v/>
      </c>
      <c r="D1205">
        <f>SE('Arrecadação das Missas'!A206="";"";0)</f>
        <v/>
      </c>
    </row>
    <row r="1206">
      <c r="A1206">
        <f>SE('Arrecadação das Missas'!A207="";"";'Arrecadação das Missas'!A207)</f>
        <v/>
      </c>
      <c r="B1206">
        <f>SE('Arrecadação das Missas'!A207="";"";"Missas - "&amp;'Arrecadação das Missas'!B207)</f>
        <v/>
      </c>
      <c r="C1206">
        <f>SE('Arrecadação das Missas'!A207="";"";'Arrecadação das Missas'!D207)</f>
        <v/>
      </c>
      <c r="D1206">
        <f>SE('Arrecadação das Missas'!A207="";"";0)</f>
        <v/>
      </c>
    </row>
    <row r="1207">
      <c r="A1207">
        <f>SE('Arrecadação das Missas'!A208="";"";'Arrecadação das Missas'!A208)</f>
        <v/>
      </c>
      <c r="B1207">
        <f>SE('Arrecadação das Missas'!A208="";"";"Missas - "&amp;'Arrecadação das Missas'!B208)</f>
        <v/>
      </c>
      <c r="C1207">
        <f>SE('Arrecadação das Missas'!A208="";"";'Arrecadação das Missas'!D208)</f>
        <v/>
      </c>
      <c r="D1207">
        <f>SE('Arrecadação das Missas'!A208="";"";0)</f>
        <v/>
      </c>
    </row>
    <row r="1208">
      <c r="A1208">
        <f>SE('Arrecadação das Missas'!A209="";"";'Arrecadação das Missas'!A209)</f>
        <v/>
      </c>
      <c r="B1208">
        <f>SE('Arrecadação das Missas'!A209="";"";"Missas - "&amp;'Arrecadação das Missas'!B209)</f>
        <v/>
      </c>
      <c r="C1208">
        <f>SE('Arrecadação das Missas'!A209="";"";'Arrecadação das Missas'!D209)</f>
        <v/>
      </c>
      <c r="D1208">
        <f>SE('Arrecadação das Missas'!A209="";"";0)</f>
        <v/>
      </c>
    </row>
    <row r="1209">
      <c r="A1209">
        <f>SE('Arrecadação das Missas'!A210="";"";'Arrecadação das Missas'!A210)</f>
        <v/>
      </c>
      <c r="B1209">
        <f>SE('Arrecadação das Missas'!A210="";"";"Missas - "&amp;'Arrecadação das Missas'!B210)</f>
        <v/>
      </c>
      <c r="C1209">
        <f>SE('Arrecadação das Missas'!A210="";"";'Arrecadação das Missas'!D210)</f>
        <v/>
      </c>
      <c r="D1209">
        <f>SE('Arrecadação das Missas'!A210="";"";0)</f>
        <v/>
      </c>
    </row>
    <row r="1210">
      <c r="A1210">
        <f>SE('Arrecadação das Missas'!A211="";"";'Arrecadação das Missas'!A211)</f>
        <v/>
      </c>
      <c r="B1210">
        <f>SE('Arrecadação das Missas'!A211="";"";"Missas - "&amp;'Arrecadação das Missas'!B211)</f>
        <v/>
      </c>
      <c r="C1210">
        <f>SE('Arrecadação das Missas'!A211="";"";'Arrecadação das Missas'!D211)</f>
        <v/>
      </c>
      <c r="D1210">
        <f>SE('Arrecadação das Missas'!A211="";"";0)</f>
        <v/>
      </c>
    </row>
    <row r="1211">
      <c r="A1211">
        <f>SE('Arrecadação das Missas'!A212="";"";'Arrecadação das Missas'!A212)</f>
        <v/>
      </c>
      <c r="B1211">
        <f>SE('Arrecadação das Missas'!A212="";"";"Missas - "&amp;'Arrecadação das Missas'!B212)</f>
        <v/>
      </c>
      <c r="C1211">
        <f>SE('Arrecadação das Missas'!A212="";"";'Arrecadação das Missas'!D212)</f>
        <v/>
      </c>
      <c r="D1211">
        <f>SE('Arrecadação das Missas'!A212="";"";0)</f>
        <v/>
      </c>
    </row>
    <row r="1212">
      <c r="A1212">
        <f>SE('Arrecadação das Missas'!A213="";"";'Arrecadação das Missas'!A213)</f>
        <v/>
      </c>
      <c r="B1212">
        <f>SE('Arrecadação das Missas'!A213="";"";"Missas - "&amp;'Arrecadação das Missas'!B213)</f>
        <v/>
      </c>
      <c r="C1212">
        <f>SE('Arrecadação das Missas'!A213="";"";'Arrecadação das Missas'!D213)</f>
        <v/>
      </c>
      <c r="D1212">
        <f>SE('Arrecadação das Missas'!A213="";"";0)</f>
        <v/>
      </c>
    </row>
    <row r="1213">
      <c r="A1213">
        <f>SE('Arrecadação das Missas'!A214="";"";'Arrecadação das Missas'!A214)</f>
        <v/>
      </c>
      <c r="B1213">
        <f>SE('Arrecadação das Missas'!A214="";"";"Missas - "&amp;'Arrecadação das Missas'!B214)</f>
        <v/>
      </c>
      <c r="C1213">
        <f>SE('Arrecadação das Missas'!A214="";"";'Arrecadação das Missas'!D214)</f>
        <v/>
      </c>
      <c r="D1213">
        <f>SE('Arrecadação das Missas'!A214="";"";0)</f>
        <v/>
      </c>
    </row>
    <row r="1214">
      <c r="A1214">
        <f>SE('Arrecadação das Missas'!A215="";"";'Arrecadação das Missas'!A215)</f>
        <v/>
      </c>
      <c r="B1214">
        <f>SE('Arrecadação das Missas'!A215="";"";"Missas - "&amp;'Arrecadação das Missas'!B215)</f>
        <v/>
      </c>
      <c r="C1214">
        <f>SE('Arrecadação das Missas'!A215="";"";'Arrecadação das Missas'!D215)</f>
        <v/>
      </c>
      <c r="D1214">
        <f>SE('Arrecadação das Missas'!A215="";"";0)</f>
        <v/>
      </c>
    </row>
    <row r="1215">
      <c r="A1215">
        <f>SE('Arrecadação das Missas'!A216="";"";'Arrecadação das Missas'!A216)</f>
        <v/>
      </c>
      <c r="B1215">
        <f>SE('Arrecadação das Missas'!A216="";"";"Missas - "&amp;'Arrecadação das Missas'!B216)</f>
        <v/>
      </c>
      <c r="C1215">
        <f>SE('Arrecadação das Missas'!A216="";"";'Arrecadação das Missas'!D216)</f>
        <v/>
      </c>
      <c r="D1215">
        <f>SE('Arrecadação das Missas'!A216="";"";0)</f>
        <v/>
      </c>
    </row>
    <row r="1216">
      <c r="A1216">
        <f>SE('Arrecadação das Missas'!A217="";"";'Arrecadação das Missas'!A217)</f>
        <v/>
      </c>
      <c r="B1216">
        <f>SE('Arrecadação das Missas'!A217="";"";"Missas - "&amp;'Arrecadação das Missas'!B217)</f>
        <v/>
      </c>
      <c r="C1216">
        <f>SE('Arrecadação das Missas'!A217="";"";'Arrecadação das Missas'!D217)</f>
        <v/>
      </c>
      <c r="D1216">
        <f>SE('Arrecadação das Missas'!A217="";"";0)</f>
        <v/>
      </c>
    </row>
    <row r="1217">
      <c r="A1217">
        <f>SE('Arrecadação das Missas'!A218="";"";'Arrecadação das Missas'!A218)</f>
        <v/>
      </c>
      <c r="B1217">
        <f>SE('Arrecadação das Missas'!A218="";"";"Missas - "&amp;'Arrecadação das Missas'!B218)</f>
        <v/>
      </c>
      <c r="C1217">
        <f>SE('Arrecadação das Missas'!A218="";"";'Arrecadação das Missas'!D218)</f>
        <v/>
      </c>
      <c r="D1217">
        <f>SE('Arrecadação das Missas'!A218="";"";0)</f>
        <v/>
      </c>
    </row>
    <row r="1218">
      <c r="A1218">
        <f>SE('Arrecadação das Missas'!A219="";"";'Arrecadação das Missas'!A219)</f>
        <v/>
      </c>
      <c r="B1218">
        <f>SE('Arrecadação das Missas'!A219="";"";"Missas - "&amp;'Arrecadação das Missas'!B219)</f>
        <v/>
      </c>
      <c r="C1218">
        <f>SE('Arrecadação das Missas'!A219="";"";'Arrecadação das Missas'!D219)</f>
        <v/>
      </c>
      <c r="D1218">
        <f>SE('Arrecadação das Missas'!A219="";"";0)</f>
        <v/>
      </c>
    </row>
    <row r="1219">
      <c r="A1219">
        <f>SE('Arrecadação das Missas'!A220="";"";'Arrecadação das Missas'!A220)</f>
        <v/>
      </c>
      <c r="B1219">
        <f>SE('Arrecadação das Missas'!A220="";"";"Missas - "&amp;'Arrecadação das Missas'!B220)</f>
        <v/>
      </c>
      <c r="C1219">
        <f>SE('Arrecadação das Missas'!A220="";"";'Arrecadação das Missas'!D220)</f>
        <v/>
      </c>
      <c r="D1219">
        <f>SE('Arrecadação das Missas'!A220="";"";0)</f>
        <v/>
      </c>
    </row>
    <row r="1220">
      <c r="A1220">
        <f>SE('Arrecadação das Missas'!A221="";"";'Arrecadação das Missas'!A221)</f>
        <v/>
      </c>
      <c r="B1220">
        <f>SE('Arrecadação das Missas'!A221="";"";"Missas - "&amp;'Arrecadação das Missas'!B221)</f>
        <v/>
      </c>
      <c r="C1220">
        <f>SE('Arrecadação das Missas'!A221="";"";'Arrecadação das Missas'!D221)</f>
        <v/>
      </c>
      <c r="D1220">
        <f>SE('Arrecadação das Missas'!A221="";"";0)</f>
        <v/>
      </c>
    </row>
    <row r="1221">
      <c r="A1221">
        <f>SE('Arrecadação das Missas'!A222="";"";'Arrecadação das Missas'!A222)</f>
        <v/>
      </c>
      <c r="B1221">
        <f>SE('Arrecadação das Missas'!A222="";"";"Missas - "&amp;'Arrecadação das Missas'!B222)</f>
        <v/>
      </c>
      <c r="C1221">
        <f>SE('Arrecadação das Missas'!A222="";"";'Arrecadação das Missas'!D222)</f>
        <v/>
      </c>
      <c r="D1221">
        <f>SE('Arrecadação das Missas'!A222="";"";0)</f>
        <v/>
      </c>
    </row>
    <row r="1222">
      <c r="A1222">
        <f>SE('Arrecadação das Missas'!A223="";"";'Arrecadação das Missas'!A223)</f>
        <v/>
      </c>
      <c r="B1222">
        <f>SE('Arrecadação das Missas'!A223="";"";"Missas - "&amp;'Arrecadação das Missas'!B223)</f>
        <v/>
      </c>
      <c r="C1222">
        <f>SE('Arrecadação das Missas'!A223="";"";'Arrecadação das Missas'!D223)</f>
        <v/>
      </c>
      <c r="D1222">
        <f>SE('Arrecadação das Missas'!A223="";"";0)</f>
        <v/>
      </c>
    </row>
    <row r="1223">
      <c r="A1223">
        <f>SE('Arrecadação das Missas'!A224="";"";'Arrecadação das Missas'!A224)</f>
        <v/>
      </c>
      <c r="B1223">
        <f>SE('Arrecadação das Missas'!A224="";"";"Missas - "&amp;'Arrecadação das Missas'!B224)</f>
        <v/>
      </c>
      <c r="C1223">
        <f>SE('Arrecadação das Missas'!A224="";"";'Arrecadação das Missas'!D224)</f>
        <v/>
      </c>
      <c r="D1223">
        <f>SE('Arrecadação das Missas'!A224="";"";0)</f>
        <v/>
      </c>
    </row>
    <row r="1224">
      <c r="A1224">
        <f>SE('Arrecadação das Missas'!A225="";"";'Arrecadação das Missas'!A225)</f>
        <v/>
      </c>
      <c r="B1224">
        <f>SE('Arrecadação das Missas'!A225="";"";"Missas - "&amp;'Arrecadação das Missas'!B225)</f>
        <v/>
      </c>
      <c r="C1224">
        <f>SE('Arrecadação das Missas'!A225="";"";'Arrecadação das Missas'!D225)</f>
        <v/>
      </c>
      <c r="D1224">
        <f>SE('Arrecadação das Missas'!A225="";"";0)</f>
        <v/>
      </c>
    </row>
    <row r="1225">
      <c r="A1225">
        <f>SE('Arrecadação das Missas'!A226="";"";'Arrecadação das Missas'!A226)</f>
        <v/>
      </c>
      <c r="B1225">
        <f>SE('Arrecadação das Missas'!A226="";"";"Missas - "&amp;'Arrecadação das Missas'!B226)</f>
        <v/>
      </c>
      <c r="C1225">
        <f>SE('Arrecadação das Missas'!A226="";"";'Arrecadação das Missas'!D226)</f>
        <v/>
      </c>
      <c r="D1225">
        <f>SE('Arrecadação das Missas'!A226="";"";0)</f>
        <v/>
      </c>
    </row>
    <row r="1226">
      <c r="A1226">
        <f>SE('Arrecadação das Missas'!A227="";"";'Arrecadação das Missas'!A227)</f>
        <v/>
      </c>
      <c r="B1226">
        <f>SE('Arrecadação das Missas'!A227="";"";"Missas - "&amp;'Arrecadação das Missas'!B227)</f>
        <v/>
      </c>
      <c r="C1226">
        <f>SE('Arrecadação das Missas'!A227="";"";'Arrecadação das Missas'!D227)</f>
        <v/>
      </c>
      <c r="D1226">
        <f>SE('Arrecadação das Missas'!A227="";"";0)</f>
        <v/>
      </c>
    </row>
    <row r="1227">
      <c r="A1227">
        <f>SE('Arrecadação das Missas'!A228="";"";'Arrecadação das Missas'!A228)</f>
        <v/>
      </c>
      <c r="B1227">
        <f>SE('Arrecadação das Missas'!A228="";"";"Missas - "&amp;'Arrecadação das Missas'!B228)</f>
        <v/>
      </c>
      <c r="C1227">
        <f>SE('Arrecadação das Missas'!A228="";"";'Arrecadação das Missas'!D228)</f>
        <v/>
      </c>
      <c r="D1227">
        <f>SE('Arrecadação das Missas'!A228="";"";0)</f>
        <v/>
      </c>
    </row>
    <row r="1228">
      <c r="A1228">
        <f>SE('Arrecadação das Missas'!A229="";"";'Arrecadação das Missas'!A229)</f>
        <v/>
      </c>
      <c r="B1228">
        <f>SE('Arrecadação das Missas'!A229="";"";"Missas - "&amp;'Arrecadação das Missas'!B229)</f>
        <v/>
      </c>
      <c r="C1228">
        <f>SE('Arrecadação das Missas'!A229="";"";'Arrecadação das Missas'!D229)</f>
        <v/>
      </c>
      <c r="D1228">
        <f>SE('Arrecadação das Missas'!A229="";"";0)</f>
        <v/>
      </c>
    </row>
    <row r="1229">
      <c r="A1229">
        <f>SE('Arrecadação das Missas'!A230="";"";'Arrecadação das Missas'!A230)</f>
        <v/>
      </c>
      <c r="B1229">
        <f>SE('Arrecadação das Missas'!A230="";"";"Missas - "&amp;'Arrecadação das Missas'!B230)</f>
        <v/>
      </c>
      <c r="C1229">
        <f>SE('Arrecadação das Missas'!A230="";"";'Arrecadação das Missas'!D230)</f>
        <v/>
      </c>
      <c r="D1229">
        <f>SE('Arrecadação das Missas'!A230="";"";0)</f>
        <v/>
      </c>
    </row>
    <row r="1230">
      <c r="A1230">
        <f>SE('Arrecadação das Missas'!A231="";"";'Arrecadação das Missas'!A231)</f>
        <v/>
      </c>
      <c r="B1230">
        <f>SE('Arrecadação das Missas'!A231="";"";"Missas - "&amp;'Arrecadação das Missas'!B231)</f>
        <v/>
      </c>
      <c r="C1230">
        <f>SE('Arrecadação das Missas'!A231="";"";'Arrecadação das Missas'!D231)</f>
        <v/>
      </c>
      <c r="D1230">
        <f>SE('Arrecadação das Missas'!A231="";"";0)</f>
        <v/>
      </c>
    </row>
    <row r="1231">
      <c r="A1231">
        <f>SE('Arrecadação das Missas'!A232="";"";'Arrecadação das Missas'!A232)</f>
        <v/>
      </c>
      <c r="B1231">
        <f>SE('Arrecadação das Missas'!A232="";"";"Missas - "&amp;'Arrecadação das Missas'!B232)</f>
        <v/>
      </c>
      <c r="C1231">
        <f>SE('Arrecadação das Missas'!A232="";"";'Arrecadação das Missas'!D232)</f>
        <v/>
      </c>
      <c r="D1231">
        <f>SE('Arrecadação das Missas'!A232="";"";0)</f>
        <v/>
      </c>
    </row>
    <row r="1232">
      <c r="A1232">
        <f>SE('Arrecadação das Missas'!A233="";"";'Arrecadação das Missas'!A233)</f>
        <v/>
      </c>
      <c r="B1232">
        <f>SE('Arrecadação das Missas'!A233="";"";"Missas - "&amp;'Arrecadação das Missas'!B233)</f>
        <v/>
      </c>
      <c r="C1232">
        <f>SE('Arrecadação das Missas'!A233="";"";'Arrecadação das Missas'!D233)</f>
        <v/>
      </c>
      <c r="D1232">
        <f>SE('Arrecadação das Missas'!A233="";"";0)</f>
        <v/>
      </c>
    </row>
    <row r="1233">
      <c r="A1233">
        <f>SE('Arrecadação das Missas'!A234="";"";'Arrecadação das Missas'!A234)</f>
        <v/>
      </c>
      <c r="B1233">
        <f>SE('Arrecadação das Missas'!A234="";"";"Missas - "&amp;'Arrecadação das Missas'!B234)</f>
        <v/>
      </c>
      <c r="C1233">
        <f>SE('Arrecadação das Missas'!A234="";"";'Arrecadação das Missas'!D234)</f>
        <v/>
      </c>
      <c r="D1233">
        <f>SE('Arrecadação das Missas'!A234="";"";0)</f>
        <v/>
      </c>
    </row>
    <row r="1234">
      <c r="A1234">
        <f>SE('Arrecadação das Missas'!A235="";"";'Arrecadação das Missas'!A235)</f>
        <v/>
      </c>
      <c r="B1234">
        <f>SE('Arrecadação das Missas'!A235="";"";"Missas - "&amp;'Arrecadação das Missas'!B235)</f>
        <v/>
      </c>
      <c r="C1234">
        <f>SE('Arrecadação das Missas'!A235="";"";'Arrecadação das Missas'!D235)</f>
        <v/>
      </c>
      <c r="D1234">
        <f>SE('Arrecadação das Missas'!A235="";"";0)</f>
        <v/>
      </c>
    </row>
    <row r="1235">
      <c r="A1235">
        <f>SE('Arrecadação das Missas'!A236="";"";'Arrecadação das Missas'!A236)</f>
        <v/>
      </c>
      <c r="B1235">
        <f>SE('Arrecadação das Missas'!A236="";"";"Missas - "&amp;'Arrecadação das Missas'!B236)</f>
        <v/>
      </c>
      <c r="C1235">
        <f>SE('Arrecadação das Missas'!A236="";"";'Arrecadação das Missas'!D236)</f>
        <v/>
      </c>
      <c r="D1235">
        <f>SE('Arrecadação das Missas'!A236="";"";0)</f>
        <v/>
      </c>
    </row>
    <row r="1236">
      <c r="A1236">
        <f>SE('Arrecadação das Missas'!A237="";"";'Arrecadação das Missas'!A237)</f>
        <v/>
      </c>
      <c r="B1236">
        <f>SE('Arrecadação das Missas'!A237="";"";"Missas - "&amp;'Arrecadação das Missas'!B237)</f>
        <v/>
      </c>
      <c r="C1236">
        <f>SE('Arrecadação das Missas'!A237="";"";'Arrecadação das Missas'!D237)</f>
        <v/>
      </c>
      <c r="D1236">
        <f>SE('Arrecadação das Missas'!A237="";"";0)</f>
        <v/>
      </c>
    </row>
    <row r="1237">
      <c r="A1237">
        <f>SE('Arrecadação das Missas'!A238="";"";'Arrecadação das Missas'!A238)</f>
        <v/>
      </c>
      <c r="B1237">
        <f>SE('Arrecadação das Missas'!A238="";"";"Missas - "&amp;'Arrecadação das Missas'!B238)</f>
        <v/>
      </c>
      <c r="C1237">
        <f>SE('Arrecadação das Missas'!A238="";"";'Arrecadação das Missas'!D238)</f>
        <v/>
      </c>
      <c r="D1237">
        <f>SE('Arrecadação das Missas'!A238="";"";0)</f>
        <v/>
      </c>
    </row>
    <row r="1238">
      <c r="A1238">
        <f>SE('Arrecadação das Missas'!A239="";"";'Arrecadação das Missas'!A239)</f>
        <v/>
      </c>
      <c r="B1238">
        <f>SE('Arrecadação das Missas'!A239="";"";"Missas - "&amp;'Arrecadação das Missas'!B239)</f>
        <v/>
      </c>
      <c r="C1238">
        <f>SE('Arrecadação das Missas'!A239="";"";'Arrecadação das Missas'!D239)</f>
        <v/>
      </c>
      <c r="D1238">
        <f>SE('Arrecadação das Missas'!A239="";"";0)</f>
        <v/>
      </c>
    </row>
    <row r="1239">
      <c r="A1239">
        <f>SE('Arrecadação das Missas'!A240="";"";'Arrecadação das Missas'!A240)</f>
        <v/>
      </c>
      <c r="B1239">
        <f>SE('Arrecadação das Missas'!A240="";"";"Missas - "&amp;'Arrecadação das Missas'!B240)</f>
        <v/>
      </c>
      <c r="C1239">
        <f>SE('Arrecadação das Missas'!A240="";"";'Arrecadação das Missas'!D240)</f>
        <v/>
      </c>
      <c r="D1239">
        <f>SE('Arrecadação das Missas'!A240="";"";0)</f>
        <v/>
      </c>
    </row>
    <row r="1240">
      <c r="A1240">
        <f>SE('Arrecadação das Missas'!A241="";"";'Arrecadação das Missas'!A241)</f>
        <v/>
      </c>
      <c r="B1240">
        <f>SE('Arrecadação das Missas'!A241="";"";"Missas - "&amp;'Arrecadação das Missas'!B241)</f>
        <v/>
      </c>
      <c r="C1240">
        <f>SE('Arrecadação das Missas'!A241="";"";'Arrecadação das Missas'!D241)</f>
        <v/>
      </c>
      <c r="D1240">
        <f>SE('Arrecadação das Missas'!A241="";"";0)</f>
        <v/>
      </c>
    </row>
    <row r="1241">
      <c r="A1241">
        <f>SE('Arrecadação das Missas'!A242="";"";'Arrecadação das Missas'!A242)</f>
        <v/>
      </c>
      <c r="B1241">
        <f>SE('Arrecadação das Missas'!A242="";"";"Missas - "&amp;'Arrecadação das Missas'!B242)</f>
        <v/>
      </c>
      <c r="C1241">
        <f>SE('Arrecadação das Missas'!A242="";"";'Arrecadação das Missas'!D242)</f>
        <v/>
      </c>
      <c r="D1241">
        <f>SE('Arrecadação das Missas'!A242="";"";0)</f>
        <v/>
      </c>
    </row>
    <row r="1242">
      <c r="A1242">
        <f>SE('Arrecadação das Missas'!A243="";"";'Arrecadação das Missas'!A243)</f>
        <v/>
      </c>
      <c r="B1242">
        <f>SE('Arrecadação das Missas'!A243="";"";"Missas - "&amp;'Arrecadação das Missas'!B243)</f>
        <v/>
      </c>
      <c r="C1242">
        <f>SE('Arrecadação das Missas'!A243="";"";'Arrecadação das Missas'!D243)</f>
        <v/>
      </c>
      <c r="D1242">
        <f>SE('Arrecadação das Missas'!A243="";"";0)</f>
        <v/>
      </c>
    </row>
    <row r="1243">
      <c r="A1243">
        <f>SE('Arrecadação das Missas'!A244="";"";'Arrecadação das Missas'!A244)</f>
        <v/>
      </c>
      <c r="B1243">
        <f>SE('Arrecadação das Missas'!A244="";"";"Missas - "&amp;'Arrecadação das Missas'!B244)</f>
        <v/>
      </c>
      <c r="C1243">
        <f>SE('Arrecadação das Missas'!A244="";"";'Arrecadação das Missas'!D244)</f>
        <v/>
      </c>
      <c r="D1243">
        <f>SE('Arrecadação das Missas'!A244="";"";0)</f>
        <v/>
      </c>
    </row>
    <row r="1244">
      <c r="A1244">
        <f>SE('Arrecadação das Missas'!A245="";"";'Arrecadação das Missas'!A245)</f>
        <v/>
      </c>
      <c r="B1244">
        <f>SE('Arrecadação das Missas'!A245="";"";"Missas - "&amp;'Arrecadação das Missas'!B245)</f>
        <v/>
      </c>
      <c r="C1244">
        <f>SE('Arrecadação das Missas'!A245="";"";'Arrecadação das Missas'!D245)</f>
        <v/>
      </c>
      <c r="D1244">
        <f>SE('Arrecadação das Missas'!A245="";"";0)</f>
        <v/>
      </c>
    </row>
    <row r="1245">
      <c r="A1245">
        <f>SE('Arrecadação das Missas'!A246="";"";'Arrecadação das Missas'!A246)</f>
        <v/>
      </c>
      <c r="B1245">
        <f>SE('Arrecadação das Missas'!A246="";"";"Missas - "&amp;'Arrecadação das Missas'!B246)</f>
        <v/>
      </c>
      <c r="C1245">
        <f>SE('Arrecadação das Missas'!A246="";"";'Arrecadação das Missas'!D246)</f>
        <v/>
      </c>
      <c r="D1245">
        <f>SE('Arrecadação das Missas'!A246="";"";0)</f>
        <v/>
      </c>
    </row>
    <row r="1246">
      <c r="A1246">
        <f>SE('Arrecadação das Missas'!A247="";"";'Arrecadação das Missas'!A247)</f>
        <v/>
      </c>
      <c r="B1246">
        <f>SE('Arrecadação das Missas'!A247="";"";"Missas - "&amp;'Arrecadação das Missas'!B247)</f>
        <v/>
      </c>
      <c r="C1246">
        <f>SE('Arrecadação das Missas'!A247="";"";'Arrecadação das Missas'!D247)</f>
        <v/>
      </c>
      <c r="D1246">
        <f>SE('Arrecadação das Missas'!A247="";"";0)</f>
        <v/>
      </c>
    </row>
    <row r="1247">
      <c r="A1247">
        <f>SE('Arrecadação das Missas'!A248="";"";'Arrecadação das Missas'!A248)</f>
        <v/>
      </c>
      <c r="B1247">
        <f>SE('Arrecadação das Missas'!A248="";"";"Missas - "&amp;'Arrecadação das Missas'!B248)</f>
        <v/>
      </c>
      <c r="C1247">
        <f>SE('Arrecadação das Missas'!A248="";"";'Arrecadação das Missas'!D248)</f>
        <v/>
      </c>
      <c r="D1247">
        <f>SE('Arrecadação das Missas'!A248="";"";0)</f>
        <v/>
      </c>
    </row>
    <row r="1248">
      <c r="A1248">
        <f>SE('Arrecadação das Missas'!A249="";"";'Arrecadação das Missas'!A249)</f>
        <v/>
      </c>
      <c r="B1248">
        <f>SE('Arrecadação das Missas'!A249="";"";"Missas - "&amp;'Arrecadação das Missas'!B249)</f>
        <v/>
      </c>
      <c r="C1248">
        <f>SE('Arrecadação das Missas'!A249="";"";'Arrecadação das Missas'!D249)</f>
        <v/>
      </c>
      <c r="D1248">
        <f>SE('Arrecadação das Missas'!A249="";"";0)</f>
        <v/>
      </c>
    </row>
    <row r="1249">
      <c r="A1249">
        <f>SE('Arrecadação das Missas'!A250="";"";'Arrecadação das Missas'!A250)</f>
        <v/>
      </c>
      <c r="B1249">
        <f>SE('Arrecadação das Missas'!A250="";"";"Missas - "&amp;'Arrecadação das Missas'!B250)</f>
        <v/>
      </c>
      <c r="C1249">
        <f>SE('Arrecadação das Missas'!A250="";"";'Arrecadação das Missas'!D250)</f>
        <v/>
      </c>
      <c r="D1249">
        <f>SE('Arrecadação das Missas'!A250="";"";0)</f>
        <v/>
      </c>
    </row>
    <row r="1250">
      <c r="A1250">
        <f>SE('Arrecadação das Missas'!A251="";"";'Arrecadação das Missas'!A251)</f>
        <v/>
      </c>
      <c r="B1250">
        <f>SE('Arrecadação das Missas'!A251="";"";"Missas - "&amp;'Arrecadação das Missas'!B251)</f>
        <v/>
      </c>
      <c r="C1250">
        <f>SE('Arrecadação das Missas'!A251="";"";'Arrecadação das Missas'!D251)</f>
        <v/>
      </c>
      <c r="D1250">
        <f>SE('Arrecadação das Missas'!A251="";"";0)</f>
        <v/>
      </c>
    </row>
    <row r="1251">
      <c r="A1251">
        <f>SE('Arrecadação das Missas'!A252="";"";'Arrecadação das Missas'!A252)</f>
        <v/>
      </c>
      <c r="B1251">
        <f>SE('Arrecadação das Missas'!A252="";"";"Missas - "&amp;'Arrecadação das Missas'!B252)</f>
        <v/>
      </c>
      <c r="C1251">
        <f>SE('Arrecadação das Missas'!A252="";"";'Arrecadação das Missas'!D252)</f>
        <v/>
      </c>
      <c r="D1251">
        <f>SE('Arrecadação das Missas'!A252="";"";0)</f>
        <v/>
      </c>
    </row>
    <row r="1252">
      <c r="A1252">
        <f>SE('Arrecadação das Missas'!A253="";"";'Arrecadação das Missas'!A253)</f>
        <v/>
      </c>
      <c r="B1252">
        <f>SE('Arrecadação das Missas'!A253="";"";"Missas - "&amp;'Arrecadação das Missas'!B253)</f>
        <v/>
      </c>
      <c r="C1252">
        <f>SE('Arrecadação das Missas'!A253="";"";'Arrecadação das Missas'!D253)</f>
        <v/>
      </c>
      <c r="D1252">
        <f>SE('Arrecadação das Missas'!A253="";"";0)</f>
        <v/>
      </c>
    </row>
    <row r="1253">
      <c r="A1253">
        <f>SE('Arrecadação das Missas'!A254="";"";'Arrecadação das Missas'!A254)</f>
        <v/>
      </c>
      <c r="B1253">
        <f>SE('Arrecadação das Missas'!A254="";"";"Missas - "&amp;'Arrecadação das Missas'!B254)</f>
        <v/>
      </c>
      <c r="C1253">
        <f>SE('Arrecadação das Missas'!A254="";"";'Arrecadação das Missas'!D254)</f>
        <v/>
      </c>
      <c r="D1253">
        <f>SE('Arrecadação das Missas'!A254="";"";0)</f>
        <v/>
      </c>
    </row>
    <row r="1254">
      <c r="A1254">
        <f>SE('Arrecadação das Missas'!A255="";"";'Arrecadação das Missas'!A255)</f>
        <v/>
      </c>
      <c r="B1254">
        <f>SE('Arrecadação das Missas'!A255="";"";"Missas - "&amp;'Arrecadação das Missas'!B255)</f>
        <v/>
      </c>
      <c r="C1254">
        <f>SE('Arrecadação das Missas'!A255="";"";'Arrecadação das Missas'!D255)</f>
        <v/>
      </c>
      <c r="D1254">
        <f>SE('Arrecadação das Missas'!A255="";"";0)</f>
        <v/>
      </c>
    </row>
    <row r="1255">
      <c r="A1255">
        <f>SE('Arrecadação das Missas'!A256="";"";'Arrecadação das Missas'!A256)</f>
        <v/>
      </c>
      <c r="B1255">
        <f>SE('Arrecadação das Missas'!A256="";"";"Missas - "&amp;'Arrecadação das Missas'!B256)</f>
        <v/>
      </c>
      <c r="C1255">
        <f>SE('Arrecadação das Missas'!A256="";"";'Arrecadação das Missas'!D256)</f>
        <v/>
      </c>
      <c r="D1255">
        <f>SE('Arrecadação das Missas'!A256="";"";0)</f>
        <v/>
      </c>
    </row>
    <row r="1256">
      <c r="A1256">
        <f>SE('Arrecadação das Missas'!A257="";"";'Arrecadação das Missas'!A257)</f>
        <v/>
      </c>
      <c r="B1256">
        <f>SE('Arrecadação das Missas'!A257="";"";"Missas - "&amp;'Arrecadação das Missas'!B257)</f>
        <v/>
      </c>
      <c r="C1256">
        <f>SE('Arrecadação das Missas'!A257="";"";'Arrecadação das Missas'!D257)</f>
        <v/>
      </c>
      <c r="D1256">
        <f>SE('Arrecadação das Missas'!A257="";"";0)</f>
        <v/>
      </c>
    </row>
    <row r="1257">
      <c r="A1257">
        <f>SE('Arrecadação das Missas'!A258="";"";'Arrecadação das Missas'!A258)</f>
        <v/>
      </c>
      <c r="B1257">
        <f>SE('Arrecadação das Missas'!A258="";"";"Missas - "&amp;'Arrecadação das Missas'!B258)</f>
        <v/>
      </c>
      <c r="C1257">
        <f>SE('Arrecadação das Missas'!A258="";"";'Arrecadação das Missas'!D258)</f>
        <v/>
      </c>
      <c r="D1257">
        <f>SE('Arrecadação das Missas'!A258="";"";0)</f>
        <v/>
      </c>
    </row>
    <row r="1258">
      <c r="A1258">
        <f>SE('Arrecadação das Missas'!A259="";"";'Arrecadação das Missas'!A259)</f>
        <v/>
      </c>
      <c r="B1258">
        <f>SE('Arrecadação das Missas'!A259="";"";"Missas - "&amp;'Arrecadação das Missas'!B259)</f>
        <v/>
      </c>
      <c r="C1258">
        <f>SE('Arrecadação das Missas'!A259="";"";'Arrecadação das Missas'!D259)</f>
        <v/>
      </c>
      <c r="D1258">
        <f>SE('Arrecadação das Missas'!A259="";"";0)</f>
        <v/>
      </c>
    </row>
    <row r="1259">
      <c r="A1259">
        <f>SE('Arrecadação das Missas'!A260="";"";'Arrecadação das Missas'!A260)</f>
        <v/>
      </c>
      <c r="B1259">
        <f>SE('Arrecadação das Missas'!A260="";"";"Missas - "&amp;'Arrecadação das Missas'!B260)</f>
        <v/>
      </c>
      <c r="C1259">
        <f>SE('Arrecadação das Missas'!A260="";"";'Arrecadação das Missas'!D260)</f>
        <v/>
      </c>
      <c r="D1259">
        <f>SE('Arrecadação das Missas'!A260="";"";0)</f>
        <v/>
      </c>
    </row>
    <row r="1260">
      <c r="A1260">
        <f>SE('Arrecadação das Missas'!A261="";"";'Arrecadação das Missas'!A261)</f>
        <v/>
      </c>
      <c r="B1260">
        <f>SE('Arrecadação das Missas'!A261="";"";"Missas - "&amp;'Arrecadação das Missas'!B261)</f>
        <v/>
      </c>
      <c r="C1260">
        <f>SE('Arrecadação das Missas'!A261="";"";'Arrecadação das Missas'!D261)</f>
        <v/>
      </c>
      <c r="D1260">
        <f>SE('Arrecadação das Missas'!A261="";"";0)</f>
        <v/>
      </c>
    </row>
    <row r="1261">
      <c r="A1261">
        <f>SE('Arrecadação das Missas'!A262="";"";'Arrecadação das Missas'!A262)</f>
        <v/>
      </c>
      <c r="B1261">
        <f>SE('Arrecadação das Missas'!A262="";"";"Missas - "&amp;'Arrecadação das Missas'!B262)</f>
        <v/>
      </c>
      <c r="C1261">
        <f>SE('Arrecadação das Missas'!A262="";"";'Arrecadação das Missas'!D262)</f>
        <v/>
      </c>
      <c r="D1261">
        <f>SE('Arrecadação das Missas'!A262="";"";0)</f>
        <v/>
      </c>
    </row>
    <row r="1262">
      <c r="A1262">
        <f>SE('Arrecadação das Missas'!A263="";"";'Arrecadação das Missas'!A263)</f>
        <v/>
      </c>
      <c r="B1262">
        <f>SE('Arrecadação das Missas'!A263="";"";"Missas - "&amp;'Arrecadação das Missas'!B263)</f>
        <v/>
      </c>
      <c r="C1262">
        <f>SE('Arrecadação das Missas'!A263="";"";'Arrecadação das Missas'!D263)</f>
        <v/>
      </c>
      <c r="D1262">
        <f>SE('Arrecadação das Missas'!A263="";"";0)</f>
        <v/>
      </c>
    </row>
    <row r="1263">
      <c r="A1263">
        <f>SE('Arrecadação das Missas'!A264="";"";'Arrecadação das Missas'!A264)</f>
        <v/>
      </c>
      <c r="B1263">
        <f>SE('Arrecadação das Missas'!A264="";"";"Missas - "&amp;'Arrecadação das Missas'!B264)</f>
        <v/>
      </c>
      <c r="C1263">
        <f>SE('Arrecadação das Missas'!A264="";"";'Arrecadação das Missas'!D264)</f>
        <v/>
      </c>
      <c r="D1263">
        <f>SE('Arrecadação das Missas'!A264="";"";0)</f>
        <v/>
      </c>
    </row>
    <row r="1264">
      <c r="A1264">
        <f>SE('Arrecadação das Missas'!A265="";"";'Arrecadação das Missas'!A265)</f>
        <v/>
      </c>
      <c r="B1264">
        <f>SE('Arrecadação das Missas'!A265="";"";"Missas - "&amp;'Arrecadação das Missas'!B265)</f>
        <v/>
      </c>
      <c r="C1264">
        <f>SE('Arrecadação das Missas'!A265="";"";'Arrecadação das Missas'!D265)</f>
        <v/>
      </c>
      <c r="D1264">
        <f>SE('Arrecadação das Missas'!A265="";"";0)</f>
        <v/>
      </c>
    </row>
    <row r="1265">
      <c r="A1265">
        <f>SE('Arrecadação das Missas'!A266="";"";'Arrecadação das Missas'!A266)</f>
        <v/>
      </c>
      <c r="B1265">
        <f>SE('Arrecadação das Missas'!A266="";"";"Missas - "&amp;'Arrecadação das Missas'!B266)</f>
        <v/>
      </c>
      <c r="C1265">
        <f>SE('Arrecadação das Missas'!A266="";"";'Arrecadação das Missas'!D266)</f>
        <v/>
      </c>
      <c r="D1265">
        <f>SE('Arrecadação das Missas'!A266="";"";0)</f>
        <v/>
      </c>
    </row>
    <row r="1266">
      <c r="A1266">
        <f>SE('Arrecadação das Missas'!A267="";"";'Arrecadação das Missas'!A267)</f>
        <v/>
      </c>
      <c r="B1266">
        <f>SE('Arrecadação das Missas'!A267="";"";"Missas - "&amp;'Arrecadação das Missas'!B267)</f>
        <v/>
      </c>
      <c r="C1266">
        <f>SE('Arrecadação das Missas'!A267="";"";'Arrecadação das Missas'!D267)</f>
        <v/>
      </c>
      <c r="D1266">
        <f>SE('Arrecadação das Missas'!A267="";"";0)</f>
        <v/>
      </c>
    </row>
    <row r="1267">
      <c r="A1267">
        <f>SE('Arrecadação das Missas'!A268="";"";'Arrecadação das Missas'!A268)</f>
        <v/>
      </c>
      <c r="B1267">
        <f>SE('Arrecadação das Missas'!A268="";"";"Missas - "&amp;'Arrecadação das Missas'!B268)</f>
        <v/>
      </c>
      <c r="C1267">
        <f>SE('Arrecadação das Missas'!A268="";"";'Arrecadação das Missas'!D268)</f>
        <v/>
      </c>
      <c r="D1267">
        <f>SE('Arrecadação das Missas'!A268="";"";0)</f>
        <v/>
      </c>
    </row>
    <row r="1268">
      <c r="A1268">
        <f>SE('Arrecadação das Missas'!A269="";"";'Arrecadação das Missas'!A269)</f>
        <v/>
      </c>
      <c r="B1268">
        <f>SE('Arrecadação das Missas'!A269="";"";"Missas - "&amp;'Arrecadação das Missas'!B269)</f>
        <v/>
      </c>
      <c r="C1268">
        <f>SE('Arrecadação das Missas'!A269="";"";'Arrecadação das Missas'!D269)</f>
        <v/>
      </c>
      <c r="D1268">
        <f>SE('Arrecadação das Missas'!A269="";"";0)</f>
        <v/>
      </c>
    </row>
    <row r="1269">
      <c r="A1269">
        <f>SE('Arrecadação das Missas'!A270="";"";'Arrecadação das Missas'!A270)</f>
        <v/>
      </c>
      <c r="B1269">
        <f>SE('Arrecadação das Missas'!A270="";"";"Missas - "&amp;'Arrecadação das Missas'!B270)</f>
        <v/>
      </c>
      <c r="C1269">
        <f>SE('Arrecadação das Missas'!A270="";"";'Arrecadação das Missas'!D270)</f>
        <v/>
      </c>
      <c r="D1269">
        <f>SE('Arrecadação das Missas'!A270="";"";0)</f>
        <v/>
      </c>
    </row>
    <row r="1270">
      <c r="A1270">
        <f>SE('Arrecadação das Missas'!A271="";"";'Arrecadação das Missas'!A271)</f>
        <v/>
      </c>
      <c r="B1270">
        <f>SE('Arrecadação das Missas'!A271="";"";"Missas - "&amp;'Arrecadação das Missas'!B271)</f>
        <v/>
      </c>
      <c r="C1270">
        <f>SE('Arrecadação das Missas'!A271="";"";'Arrecadação das Missas'!D271)</f>
        <v/>
      </c>
      <c r="D1270">
        <f>SE('Arrecadação das Missas'!A271="";"";0)</f>
        <v/>
      </c>
    </row>
    <row r="1271">
      <c r="A1271">
        <f>SE('Arrecadação das Missas'!A272="";"";'Arrecadação das Missas'!A272)</f>
        <v/>
      </c>
      <c r="B1271">
        <f>SE('Arrecadação das Missas'!A272="";"";"Missas - "&amp;'Arrecadação das Missas'!B272)</f>
        <v/>
      </c>
      <c r="C1271">
        <f>SE('Arrecadação das Missas'!A272="";"";'Arrecadação das Missas'!D272)</f>
        <v/>
      </c>
      <c r="D1271">
        <f>SE('Arrecadação das Missas'!A272="";"";0)</f>
        <v/>
      </c>
    </row>
    <row r="1272">
      <c r="A1272">
        <f>SE('Arrecadação das Missas'!A273="";"";'Arrecadação das Missas'!A273)</f>
        <v/>
      </c>
      <c r="B1272">
        <f>SE('Arrecadação das Missas'!A273="";"";"Missas - "&amp;'Arrecadação das Missas'!B273)</f>
        <v/>
      </c>
      <c r="C1272">
        <f>SE('Arrecadação das Missas'!A273="";"";'Arrecadação das Missas'!D273)</f>
        <v/>
      </c>
      <c r="D1272">
        <f>SE('Arrecadação das Missas'!A273="";"";0)</f>
        <v/>
      </c>
    </row>
    <row r="1273">
      <c r="A1273">
        <f>SE('Arrecadação das Missas'!A274="";"";'Arrecadação das Missas'!A274)</f>
        <v/>
      </c>
      <c r="B1273">
        <f>SE('Arrecadação das Missas'!A274="";"";"Missas - "&amp;'Arrecadação das Missas'!B274)</f>
        <v/>
      </c>
      <c r="C1273">
        <f>SE('Arrecadação das Missas'!A274="";"";'Arrecadação das Missas'!D274)</f>
        <v/>
      </c>
      <c r="D1273">
        <f>SE('Arrecadação das Missas'!A274="";"";0)</f>
        <v/>
      </c>
    </row>
    <row r="1274">
      <c r="A1274">
        <f>SE('Arrecadação das Missas'!A275="";"";'Arrecadação das Missas'!A275)</f>
        <v/>
      </c>
      <c r="B1274">
        <f>SE('Arrecadação das Missas'!A275="";"";"Missas - "&amp;'Arrecadação das Missas'!B275)</f>
        <v/>
      </c>
      <c r="C1274">
        <f>SE('Arrecadação das Missas'!A275="";"";'Arrecadação das Missas'!D275)</f>
        <v/>
      </c>
      <c r="D1274">
        <f>SE('Arrecadação das Missas'!A275="";"";0)</f>
        <v/>
      </c>
    </row>
    <row r="1275">
      <c r="A1275">
        <f>SE('Arrecadação das Missas'!A276="";"";'Arrecadação das Missas'!A276)</f>
        <v/>
      </c>
      <c r="B1275">
        <f>SE('Arrecadação das Missas'!A276="";"";"Missas - "&amp;'Arrecadação das Missas'!B276)</f>
        <v/>
      </c>
      <c r="C1275">
        <f>SE('Arrecadação das Missas'!A276="";"";'Arrecadação das Missas'!D276)</f>
        <v/>
      </c>
      <c r="D1275">
        <f>SE('Arrecadação das Missas'!A276="";"";0)</f>
        <v/>
      </c>
    </row>
    <row r="1276">
      <c r="A1276">
        <f>SE('Arrecadação das Missas'!A277="";"";'Arrecadação das Missas'!A277)</f>
        <v/>
      </c>
      <c r="B1276">
        <f>SE('Arrecadação das Missas'!A277="";"";"Missas - "&amp;'Arrecadação das Missas'!B277)</f>
        <v/>
      </c>
      <c r="C1276">
        <f>SE('Arrecadação das Missas'!A277="";"";'Arrecadação das Missas'!D277)</f>
        <v/>
      </c>
      <c r="D1276">
        <f>SE('Arrecadação das Missas'!A277="";"";0)</f>
        <v/>
      </c>
    </row>
    <row r="1277">
      <c r="A1277">
        <f>SE('Arrecadação das Missas'!A278="";"";'Arrecadação das Missas'!A278)</f>
        <v/>
      </c>
      <c r="B1277">
        <f>SE('Arrecadação das Missas'!A278="";"";"Missas - "&amp;'Arrecadação das Missas'!B278)</f>
        <v/>
      </c>
      <c r="C1277">
        <f>SE('Arrecadação das Missas'!A278="";"";'Arrecadação das Missas'!D278)</f>
        <v/>
      </c>
      <c r="D1277">
        <f>SE('Arrecadação das Missas'!A278="";"";0)</f>
        <v/>
      </c>
    </row>
    <row r="1278">
      <c r="A1278">
        <f>SE('Arrecadação das Missas'!A279="";"";'Arrecadação das Missas'!A279)</f>
        <v/>
      </c>
      <c r="B1278">
        <f>SE('Arrecadação das Missas'!A279="";"";"Missas - "&amp;'Arrecadação das Missas'!B279)</f>
        <v/>
      </c>
      <c r="C1278">
        <f>SE('Arrecadação das Missas'!A279="";"";'Arrecadação das Missas'!D279)</f>
        <v/>
      </c>
      <c r="D1278">
        <f>SE('Arrecadação das Missas'!A279="";"";0)</f>
        <v/>
      </c>
    </row>
    <row r="1279">
      <c r="A1279">
        <f>SE('Arrecadação das Missas'!A280="";"";'Arrecadação das Missas'!A280)</f>
        <v/>
      </c>
      <c r="B1279">
        <f>SE('Arrecadação das Missas'!A280="";"";"Missas - "&amp;'Arrecadação das Missas'!B280)</f>
        <v/>
      </c>
      <c r="C1279">
        <f>SE('Arrecadação das Missas'!A280="";"";'Arrecadação das Missas'!D280)</f>
        <v/>
      </c>
      <c r="D1279">
        <f>SE('Arrecadação das Missas'!A280="";"";0)</f>
        <v/>
      </c>
    </row>
    <row r="1280">
      <c r="A1280">
        <f>SE('Arrecadação das Missas'!A281="";"";'Arrecadação das Missas'!A281)</f>
        <v/>
      </c>
      <c r="B1280">
        <f>SE('Arrecadação das Missas'!A281="";"";"Missas - "&amp;'Arrecadação das Missas'!B281)</f>
        <v/>
      </c>
      <c r="C1280">
        <f>SE('Arrecadação das Missas'!A281="";"";'Arrecadação das Missas'!D281)</f>
        <v/>
      </c>
      <c r="D1280">
        <f>SE('Arrecadação das Missas'!A281="";"";0)</f>
        <v/>
      </c>
    </row>
    <row r="1281">
      <c r="A1281">
        <f>SE('Arrecadação das Missas'!A282="";"";'Arrecadação das Missas'!A282)</f>
        <v/>
      </c>
      <c r="B1281">
        <f>SE('Arrecadação das Missas'!A282="";"";"Missas - "&amp;'Arrecadação das Missas'!B282)</f>
        <v/>
      </c>
      <c r="C1281">
        <f>SE('Arrecadação das Missas'!A282="";"";'Arrecadação das Missas'!D282)</f>
        <v/>
      </c>
      <c r="D1281">
        <f>SE('Arrecadação das Missas'!A282="";"";0)</f>
        <v/>
      </c>
    </row>
    <row r="1282">
      <c r="A1282">
        <f>SE('Arrecadação das Missas'!A283="";"";'Arrecadação das Missas'!A283)</f>
        <v/>
      </c>
      <c r="B1282">
        <f>SE('Arrecadação das Missas'!A283="";"";"Missas - "&amp;'Arrecadação das Missas'!B283)</f>
        <v/>
      </c>
      <c r="C1282">
        <f>SE('Arrecadação das Missas'!A283="";"";'Arrecadação das Missas'!D283)</f>
        <v/>
      </c>
      <c r="D1282">
        <f>SE('Arrecadação das Missas'!A283="";"";0)</f>
        <v/>
      </c>
    </row>
    <row r="1283">
      <c r="A1283">
        <f>SE('Arrecadação das Missas'!A284="";"";'Arrecadação das Missas'!A284)</f>
        <v/>
      </c>
      <c r="B1283">
        <f>SE('Arrecadação das Missas'!A284="";"";"Missas - "&amp;'Arrecadação das Missas'!B284)</f>
        <v/>
      </c>
      <c r="C1283">
        <f>SE('Arrecadação das Missas'!A284="";"";'Arrecadação das Missas'!D284)</f>
        <v/>
      </c>
      <c r="D1283">
        <f>SE('Arrecadação das Missas'!A284="";"";0)</f>
        <v/>
      </c>
    </row>
    <row r="1284">
      <c r="A1284">
        <f>SE('Arrecadação das Missas'!A285="";"";'Arrecadação das Missas'!A285)</f>
        <v/>
      </c>
      <c r="B1284">
        <f>SE('Arrecadação das Missas'!A285="";"";"Missas - "&amp;'Arrecadação das Missas'!B285)</f>
        <v/>
      </c>
      <c r="C1284">
        <f>SE('Arrecadação das Missas'!A285="";"";'Arrecadação das Missas'!D285)</f>
        <v/>
      </c>
      <c r="D1284">
        <f>SE('Arrecadação das Missas'!A285="";"";0)</f>
        <v/>
      </c>
    </row>
    <row r="1285">
      <c r="A1285">
        <f>SE('Arrecadação das Missas'!A286="";"";'Arrecadação das Missas'!A286)</f>
        <v/>
      </c>
      <c r="B1285">
        <f>SE('Arrecadação das Missas'!A286="";"";"Missas - "&amp;'Arrecadação das Missas'!B286)</f>
        <v/>
      </c>
      <c r="C1285">
        <f>SE('Arrecadação das Missas'!A286="";"";'Arrecadação das Missas'!D286)</f>
        <v/>
      </c>
      <c r="D1285">
        <f>SE('Arrecadação das Missas'!A286="";"";0)</f>
        <v/>
      </c>
    </row>
    <row r="1286">
      <c r="A1286">
        <f>SE('Arrecadação das Missas'!A287="";"";'Arrecadação das Missas'!A287)</f>
        <v/>
      </c>
      <c r="B1286">
        <f>SE('Arrecadação das Missas'!A287="";"";"Missas - "&amp;'Arrecadação das Missas'!B287)</f>
        <v/>
      </c>
      <c r="C1286">
        <f>SE('Arrecadação das Missas'!A287="";"";'Arrecadação das Missas'!D287)</f>
        <v/>
      </c>
      <c r="D1286">
        <f>SE('Arrecadação das Missas'!A287="";"";0)</f>
        <v/>
      </c>
    </row>
    <row r="1287">
      <c r="A1287">
        <f>SE('Arrecadação das Missas'!A288="";"";'Arrecadação das Missas'!A288)</f>
        <v/>
      </c>
      <c r="B1287">
        <f>SE('Arrecadação das Missas'!A288="";"";"Missas - "&amp;'Arrecadação das Missas'!B288)</f>
        <v/>
      </c>
      <c r="C1287">
        <f>SE('Arrecadação das Missas'!A288="";"";'Arrecadação das Missas'!D288)</f>
        <v/>
      </c>
      <c r="D1287">
        <f>SE('Arrecadação das Missas'!A288="";"";0)</f>
        <v/>
      </c>
    </row>
    <row r="1288">
      <c r="A1288">
        <f>SE('Arrecadação das Missas'!A289="";"";'Arrecadação das Missas'!A289)</f>
        <v/>
      </c>
      <c r="B1288">
        <f>SE('Arrecadação das Missas'!A289="";"";"Missas - "&amp;'Arrecadação das Missas'!B289)</f>
        <v/>
      </c>
      <c r="C1288">
        <f>SE('Arrecadação das Missas'!A289="";"";'Arrecadação das Missas'!D289)</f>
        <v/>
      </c>
      <c r="D1288">
        <f>SE('Arrecadação das Missas'!A289="";"";0)</f>
        <v/>
      </c>
    </row>
    <row r="1289">
      <c r="A1289">
        <f>SE('Arrecadação das Missas'!A290="";"";'Arrecadação das Missas'!A290)</f>
        <v/>
      </c>
      <c r="B1289">
        <f>SE('Arrecadação das Missas'!A290="";"";"Missas - "&amp;'Arrecadação das Missas'!B290)</f>
        <v/>
      </c>
      <c r="C1289">
        <f>SE('Arrecadação das Missas'!A290="";"";'Arrecadação das Missas'!D290)</f>
        <v/>
      </c>
      <c r="D1289">
        <f>SE('Arrecadação das Missas'!A290="";"";0)</f>
        <v/>
      </c>
    </row>
    <row r="1290">
      <c r="A1290">
        <f>SE('Arrecadação das Missas'!A291="";"";'Arrecadação das Missas'!A291)</f>
        <v/>
      </c>
      <c r="B1290">
        <f>SE('Arrecadação das Missas'!A291="";"";"Missas - "&amp;'Arrecadação das Missas'!B291)</f>
        <v/>
      </c>
      <c r="C1290">
        <f>SE('Arrecadação das Missas'!A291="";"";'Arrecadação das Missas'!D291)</f>
        <v/>
      </c>
      <c r="D1290">
        <f>SE('Arrecadação das Missas'!A291="";"";0)</f>
        <v/>
      </c>
    </row>
    <row r="1291">
      <c r="A1291">
        <f>SE('Arrecadação das Missas'!A292="";"";'Arrecadação das Missas'!A292)</f>
        <v/>
      </c>
      <c r="B1291">
        <f>SE('Arrecadação das Missas'!A292="";"";"Missas - "&amp;'Arrecadação das Missas'!B292)</f>
        <v/>
      </c>
      <c r="C1291">
        <f>SE('Arrecadação das Missas'!A292="";"";'Arrecadação das Missas'!D292)</f>
        <v/>
      </c>
      <c r="D1291">
        <f>SE('Arrecadação das Missas'!A292="";"";0)</f>
        <v/>
      </c>
    </row>
    <row r="1292">
      <c r="A1292">
        <f>SE('Arrecadação das Missas'!A293="";"";'Arrecadação das Missas'!A293)</f>
        <v/>
      </c>
      <c r="B1292">
        <f>SE('Arrecadação das Missas'!A293="";"";"Missas - "&amp;'Arrecadação das Missas'!B293)</f>
        <v/>
      </c>
      <c r="C1292">
        <f>SE('Arrecadação das Missas'!A293="";"";'Arrecadação das Missas'!D293)</f>
        <v/>
      </c>
      <c r="D1292">
        <f>SE('Arrecadação das Missas'!A293="";"";0)</f>
        <v/>
      </c>
    </row>
    <row r="1293">
      <c r="A1293">
        <f>SE('Arrecadação das Missas'!A294="";"";'Arrecadação das Missas'!A294)</f>
        <v/>
      </c>
      <c r="B1293">
        <f>SE('Arrecadação das Missas'!A294="";"";"Missas - "&amp;'Arrecadação das Missas'!B294)</f>
        <v/>
      </c>
      <c r="C1293">
        <f>SE('Arrecadação das Missas'!A294="";"";'Arrecadação das Missas'!D294)</f>
        <v/>
      </c>
      <c r="D1293">
        <f>SE('Arrecadação das Missas'!A294="";"";0)</f>
        <v/>
      </c>
    </row>
    <row r="1294">
      <c r="A1294">
        <f>SE('Arrecadação das Missas'!A295="";"";'Arrecadação das Missas'!A295)</f>
        <v/>
      </c>
      <c r="B1294">
        <f>SE('Arrecadação das Missas'!A295="";"";"Missas - "&amp;'Arrecadação das Missas'!B295)</f>
        <v/>
      </c>
      <c r="C1294">
        <f>SE('Arrecadação das Missas'!A295="";"";'Arrecadação das Missas'!D295)</f>
        <v/>
      </c>
      <c r="D1294">
        <f>SE('Arrecadação das Missas'!A295="";"";0)</f>
        <v/>
      </c>
    </row>
    <row r="1295">
      <c r="A1295">
        <f>SE('Arrecadação das Missas'!A296="";"";'Arrecadação das Missas'!A296)</f>
        <v/>
      </c>
      <c r="B1295">
        <f>SE('Arrecadação das Missas'!A296="";"";"Missas - "&amp;'Arrecadação das Missas'!B296)</f>
        <v/>
      </c>
      <c r="C1295">
        <f>SE('Arrecadação das Missas'!A296="";"";'Arrecadação das Missas'!D296)</f>
        <v/>
      </c>
      <c r="D1295">
        <f>SE('Arrecadação das Missas'!A296="";"";0)</f>
        <v/>
      </c>
    </row>
    <row r="1296">
      <c r="A1296">
        <f>SE('Arrecadação das Missas'!A297="";"";'Arrecadação das Missas'!A297)</f>
        <v/>
      </c>
      <c r="B1296">
        <f>SE('Arrecadação das Missas'!A297="";"";"Missas - "&amp;'Arrecadação das Missas'!B297)</f>
        <v/>
      </c>
      <c r="C1296">
        <f>SE('Arrecadação das Missas'!A297="";"";'Arrecadação das Missas'!D297)</f>
        <v/>
      </c>
      <c r="D1296">
        <f>SE('Arrecadação das Missas'!A297="";"";0)</f>
        <v/>
      </c>
    </row>
    <row r="1297">
      <c r="A1297">
        <f>SE('Arrecadação das Missas'!A298="";"";'Arrecadação das Missas'!A298)</f>
        <v/>
      </c>
      <c r="B1297">
        <f>SE('Arrecadação das Missas'!A298="";"";"Missas - "&amp;'Arrecadação das Missas'!B298)</f>
        <v/>
      </c>
      <c r="C1297">
        <f>SE('Arrecadação das Missas'!A298="";"";'Arrecadação das Missas'!D298)</f>
        <v/>
      </c>
      <c r="D1297">
        <f>SE('Arrecadação das Missas'!A298="";"";0)</f>
        <v/>
      </c>
    </row>
    <row r="1298">
      <c r="A1298">
        <f>SE('Arrecadação das Missas'!A299="";"";'Arrecadação das Missas'!A299)</f>
        <v/>
      </c>
      <c r="B1298">
        <f>SE('Arrecadação das Missas'!A299="";"";"Missas - "&amp;'Arrecadação das Missas'!B299)</f>
        <v/>
      </c>
      <c r="C1298">
        <f>SE('Arrecadação das Missas'!A299="";"";'Arrecadação das Missas'!D299)</f>
        <v/>
      </c>
      <c r="D1298">
        <f>SE('Arrecadação das Missas'!A299="";"";0)</f>
        <v/>
      </c>
    </row>
    <row r="1299">
      <c r="A1299">
        <f>SE('Arrecadação das Missas'!A300="";"";'Arrecadação das Missas'!A300)</f>
        <v/>
      </c>
      <c r="B1299">
        <f>SE('Arrecadação das Missas'!A300="";"";"Missas - "&amp;'Arrecadação das Missas'!B300)</f>
        <v/>
      </c>
      <c r="C1299">
        <f>SE('Arrecadação das Missas'!A300="";"";'Arrecadação das Missas'!D300)</f>
        <v/>
      </c>
      <c r="D1299">
        <f>SE('Arrecadação das Missas'!A300="";"";0)</f>
        <v/>
      </c>
    </row>
    <row r="1300">
      <c r="A1300">
        <f>SE('Arrecadação das Missas'!A301="";"";'Arrecadação das Missas'!A301)</f>
        <v/>
      </c>
      <c r="B1300">
        <f>SE('Arrecadação das Missas'!A301="";"";"Missas - "&amp;'Arrecadação das Missas'!B301)</f>
        <v/>
      </c>
      <c r="C1300">
        <f>SE('Arrecadação das Missas'!A301="";"";'Arrecadação das Missas'!D301)</f>
        <v/>
      </c>
      <c r="D1300">
        <f>SE('Arrecadação das Missas'!A301="";"";0)</f>
        <v/>
      </c>
    </row>
    <row r="1301">
      <c r="A1301">
        <f>SE('Arrecadação das Missas'!A302="";"";'Arrecadação das Missas'!A302)</f>
        <v/>
      </c>
      <c r="B1301">
        <f>SE('Arrecadação das Missas'!A302="";"";"Missas - "&amp;'Arrecadação das Missas'!B302)</f>
        <v/>
      </c>
      <c r="C1301">
        <f>SE('Arrecadação das Missas'!A302="";"";'Arrecadação das Missas'!D302)</f>
        <v/>
      </c>
      <c r="D1301">
        <f>SE('Arrecadação das Missas'!A302="";"";0)</f>
        <v/>
      </c>
    </row>
    <row r="1302">
      <c r="A1302">
        <f>SE('Arrecadação das Missas'!A303="";"";'Arrecadação das Missas'!A303)</f>
        <v/>
      </c>
      <c r="B1302">
        <f>SE('Arrecadação das Missas'!A303="";"";"Missas - "&amp;'Arrecadação das Missas'!B303)</f>
        <v/>
      </c>
      <c r="C1302">
        <f>SE('Arrecadação das Missas'!A303="";"";'Arrecadação das Missas'!D303)</f>
        <v/>
      </c>
      <c r="D1302">
        <f>SE('Arrecadação das Missas'!A303="";"";0)</f>
        <v/>
      </c>
    </row>
    <row r="1303">
      <c r="A1303">
        <f>SE('Arrecadação das Missas'!A304="";"";'Arrecadação das Missas'!A304)</f>
        <v/>
      </c>
      <c r="B1303">
        <f>SE('Arrecadação das Missas'!A304="";"";"Missas - "&amp;'Arrecadação das Missas'!B304)</f>
        <v/>
      </c>
      <c r="C1303">
        <f>SE('Arrecadação das Missas'!A304="";"";'Arrecadação das Missas'!D304)</f>
        <v/>
      </c>
      <c r="D1303">
        <f>SE('Arrecadação das Missas'!A304="";"";0)</f>
        <v/>
      </c>
    </row>
    <row r="1304">
      <c r="A1304">
        <f>SE('Arrecadação das Missas'!A305="";"";'Arrecadação das Missas'!A305)</f>
        <v/>
      </c>
      <c r="B1304">
        <f>SE('Arrecadação das Missas'!A305="";"";"Missas - "&amp;'Arrecadação das Missas'!B305)</f>
        <v/>
      </c>
      <c r="C1304">
        <f>SE('Arrecadação das Missas'!A305="";"";'Arrecadação das Missas'!D305)</f>
        <v/>
      </c>
      <c r="D1304">
        <f>SE('Arrecadação das Missas'!A305="";"";0)</f>
        <v/>
      </c>
    </row>
    <row r="1305">
      <c r="A1305">
        <f>SE('Arrecadação das Missas'!A306="";"";'Arrecadação das Missas'!A306)</f>
        <v/>
      </c>
      <c r="B1305">
        <f>SE('Arrecadação das Missas'!A306="";"";"Missas - "&amp;'Arrecadação das Missas'!B306)</f>
        <v/>
      </c>
      <c r="C1305">
        <f>SE('Arrecadação das Missas'!A306="";"";'Arrecadação das Missas'!D306)</f>
        <v/>
      </c>
      <c r="D1305">
        <f>SE('Arrecadação das Missas'!A306="";"";0)</f>
        <v/>
      </c>
    </row>
    <row r="1306">
      <c r="A1306">
        <f>SE('Arrecadação das Missas'!A307="";"";'Arrecadação das Missas'!A307)</f>
        <v/>
      </c>
      <c r="B1306">
        <f>SE('Arrecadação das Missas'!A307="";"";"Missas - "&amp;'Arrecadação das Missas'!B307)</f>
        <v/>
      </c>
      <c r="C1306">
        <f>SE('Arrecadação das Missas'!A307="";"";'Arrecadação das Missas'!D307)</f>
        <v/>
      </c>
      <c r="D1306">
        <f>SE('Arrecadação das Missas'!A307="";"";0)</f>
        <v/>
      </c>
    </row>
    <row r="1307">
      <c r="A1307">
        <f>SE('Arrecadação das Missas'!A308="";"";'Arrecadação das Missas'!A308)</f>
        <v/>
      </c>
      <c r="B1307">
        <f>SE('Arrecadação das Missas'!A308="";"";"Missas - "&amp;'Arrecadação das Missas'!B308)</f>
        <v/>
      </c>
      <c r="C1307">
        <f>SE('Arrecadação das Missas'!A308="";"";'Arrecadação das Missas'!D308)</f>
        <v/>
      </c>
      <c r="D1307">
        <f>SE('Arrecadação das Missas'!A308="";"";0)</f>
        <v/>
      </c>
    </row>
    <row r="1308">
      <c r="A1308">
        <f>SE('Arrecadação das Missas'!A309="";"";'Arrecadação das Missas'!A309)</f>
        <v/>
      </c>
      <c r="B1308">
        <f>SE('Arrecadação das Missas'!A309="";"";"Missas - "&amp;'Arrecadação das Missas'!B309)</f>
        <v/>
      </c>
      <c r="C1308">
        <f>SE('Arrecadação das Missas'!A309="";"";'Arrecadação das Missas'!D309)</f>
        <v/>
      </c>
      <c r="D1308">
        <f>SE('Arrecadação das Missas'!A309="";"";0)</f>
        <v/>
      </c>
    </row>
    <row r="1309">
      <c r="A1309">
        <f>SE('Arrecadação das Missas'!A310="";"";'Arrecadação das Missas'!A310)</f>
        <v/>
      </c>
      <c r="B1309">
        <f>SE('Arrecadação das Missas'!A310="";"";"Missas - "&amp;'Arrecadação das Missas'!B310)</f>
        <v/>
      </c>
      <c r="C1309">
        <f>SE('Arrecadação das Missas'!A310="";"";'Arrecadação das Missas'!D310)</f>
        <v/>
      </c>
      <c r="D1309">
        <f>SE('Arrecadação das Missas'!A310="";"";0)</f>
        <v/>
      </c>
    </row>
    <row r="1310">
      <c r="A1310">
        <f>SE('Arrecadação das Missas'!A311="";"";'Arrecadação das Missas'!A311)</f>
        <v/>
      </c>
      <c r="B1310">
        <f>SE('Arrecadação das Missas'!A311="";"";"Missas - "&amp;'Arrecadação das Missas'!B311)</f>
        <v/>
      </c>
      <c r="C1310">
        <f>SE('Arrecadação das Missas'!A311="";"";'Arrecadação das Missas'!D311)</f>
        <v/>
      </c>
      <c r="D1310">
        <f>SE('Arrecadação das Missas'!A311="";"";0)</f>
        <v/>
      </c>
    </row>
    <row r="1311">
      <c r="A1311">
        <f>SE('Arrecadação das Missas'!A312="";"";'Arrecadação das Missas'!A312)</f>
        <v/>
      </c>
      <c r="B1311">
        <f>SE('Arrecadação das Missas'!A312="";"";"Missas - "&amp;'Arrecadação das Missas'!B312)</f>
        <v/>
      </c>
      <c r="C1311">
        <f>SE('Arrecadação das Missas'!A312="";"";'Arrecadação das Missas'!D312)</f>
        <v/>
      </c>
      <c r="D1311">
        <f>SE('Arrecadação das Missas'!A312="";"";0)</f>
        <v/>
      </c>
    </row>
    <row r="1312">
      <c r="A1312">
        <f>SE('Arrecadação das Missas'!A313="";"";'Arrecadação das Missas'!A313)</f>
        <v/>
      </c>
      <c r="B1312">
        <f>SE('Arrecadação das Missas'!A313="";"";"Missas - "&amp;'Arrecadação das Missas'!B313)</f>
        <v/>
      </c>
      <c r="C1312">
        <f>SE('Arrecadação das Missas'!A313="";"";'Arrecadação das Missas'!D313)</f>
        <v/>
      </c>
      <c r="D1312">
        <f>SE('Arrecadação das Missas'!A313="";"";0)</f>
        <v/>
      </c>
    </row>
    <row r="1313">
      <c r="A1313">
        <f>SE('Arrecadação das Missas'!A314="";"";'Arrecadação das Missas'!A314)</f>
        <v/>
      </c>
      <c r="B1313">
        <f>SE('Arrecadação das Missas'!A314="";"";"Missas - "&amp;'Arrecadação das Missas'!B314)</f>
        <v/>
      </c>
      <c r="C1313">
        <f>SE('Arrecadação das Missas'!A314="";"";'Arrecadação das Missas'!D314)</f>
        <v/>
      </c>
      <c r="D1313">
        <f>SE('Arrecadação das Missas'!A314="";"";0)</f>
        <v/>
      </c>
    </row>
    <row r="1314">
      <c r="A1314">
        <f>SE('Arrecadação das Missas'!A315="";"";'Arrecadação das Missas'!A315)</f>
        <v/>
      </c>
      <c r="B1314">
        <f>SE('Arrecadação das Missas'!A315="";"";"Missas - "&amp;'Arrecadação das Missas'!B315)</f>
        <v/>
      </c>
      <c r="C1314">
        <f>SE('Arrecadação das Missas'!A315="";"";'Arrecadação das Missas'!D315)</f>
        <v/>
      </c>
      <c r="D1314">
        <f>SE('Arrecadação das Missas'!A315="";"";0)</f>
        <v/>
      </c>
    </row>
    <row r="1315">
      <c r="A1315">
        <f>SE('Arrecadação das Missas'!A316="";"";'Arrecadação das Missas'!A316)</f>
        <v/>
      </c>
      <c r="B1315">
        <f>SE('Arrecadação das Missas'!A316="";"";"Missas - "&amp;'Arrecadação das Missas'!B316)</f>
        <v/>
      </c>
      <c r="C1315">
        <f>SE('Arrecadação das Missas'!A316="";"";'Arrecadação das Missas'!D316)</f>
        <v/>
      </c>
      <c r="D1315">
        <f>SE('Arrecadação das Missas'!A316="";"";0)</f>
        <v/>
      </c>
    </row>
    <row r="1316">
      <c r="A1316">
        <f>SE('Arrecadação das Missas'!A317="";"";'Arrecadação das Missas'!A317)</f>
        <v/>
      </c>
      <c r="B1316">
        <f>SE('Arrecadação das Missas'!A317="";"";"Missas - "&amp;'Arrecadação das Missas'!B317)</f>
        <v/>
      </c>
      <c r="C1316">
        <f>SE('Arrecadação das Missas'!A317="";"";'Arrecadação das Missas'!D317)</f>
        <v/>
      </c>
      <c r="D1316">
        <f>SE('Arrecadação das Missas'!A317="";"";0)</f>
        <v/>
      </c>
    </row>
    <row r="1317">
      <c r="A1317">
        <f>SE('Arrecadação das Missas'!A318="";"";'Arrecadação das Missas'!A318)</f>
        <v/>
      </c>
      <c r="B1317">
        <f>SE('Arrecadação das Missas'!A318="";"";"Missas - "&amp;'Arrecadação das Missas'!B318)</f>
        <v/>
      </c>
      <c r="C1317">
        <f>SE('Arrecadação das Missas'!A318="";"";'Arrecadação das Missas'!D318)</f>
        <v/>
      </c>
      <c r="D1317">
        <f>SE('Arrecadação das Missas'!A318="";"";0)</f>
        <v/>
      </c>
    </row>
    <row r="1318">
      <c r="A1318">
        <f>SE('Arrecadação das Missas'!A319="";"";'Arrecadação das Missas'!A319)</f>
        <v/>
      </c>
      <c r="B1318">
        <f>SE('Arrecadação das Missas'!A319="";"";"Missas - "&amp;'Arrecadação das Missas'!B319)</f>
        <v/>
      </c>
      <c r="C1318">
        <f>SE('Arrecadação das Missas'!A319="";"";'Arrecadação das Missas'!D319)</f>
        <v/>
      </c>
      <c r="D1318">
        <f>SE('Arrecadação das Missas'!A319="";"";0)</f>
        <v/>
      </c>
    </row>
    <row r="1319">
      <c r="A1319">
        <f>SE('Arrecadação das Missas'!A320="";"";'Arrecadação das Missas'!A320)</f>
        <v/>
      </c>
      <c r="B1319">
        <f>SE('Arrecadação das Missas'!A320="";"";"Missas - "&amp;'Arrecadação das Missas'!B320)</f>
        <v/>
      </c>
      <c r="C1319">
        <f>SE('Arrecadação das Missas'!A320="";"";'Arrecadação das Missas'!D320)</f>
        <v/>
      </c>
      <c r="D1319">
        <f>SE('Arrecadação das Missas'!A320="";"";0)</f>
        <v/>
      </c>
    </row>
    <row r="1320">
      <c r="A1320">
        <f>SE('Arrecadação das Missas'!A321="";"";'Arrecadação das Missas'!A321)</f>
        <v/>
      </c>
      <c r="B1320">
        <f>SE('Arrecadação das Missas'!A321="";"";"Missas - "&amp;'Arrecadação das Missas'!B321)</f>
        <v/>
      </c>
      <c r="C1320">
        <f>SE('Arrecadação das Missas'!A321="";"";'Arrecadação das Missas'!D321)</f>
        <v/>
      </c>
      <c r="D1320">
        <f>SE('Arrecadação das Missas'!A321="";"";0)</f>
        <v/>
      </c>
    </row>
    <row r="1321">
      <c r="A1321">
        <f>SE('Arrecadação das Missas'!A322="";"";'Arrecadação das Missas'!A322)</f>
        <v/>
      </c>
      <c r="B1321">
        <f>SE('Arrecadação das Missas'!A322="";"";"Missas - "&amp;'Arrecadação das Missas'!B322)</f>
        <v/>
      </c>
      <c r="C1321">
        <f>SE('Arrecadação das Missas'!A322="";"";'Arrecadação das Missas'!D322)</f>
        <v/>
      </c>
      <c r="D1321">
        <f>SE('Arrecadação das Missas'!A322="";"";0)</f>
        <v/>
      </c>
    </row>
    <row r="1322">
      <c r="A1322">
        <f>SE('Arrecadação das Missas'!A323="";"";'Arrecadação das Missas'!A323)</f>
        <v/>
      </c>
      <c r="B1322">
        <f>SE('Arrecadação das Missas'!A323="";"";"Missas - "&amp;'Arrecadação das Missas'!B323)</f>
        <v/>
      </c>
      <c r="C1322">
        <f>SE('Arrecadação das Missas'!A323="";"";'Arrecadação das Missas'!D323)</f>
        <v/>
      </c>
      <c r="D1322">
        <f>SE('Arrecadação das Missas'!A323="";"";0)</f>
        <v/>
      </c>
    </row>
    <row r="1323">
      <c r="A1323">
        <f>SE('Arrecadação das Missas'!A324="";"";'Arrecadação das Missas'!A324)</f>
        <v/>
      </c>
      <c r="B1323">
        <f>SE('Arrecadação das Missas'!A324="";"";"Missas - "&amp;'Arrecadação das Missas'!B324)</f>
        <v/>
      </c>
      <c r="C1323">
        <f>SE('Arrecadação das Missas'!A324="";"";'Arrecadação das Missas'!D324)</f>
        <v/>
      </c>
      <c r="D1323">
        <f>SE('Arrecadação das Missas'!A324="";"";0)</f>
        <v/>
      </c>
    </row>
    <row r="1324">
      <c r="A1324">
        <f>SE('Arrecadação das Missas'!A325="";"";'Arrecadação das Missas'!A325)</f>
        <v/>
      </c>
      <c r="B1324">
        <f>SE('Arrecadação das Missas'!A325="";"";"Missas - "&amp;'Arrecadação das Missas'!B325)</f>
        <v/>
      </c>
      <c r="C1324">
        <f>SE('Arrecadação das Missas'!A325="";"";'Arrecadação das Missas'!D325)</f>
        <v/>
      </c>
      <c r="D1324">
        <f>SE('Arrecadação das Missas'!A325="";"";0)</f>
        <v/>
      </c>
    </row>
    <row r="1325">
      <c r="A1325">
        <f>SE('Arrecadação das Missas'!A326="";"";'Arrecadação das Missas'!A326)</f>
        <v/>
      </c>
      <c r="B1325">
        <f>SE('Arrecadação das Missas'!A326="";"";"Missas - "&amp;'Arrecadação das Missas'!B326)</f>
        <v/>
      </c>
      <c r="C1325">
        <f>SE('Arrecadação das Missas'!A326="";"";'Arrecadação das Missas'!D326)</f>
        <v/>
      </c>
      <c r="D1325">
        <f>SE('Arrecadação das Missas'!A326="";"";0)</f>
        <v/>
      </c>
    </row>
    <row r="1326">
      <c r="A1326">
        <f>SE('Arrecadação das Missas'!A327="";"";'Arrecadação das Missas'!A327)</f>
        <v/>
      </c>
      <c r="B1326">
        <f>SE('Arrecadação das Missas'!A327="";"";"Missas - "&amp;'Arrecadação das Missas'!B327)</f>
        <v/>
      </c>
      <c r="C1326">
        <f>SE('Arrecadação das Missas'!A327="";"";'Arrecadação das Missas'!D327)</f>
        <v/>
      </c>
      <c r="D1326">
        <f>SE('Arrecadação das Missas'!A327="";"";0)</f>
        <v/>
      </c>
    </row>
    <row r="1327">
      <c r="A1327">
        <f>SE('Arrecadação das Missas'!A328="";"";'Arrecadação das Missas'!A328)</f>
        <v/>
      </c>
      <c r="B1327">
        <f>SE('Arrecadação das Missas'!A328="";"";"Missas - "&amp;'Arrecadação das Missas'!B328)</f>
        <v/>
      </c>
      <c r="C1327">
        <f>SE('Arrecadação das Missas'!A328="";"";'Arrecadação das Missas'!D328)</f>
        <v/>
      </c>
      <c r="D1327">
        <f>SE('Arrecadação das Missas'!A328="";"";0)</f>
        <v/>
      </c>
    </row>
    <row r="1328">
      <c r="A1328">
        <f>SE('Arrecadação das Missas'!A329="";"";'Arrecadação das Missas'!A329)</f>
        <v/>
      </c>
      <c r="B1328">
        <f>SE('Arrecadação das Missas'!A329="";"";"Missas - "&amp;'Arrecadação das Missas'!B329)</f>
        <v/>
      </c>
      <c r="C1328">
        <f>SE('Arrecadação das Missas'!A329="";"";'Arrecadação das Missas'!D329)</f>
        <v/>
      </c>
      <c r="D1328">
        <f>SE('Arrecadação das Missas'!A329="";"";0)</f>
        <v/>
      </c>
    </row>
    <row r="1329">
      <c r="A1329">
        <f>SE('Arrecadação das Missas'!A330="";"";'Arrecadação das Missas'!A330)</f>
        <v/>
      </c>
      <c r="B1329">
        <f>SE('Arrecadação das Missas'!A330="";"";"Missas - "&amp;'Arrecadação das Missas'!B330)</f>
        <v/>
      </c>
      <c r="C1329">
        <f>SE('Arrecadação das Missas'!A330="";"";'Arrecadação das Missas'!D330)</f>
        <v/>
      </c>
      <c r="D1329">
        <f>SE('Arrecadação das Missas'!A330="";"";0)</f>
        <v/>
      </c>
    </row>
    <row r="1330">
      <c r="A1330">
        <f>SE('Arrecadação das Missas'!A331="";"";'Arrecadação das Missas'!A331)</f>
        <v/>
      </c>
      <c r="B1330">
        <f>SE('Arrecadação das Missas'!A331="";"";"Missas - "&amp;'Arrecadação das Missas'!B331)</f>
        <v/>
      </c>
      <c r="C1330">
        <f>SE('Arrecadação das Missas'!A331="";"";'Arrecadação das Missas'!D331)</f>
        <v/>
      </c>
      <c r="D1330">
        <f>SE('Arrecadação das Missas'!A331="";"";0)</f>
        <v/>
      </c>
    </row>
    <row r="1331">
      <c r="A1331">
        <f>SE('Arrecadação das Missas'!A332="";"";'Arrecadação das Missas'!A332)</f>
        <v/>
      </c>
      <c r="B1331">
        <f>SE('Arrecadação das Missas'!A332="";"";"Missas - "&amp;'Arrecadação das Missas'!B332)</f>
        <v/>
      </c>
      <c r="C1331">
        <f>SE('Arrecadação das Missas'!A332="";"";'Arrecadação das Missas'!D332)</f>
        <v/>
      </c>
      <c r="D1331">
        <f>SE('Arrecadação das Missas'!A332="";"";0)</f>
        <v/>
      </c>
    </row>
    <row r="1332">
      <c r="A1332">
        <f>SE('Arrecadação das Missas'!A333="";"";'Arrecadação das Missas'!A333)</f>
        <v/>
      </c>
      <c r="B1332">
        <f>SE('Arrecadação das Missas'!A333="";"";"Missas - "&amp;'Arrecadação das Missas'!B333)</f>
        <v/>
      </c>
      <c r="C1332">
        <f>SE('Arrecadação das Missas'!A333="";"";'Arrecadação das Missas'!D333)</f>
        <v/>
      </c>
      <c r="D1332">
        <f>SE('Arrecadação das Missas'!A333="";"";0)</f>
        <v/>
      </c>
    </row>
    <row r="1333">
      <c r="A1333">
        <f>SE('Arrecadação das Missas'!A334="";"";'Arrecadação das Missas'!A334)</f>
        <v/>
      </c>
      <c r="B1333">
        <f>SE('Arrecadação das Missas'!A334="";"";"Missas - "&amp;'Arrecadação das Missas'!B334)</f>
        <v/>
      </c>
      <c r="C1333">
        <f>SE('Arrecadação das Missas'!A334="";"";'Arrecadação das Missas'!D334)</f>
        <v/>
      </c>
      <c r="D1333">
        <f>SE('Arrecadação das Missas'!A334="";"";0)</f>
        <v/>
      </c>
    </row>
    <row r="1334">
      <c r="A1334">
        <f>SE('Arrecadação das Missas'!A335="";"";'Arrecadação das Missas'!A335)</f>
        <v/>
      </c>
      <c r="B1334">
        <f>SE('Arrecadação das Missas'!A335="";"";"Missas - "&amp;'Arrecadação das Missas'!B335)</f>
        <v/>
      </c>
      <c r="C1334">
        <f>SE('Arrecadação das Missas'!A335="";"";'Arrecadação das Missas'!D335)</f>
        <v/>
      </c>
      <c r="D1334">
        <f>SE('Arrecadação das Missas'!A335="";"";0)</f>
        <v/>
      </c>
    </row>
    <row r="1335">
      <c r="A1335">
        <f>SE('Arrecadação das Missas'!A336="";"";'Arrecadação das Missas'!A336)</f>
        <v/>
      </c>
      <c r="B1335">
        <f>SE('Arrecadação das Missas'!A336="";"";"Missas - "&amp;'Arrecadação das Missas'!B336)</f>
        <v/>
      </c>
      <c r="C1335">
        <f>SE('Arrecadação das Missas'!A336="";"";'Arrecadação das Missas'!D336)</f>
        <v/>
      </c>
      <c r="D1335">
        <f>SE('Arrecadação das Missas'!A336="";"";0)</f>
        <v/>
      </c>
    </row>
    <row r="1336">
      <c r="A1336">
        <f>SE('Arrecadação das Missas'!A337="";"";'Arrecadação das Missas'!A337)</f>
        <v/>
      </c>
      <c r="B1336">
        <f>SE('Arrecadação das Missas'!A337="";"";"Missas - "&amp;'Arrecadação das Missas'!B337)</f>
        <v/>
      </c>
      <c r="C1336">
        <f>SE('Arrecadação das Missas'!A337="";"";'Arrecadação das Missas'!D337)</f>
        <v/>
      </c>
      <c r="D1336">
        <f>SE('Arrecadação das Missas'!A337="";"";0)</f>
        <v/>
      </c>
    </row>
    <row r="1337">
      <c r="A1337">
        <f>SE('Arrecadação das Missas'!A338="";"";'Arrecadação das Missas'!A338)</f>
        <v/>
      </c>
      <c r="B1337">
        <f>SE('Arrecadação das Missas'!A338="";"";"Missas - "&amp;'Arrecadação das Missas'!B338)</f>
        <v/>
      </c>
      <c r="C1337">
        <f>SE('Arrecadação das Missas'!A338="";"";'Arrecadação das Missas'!D338)</f>
        <v/>
      </c>
      <c r="D1337">
        <f>SE('Arrecadação das Missas'!A338="";"";0)</f>
        <v/>
      </c>
    </row>
    <row r="1338">
      <c r="A1338">
        <f>SE('Arrecadação das Missas'!A339="";"";'Arrecadação das Missas'!A339)</f>
        <v/>
      </c>
      <c r="B1338">
        <f>SE('Arrecadação das Missas'!A339="";"";"Missas - "&amp;'Arrecadação das Missas'!B339)</f>
        <v/>
      </c>
      <c r="C1338">
        <f>SE('Arrecadação das Missas'!A339="";"";'Arrecadação das Missas'!D339)</f>
        <v/>
      </c>
      <c r="D1338">
        <f>SE('Arrecadação das Missas'!A339="";"";0)</f>
        <v/>
      </c>
    </row>
    <row r="1339">
      <c r="A1339">
        <f>SE('Arrecadação das Missas'!A340="";"";'Arrecadação das Missas'!A340)</f>
        <v/>
      </c>
      <c r="B1339">
        <f>SE('Arrecadação das Missas'!A340="";"";"Missas - "&amp;'Arrecadação das Missas'!B340)</f>
        <v/>
      </c>
      <c r="C1339">
        <f>SE('Arrecadação das Missas'!A340="";"";'Arrecadação das Missas'!D340)</f>
        <v/>
      </c>
      <c r="D1339">
        <f>SE('Arrecadação das Missas'!A340="";"";0)</f>
        <v/>
      </c>
    </row>
    <row r="1340">
      <c r="A1340">
        <f>SE('Arrecadação das Missas'!A341="";"";'Arrecadação das Missas'!A341)</f>
        <v/>
      </c>
      <c r="B1340">
        <f>SE('Arrecadação das Missas'!A341="";"";"Missas - "&amp;'Arrecadação das Missas'!B341)</f>
        <v/>
      </c>
      <c r="C1340">
        <f>SE('Arrecadação das Missas'!A341="";"";'Arrecadação das Missas'!D341)</f>
        <v/>
      </c>
      <c r="D1340">
        <f>SE('Arrecadação das Missas'!A341="";"";0)</f>
        <v/>
      </c>
    </row>
    <row r="1341">
      <c r="A1341">
        <f>SE('Arrecadação das Missas'!A342="";"";'Arrecadação das Missas'!A342)</f>
        <v/>
      </c>
      <c r="B1341">
        <f>SE('Arrecadação das Missas'!A342="";"";"Missas - "&amp;'Arrecadação das Missas'!B342)</f>
        <v/>
      </c>
      <c r="C1341">
        <f>SE('Arrecadação das Missas'!A342="";"";'Arrecadação das Missas'!D342)</f>
        <v/>
      </c>
      <c r="D1341">
        <f>SE('Arrecadação das Missas'!A342="";"";0)</f>
        <v/>
      </c>
    </row>
    <row r="1342">
      <c r="A1342">
        <f>SE('Arrecadação das Missas'!A343="";"";'Arrecadação das Missas'!A343)</f>
        <v/>
      </c>
      <c r="B1342">
        <f>SE('Arrecadação das Missas'!A343="";"";"Missas - "&amp;'Arrecadação das Missas'!B343)</f>
        <v/>
      </c>
      <c r="C1342">
        <f>SE('Arrecadação das Missas'!A343="";"";'Arrecadação das Missas'!D343)</f>
        <v/>
      </c>
      <c r="D1342">
        <f>SE('Arrecadação das Missas'!A343="";"";0)</f>
        <v/>
      </c>
    </row>
    <row r="1343">
      <c r="A1343">
        <f>SE('Arrecadação das Missas'!A344="";"";'Arrecadação das Missas'!A344)</f>
        <v/>
      </c>
      <c r="B1343">
        <f>SE('Arrecadação das Missas'!A344="";"";"Missas - "&amp;'Arrecadação das Missas'!B344)</f>
        <v/>
      </c>
      <c r="C1343">
        <f>SE('Arrecadação das Missas'!A344="";"";'Arrecadação das Missas'!D344)</f>
        <v/>
      </c>
      <c r="D1343">
        <f>SE('Arrecadação das Missas'!A344="";"";0)</f>
        <v/>
      </c>
    </row>
    <row r="1344">
      <c r="A1344">
        <f>SE('Arrecadação das Missas'!A345="";"";'Arrecadação das Missas'!A345)</f>
        <v/>
      </c>
      <c r="B1344">
        <f>SE('Arrecadação das Missas'!A345="";"";"Missas - "&amp;'Arrecadação das Missas'!B345)</f>
        <v/>
      </c>
      <c r="C1344">
        <f>SE('Arrecadação das Missas'!A345="";"";'Arrecadação das Missas'!D345)</f>
        <v/>
      </c>
      <c r="D1344">
        <f>SE('Arrecadação das Missas'!A345="";"";0)</f>
        <v/>
      </c>
    </row>
    <row r="1345">
      <c r="A1345">
        <f>SE('Arrecadação das Missas'!A346="";"";'Arrecadação das Missas'!A346)</f>
        <v/>
      </c>
      <c r="B1345">
        <f>SE('Arrecadação das Missas'!A346="";"";"Missas - "&amp;'Arrecadação das Missas'!B346)</f>
        <v/>
      </c>
      <c r="C1345">
        <f>SE('Arrecadação das Missas'!A346="";"";'Arrecadação das Missas'!D346)</f>
        <v/>
      </c>
      <c r="D1345">
        <f>SE('Arrecadação das Missas'!A346="";"";0)</f>
        <v/>
      </c>
    </row>
    <row r="1346">
      <c r="A1346">
        <f>SE('Arrecadação das Missas'!A347="";"";'Arrecadação das Missas'!A347)</f>
        <v/>
      </c>
      <c r="B1346">
        <f>SE('Arrecadação das Missas'!A347="";"";"Missas - "&amp;'Arrecadação das Missas'!B347)</f>
        <v/>
      </c>
      <c r="C1346">
        <f>SE('Arrecadação das Missas'!A347="";"";'Arrecadação das Missas'!D347)</f>
        <v/>
      </c>
      <c r="D1346">
        <f>SE('Arrecadação das Missas'!A347="";"";0)</f>
        <v/>
      </c>
    </row>
    <row r="1347">
      <c r="A1347">
        <f>SE('Arrecadação das Missas'!A348="";"";'Arrecadação das Missas'!A348)</f>
        <v/>
      </c>
      <c r="B1347">
        <f>SE('Arrecadação das Missas'!A348="";"";"Missas - "&amp;'Arrecadação das Missas'!B348)</f>
        <v/>
      </c>
      <c r="C1347">
        <f>SE('Arrecadação das Missas'!A348="";"";'Arrecadação das Missas'!D348)</f>
        <v/>
      </c>
      <c r="D1347">
        <f>SE('Arrecadação das Missas'!A348="";"";0)</f>
        <v/>
      </c>
    </row>
    <row r="1348">
      <c r="A1348">
        <f>SE('Arrecadação das Missas'!A349="";"";'Arrecadação das Missas'!A349)</f>
        <v/>
      </c>
      <c r="B1348">
        <f>SE('Arrecadação das Missas'!A349="";"";"Missas - "&amp;'Arrecadação das Missas'!B349)</f>
        <v/>
      </c>
      <c r="C1348">
        <f>SE('Arrecadação das Missas'!A349="";"";'Arrecadação das Missas'!D349)</f>
        <v/>
      </c>
      <c r="D1348">
        <f>SE('Arrecadação das Missas'!A349="";"";0)</f>
        <v/>
      </c>
    </row>
    <row r="1349">
      <c r="A1349">
        <f>SE('Arrecadação das Missas'!A350="";"";'Arrecadação das Missas'!A350)</f>
        <v/>
      </c>
      <c r="B1349">
        <f>SE('Arrecadação das Missas'!A350="";"";"Missas - "&amp;'Arrecadação das Missas'!B350)</f>
        <v/>
      </c>
      <c r="C1349">
        <f>SE('Arrecadação das Missas'!A350="";"";'Arrecadação das Missas'!D350)</f>
        <v/>
      </c>
      <c r="D1349">
        <f>SE('Arrecadação das Missas'!A350="";"";0)</f>
        <v/>
      </c>
    </row>
    <row r="1350">
      <c r="A1350">
        <f>SE('Arrecadação das Missas'!A351="";"";'Arrecadação das Missas'!A351)</f>
        <v/>
      </c>
      <c r="B1350">
        <f>SE('Arrecadação das Missas'!A351="";"";"Missas - "&amp;'Arrecadação das Missas'!B351)</f>
        <v/>
      </c>
      <c r="C1350">
        <f>SE('Arrecadação das Missas'!A351="";"";'Arrecadação das Missas'!D351)</f>
        <v/>
      </c>
      <c r="D1350">
        <f>SE('Arrecadação das Missas'!A351="";"";0)</f>
        <v/>
      </c>
    </row>
    <row r="1351">
      <c r="A1351">
        <f>SE('Arrecadação das Missas'!A352="";"";'Arrecadação das Missas'!A352)</f>
        <v/>
      </c>
      <c r="B1351">
        <f>SE('Arrecadação das Missas'!A352="";"";"Missas - "&amp;'Arrecadação das Missas'!B352)</f>
        <v/>
      </c>
      <c r="C1351">
        <f>SE('Arrecadação das Missas'!A352="";"";'Arrecadação das Missas'!D352)</f>
        <v/>
      </c>
      <c r="D1351">
        <f>SE('Arrecadação das Missas'!A352="";"";0)</f>
        <v/>
      </c>
    </row>
    <row r="1352">
      <c r="A1352">
        <f>SE('Arrecadação das Missas'!A353="";"";'Arrecadação das Missas'!A353)</f>
        <v/>
      </c>
      <c r="B1352">
        <f>SE('Arrecadação das Missas'!A353="";"";"Missas - "&amp;'Arrecadação das Missas'!B353)</f>
        <v/>
      </c>
      <c r="C1352">
        <f>SE('Arrecadação das Missas'!A353="";"";'Arrecadação das Missas'!D353)</f>
        <v/>
      </c>
      <c r="D1352">
        <f>SE('Arrecadação das Missas'!A353="";"";0)</f>
        <v/>
      </c>
    </row>
    <row r="1353">
      <c r="A1353">
        <f>SE('Arrecadação das Missas'!A354="";"";'Arrecadação das Missas'!A354)</f>
        <v/>
      </c>
      <c r="B1353">
        <f>SE('Arrecadação das Missas'!A354="";"";"Missas - "&amp;'Arrecadação das Missas'!B354)</f>
        <v/>
      </c>
      <c r="C1353">
        <f>SE('Arrecadação das Missas'!A354="";"";'Arrecadação das Missas'!D354)</f>
        <v/>
      </c>
      <c r="D1353">
        <f>SE('Arrecadação das Missas'!A354="";"";0)</f>
        <v/>
      </c>
    </row>
    <row r="1354">
      <c r="A1354">
        <f>SE('Arrecadação das Missas'!A355="";"";'Arrecadação das Missas'!A355)</f>
        <v/>
      </c>
      <c r="B1354">
        <f>SE('Arrecadação das Missas'!A355="";"";"Missas - "&amp;'Arrecadação das Missas'!B355)</f>
        <v/>
      </c>
      <c r="C1354">
        <f>SE('Arrecadação das Missas'!A355="";"";'Arrecadação das Missas'!D355)</f>
        <v/>
      </c>
      <c r="D1354">
        <f>SE('Arrecadação das Missas'!A355="";"";0)</f>
        <v/>
      </c>
    </row>
    <row r="1355">
      <c r="A1355">
        <f>SE('Arrecadação das Missas'!A356="";"";'Arrecadação das Missas'!A356)</f>
        <v/>
      </c>
      <c r="B1355">
        <f>SE('Arrecadação das Missas'!A356="";"";"Missas - "&amp;'Arrecadação das Missas'!B356)</f>
        <v/>
      </c>
      <c r="C1355">
        <f>SE('Arrecadação das Missas'!A356="";"";'Arrecadação das Missas'!D356)</f>
        <v/>
      </c>
      <c r="D1355">
        <f>SE('Arrecadação das Missas'!A356="";"";0)</f>
        <v/>
      </c>
    </row>
    <row r="1356">
      <c r="A1356">
        <f>SE('Arrecadação das Missas'!A357="";"";'Arrecadação das Missas'!A357)</f>
        <v/>
      </c>
      <c r="B1356">
        <f>SE('Arrecadação das Missas'!A357="";"";"Missas - "&amp;'Arrecadação das Missas'!B357)</f>
        <v/>
      </c>
      <c r="C1356">
        <f>SE('Arrecadação das Missas'!A357="";"";'Arrecadação das Missas'!D357)</f>
        <v/>
      </c>
      <c r="D1356">
        <f>SE('Arrecadação das Missas'!A357="";"";0)</f>
        <v/>
      </c>
    </row>
    <row r="1357">
      <c r="A1357">
        <f>SE('Arrecadação das Missas'!A358="";"";'Arrecadação das Missas'!A358)</f>
        <v/>
      </c>
      <c r="B1357">
        <f>SE('Arrecadação das Missas'!A358="";"";"Missas - "&amp;'Arrecadação das Missas'!B358)</f>
        <v/>
      </c>
      <c r="C1357">
        <f>SE('Arrecadação das Missas'!A358="";"";'Arrecadação das Missas'!D358)</f>
        <v/>
      </c>
      <c r="D1357">
        <f>SE('Arrecadação das Missas'!A358="";"";0)</f>
        <v/>
      </c>
    </row>
    <row r="1358">
      <c r="A1358">
        <f>SE('Arrecadação das Missas'!A359="";"";'Arrecadação das Missas'!A359)</f>
        <v/>
      </c>
      <c r="B1358">
        <f>SE('Arrecadação das Missas'!A359="";"";"Missas - "&amp;'Arrecadação das Missas'!B359)</f>
        <v/>
      </c>
      <c r="C1358">
        <f>SE('Arrecadação das Missas'!A359="";"";'Arrecadação das Missas'!D359)</f>
        <v/>
      </c>
      <c r="D1358">
        <f>SE('Arrecadação das Missas'!A359="";"";0)</f>
        <v/>
      </c>
    </row>
    <row r="1359">
      <c r="A1359">
        <f>SE('Arrecadação das Missas'!A360="";"";'Arrecadação das Missas'!A360)</f>
        <v/>
      </c>
      <c r="B1359">
        <f>SE('Arrecadação das Missas'!A360="";"";"Missas - "&amp;'Arrecadação das Missas'!B360)</f>
        <v/>
      </c>
      <c r="C1359">
        <f>SE('Arrecadação das Missas'!A360="";"";'Arrecadação das Missas'!D360)</f>
        <v/>
      </c>
      <c r="D1359">
        <f>SE('Arrecadação das Missas'!A360="";"";0)</f>
        <v/>
      </c>
    </row>
    <row r="1360">
      <c r="A1360">
        <f>SE('Arrecadação das Missas'!A361="";"";'Arrecadação das Missas'!A361)</f>
        <v/>
      </c>
      <c r="B1360">
        <f>SE('Arrecadação das Missas'!A361="";"";"Missas - "&amp;'Arrecadação das Missas'!B361)</f>
        <v/>
      </c>
      <c r="C1360">
        <f>SE('Arrecadação das Missas'!A361="";"";'Arrecadação das Missas'!D361)</f>
        <v/>
      </c>
      <c r="D1360">
        <f>SE('Arrecadação das Missas'!A361="";"";0)</f>
        <v/>
      </c>
    </row>
    <row r="1361">
      <c r="A1361">
        <f>SE('Arrecadação das Missas'!A362="";"";'Arrecadação das Missas'!A362)</f>
        <v/>
      </c>
      <c r="B1361">
        <f>SE('Arrecadação das Missas'!A362="";"";"Missas - "&amp;'Arrecadação das Missas'!B362)</f>
        <v/>
      </c>
      <c r="C1361">
        <f>SE('Arrecadação das Missas'!A362="";"";'Arrecadação das Missas'!D362)</f>
        <v/>
      </c>
      <c r="D1361">
        <f>SE('Arrecadação das Missas'!A362="";"";0)</f>
        <v/>
      </c>
    </row>
    <row r="1362">
      <c r="A1362">
        <f>SE('Arrecadação das Missas'!A363="";"";'Arrecadação das Missas'!A363)</f>
        <v/>
      </c>
      <c r="B1362">
        <f>SE('Arrecadação das Missas'!A363="";"";"Missas - "&amp;'Arrecadação das Missas'!B363)</f>
        <v/>
      </c>
      <c r="C1362">
        <f>SE('Arrecadação das Missas'!A363="";"";'Arrecadação das Missas'!D363)</f>
        <v/>
      </c>
      <c r="D1362">
        <f>SE('Arrecadação das Missas'!A363="";"";0)</f>
        <v/>
      </c>
    </row>
    <row r="1363">
      <c r="A1363">
        <f>SE('Arrecadação das Missas'!A364="";"";'Arrecadação das Missas'!A364)</f>
        <v/>
      </c>
      <c r="B1363">
        <f>SE('Arrecadação das Missas'!A364="";"";"Missas - "&amp;'Arrecadação das Missas'!B364)</f>
        <v/>
      </c>
      <c r="C1363">
        <f>SE('Arrecadação das Missas'!A364="";"";'Arrecadação das Missas'!D364)</f>
        <v/>
      </c>
      <c r="D1363">
        <f>SE('Arrecadação das Missas'!A364="";"";0)</f>
        <v/>
      </c>
    </row>
    <row r="1364">
      <c r="A1364">
        <f>SE('Arrecadação das Missas'!A365="";"";'Arrecadação das Missas'!A365)</f>
        <v/>
      </c>
      <c r="B1364">
        <f>SE('Arrecadação das Missas'!A365="";"";"Missas - "&amp;'Arrecadação das Missas'!B365)</f>
        <v/>
      </c>
      <c r="C1364">
        <f>SE('Arrecadação das Missas'!A365="";"";'Arrecadação das Missas'!D365)</f>
        <v/>
      </c>
      <c r="D1364">
        <f>SE('Arrecadação das Missas'!A365="";"";0)</f>
        <v/>
      </c>
    </row>
    <row r="1365">
      <c r="A1365">
        <f>SE('Arrecadação das Missas'!A366="";"";'Arrecadação das Missas'!A366)</f>
        <v/>
      </c>
      <c r="B1365">
        <f>SE('Arrecadação das Missas'!A366="";"";"Missas - "&amp;'Arrecadação das Missas'!B366)</f>
        <v/>
      </c>
      <c r="C1365">
        <f>SE('Arrecadação das Missas'!A366="";"";'Arrecadação das Missas'!D366)</f>
        <v/>
      </c>
      <c r="D1365">
        <f>SE('Arrecadação das Missas'!A366="";"";0)</f>
        <v/>
      </c>
    </row>
    <row r="1366">
      <c r="A1366">
        <f>SE('Arrecadação das Missas'!A367="";"";'Arrecadação das Missas'!A367)</f>
        <v/>
      </c>
      <c r="B1366">
        <f>SE('Arrecadação das Missas'!A367="";"";"Missas - "&amp;'Arrecadação das Missas'!B367)</f>
        <v/>
      </c>
      <c r="C1366">
        <f>SE('Arrecadação das Missas'!A367="";"";'Arrecadação das Missas'!D367)</f>
        <v/>
      </c>
      <c r="D1366">
        <f>SE('Arrecadação das Missas'!A367="";"";0)</f>
        <v/>
      </c>
    </row>
    <row r="1367">
      <c r="A1367">
        <f>SE('Arrecadação das Missas'!A368="";"";'Arrecadação das Missas'!A368)</f>
        <v/>
      </c>
      <c r="B1367">
        <f>SE('Arrecadação das Missas'!A368="";"";"Missas - "&amp;'Arrecadação das Missas'!B368)</f>
        <v/>
      </c>
      <c r="C1367">
        <f>SE('Arrecadação das Missas'!A368="";"";'Arrecadação das Missas'!D368)</f>
        <v/>
      </c>
      <c r="D1367">
        <f>SE('Arrecadação das Missas'!A368="";"";0)</f>
        <v/>
      </c>
    </row>
    <row r="1368">
      <c r="A1368">
        <f>SE('Arrecadação das Missas'!A369="";"";'Arrecadação das Missas'!A369)</f>
        <v/>
      </c>
      <c r="B1368">
        <f>SE('Arrecadação das Missas'!A369="";"";"Missas - "&amp;'Arrecadação das Missas'!B369)</f>
        <v/>
      </c>
      <c r="C1368">
        <f>SE('Arrecadação das Missas'!A369="";"";'Arrecadação das Missas'!D369)</f>
        <v/>
      </c>
      <c r="D1368">
        <f>SE('Arrecadação das Missas'!A369="";"";0)</f>
        <v/>
      </c>
    </row>
    <row r="1369">
      <c r="A1369">
        <f>SE('Arrecadação das Missas'!A370="";"";'Arrecadação das Missas'!A370)</f>
        <v/>
      </c>
      <c r="B1369">
        <f>SE('Arrecadação das Missas'!A370="";"";"Missas - "&amp;'Arrecadação das Missas'!B370)</f>
        <v/>
      </c>
      <c r="C1369">
        <f>SE('Arrecadação das Missas'!A370="";"";'Arrecadação das Missas'!D370)</f>
        <v/>
      </c>
      <c r="D1369">
        <f>SE('Arrecadação das Missas'!A370="";"";0)</f>
        <v/>
      </c>
    </row>
    <row r="1370">
      <c r="A1370">
        <f>SE('Arrecadação das Missas'!A371="";"";'Arrecadação das Missas'!A371)</f>
        <v/>
      </c>
      <c r="B1370">
        <f>SE('Arrecadação das Missas'!A371="";"";"Missas - "&amp;'Arrecadação das Missas'!B371)</f>
        <v/>
      </c>
      <c r="C1370">
        <f>SE('Arrecadação das Missas'!A371="";"";'Arrecadação das Missas'!D371)</f>
        <v/>
      </c>
      <c r="D1370">
        <f>SE('Arrecadação das Missas'!A371="";"";0)</f>
        <v/>
      </c>
    </row>
    <row r="1371">
      <c r="A1371">
        <f>SE('Arrecadação das Missas'!A372="";"";'Arrecadação das Missas'!A372)</f>
        <v/>
      </c>
      <c r="B1371">
        <f>SE('Arrecadação das Missas'!A372="";"";"Missas - "&amp;'Arrecadação das Missas'!B372)</f>
        <v/>
      </c>
      <c r="C1371">
        <f>SE('Arrecadação das Missas'!A372="";"";'Arrecadação das Missas'!D372)</f>
        <v/>
      </c>
      <c r="D1371">
        <f>SE('Arrecadação das Missas'!A372="";"";0)</f>
        <v/>
      </c>
    </row>
    <row r="1372">
      <c r="A1372">
        <f>SE('Arrecadação das Missas'!A373="";"";'Arrecadação das Missas'!A373)</f>
        <v/>
      </c>
      <c r="B1372">
        <f>SE('Arrecadação das Missas'!A373="";"";"Missas - "&amp;'Arrecadação das Missas'!B373)</f>
        <v/>
      </c>
      <c r="C1372">
        <f>SE('Arrecadação das Missas'!A373="";"";'Arrecadação das Missas'!D373)</f>
        <v/>
      </c>
      <c r="D1372">
        <f>SE('Arrecadação das Missas'!A373="";"";0)</f>
        <v/>
      </c>
    </row>
    <row r="1373">
      <c r="A1373">
        <f>SE('Arrecadação das Missas'!A374="";"";'Arrecadação das Missas'!A374)</f>
        <v/>
      </c>
      <c r="B1373">
        <f>SE('Arrecadação das Missas'!A374="";"";"Missas - "&amp;'Arrecadação das Missas'!B374)</f>
        <v/>
      </c>
      <c r="C1373">
        <f>SE('Arrecadação das Missas'!A374="";"";'Arrecadação das Missas'!D374)</f>
        <v/>
      </c>
      <c r="D1373">
        <f>SE('Arrecadação das Missas'!A374="";"";0)</f>
        <v/>
      </c>
    </row>
    <row r="1374">
      <c r="A1374">
        <f>SE('Arrecadação das Missas'!A375="";"";'Arrecadação das Missas'!A375)</f>
        <v/>
      </c>
      <c r="B1374">
        <f>SE('Arrecadação das Missas'!A375="";"";"Missas - "&amp;'Arrecadação das Missas'!B375)</f>
        <v/>
      </c>
      <c r="C1374">
        <f>SE('Arrecadação das Missas'!A375="";"";'Arrecadação das Missas'!D375)</f>
        <v/>
      </c>
      <c r="D1374">
        <f>SE('Arrecadação das Missas'!A375="";"";0)</f>
        <v/>
      </c>
    </row>
    <row r="1375">
      <c r="A1375">
        <f>SE('Arrecadação das Missas'!A376="";"";'Arrecadação das Missas'!A376)</f>
        <v/>
      </c>
      <c r="B1375">
        <f>SE('Arrecadação das Missas'!A376="";"";"Missas - "&amp;'Arrecadação das Missas'!B376)</f>
        <v/>
      </c>
      <c r="C1375">
        <f>SE('Arrecadação das Missas'!A376="";"";'Arrecadação das Missas'!D376)</f>
        <v/>
      </c>
      <c r="D1375">
        <f>SE('Arrecadação das Missas'!A376="";"";0)</f>
        <v/>
      </c>
    </row>
    <row r="1376">
      <c r="A1376">
        <f>SE('Arrecadação das Missas'!A377="";"";'Arrecadação das Missas'!A377)</f>
        <v/>
      </c>
      <c r="B1376">
        <f>SE('Arrecadação das Missas'!A377="";"";"Missas - "&amp;'Arrecadação das Missas'!B377)</f>
        <v/>
      </c>
      <c r="C1376">
        <f>SE('Arrecadação das Missas'!A377="";"";'Arrecadação das Missas'!D377)</f>
        <v/>
      </c>
      <c r="D1376">
        <f>SE('Arrecadação das Missas'!A377="";"";0)</f>
        <v/>
      </c>
    </row>
    <row r="1377">
      <c r="A1377">
        <f>SE('Arrecadação das Missas'!A378="";"";'Arrecadação das Missas'!A378)</f>
        <v/>
      </c>
      <c r="B1377">
        <f>SE('Arrecadação das Missas'!A378="";"";"Missas - "&amp;'Arrecadação das Missas'!B378)</f>
        <v/>
      </c>
      <c r="C1377">
        <f>SE('Arrecadação das Missas'!A378="";"";'Arrecadação das Missas'!D378)</f>
        <v/>
      </c>
      <c r="D1377">
        <f>SE('Arrecadação das Missas'!A378="";"";0)</f>
        <v/>
      </c>
    </row>
    <row r="1378">
      <c r="A1378">
        <f>SE('Arrecadação das Missas'!A379="";"";'Arrecadação das Missas'!A379)</f>
        <v/>
      </c>
      <c r="B1378">
        <f>SE('Arrecadação das Missas'!A379="";"";"Missas - "&amp;'Arrecadação das Missas'!B379)</f>
        <v/>
      </c>
      <c r="C1378">
        <f>SE('Arrecadação das Missas'!A379="";"";'Arrecadação das Missas'!D379)</f>
        <v/>
      </c>
      <c r="D1378">
        <f>SE('Arrecadação das Missas'!A379="";"";0)</f>
        <v/>
      </c>
    </row>
    <row r="1379">
      <c r="A1379">
        <f>SE('Arrecadação das Missas'!A380="";"";'Arrecadação das Missas'!A380)</f>
        <v/>
      </c>
      <c r="B1379">
        <f>SE('Arrecadação das Missas'!A380="";"";"Missas - "&amp;'Arrecadação das Missas'!B380)</f>
        <v/>
      </c>
      <c r="C1379">
        <f>SE('Arrecadação das Missas'!A380="";"";'Arrecadação das Missas'!D380)</f>
        <v/>
      </c>
      <c r="D1379">
        <f>SE('Arrecadação das Missas'!A380="";"";0)</f>
        <v/>
      </c>
    </row>
    <row r="1380">
      <c r="A1380">
        <f>SE('Arrecadação das Missas'!A381="";"";'Arrecadação das Missas'!A381)</f>
        <v/>
      </c>
      <c r="B1380">
        <f>SE('Arrecadação das Missas'!A381="";"";"Missas - "&amp;'Arrecadação das Missas'!B381)</f>
        <v/>
      </c>
      <c r="C1380">
        <f>SE('Arrecadação das Missas'!A381="";"";'Arrecadação das Missas'!D381)</f>
        <v/>
      </c>
      <c r="D1380">
        <f>SE('Arrecadação das Missas'!A381="";"";0)</f>
        <v/>
      </c>
    </row>
    <row r="1381">
      <c r="A1381">
        <f>SE('Arrecadação das Missas'!A382="";"";'Arrecadação das Missas'!A382)</f>
        <v/>
      </c>
      <c r="B1381">
        <f>SE('Arrecadação das Missas'!A382="";"";"Missas - "&amp;'Arrecadação das Missas'!B382)</f>
        <v/>
      </c>
      <c r="C1381">
        <f>SE('Arrecadação das Missas'!A382="";"";'Arrecadação das Missas'!D382)</f>
        <v/>
      </c>
      <c r="D1381">
        <f>SE('Arrecadação das Missas'!A382="";"";0)</f>
        <v/>
      </c>
    </row>
    <row r="1382">
      <c r="A1382">
        <f>SE('Arrecadação das Missas'!A383="";"";'Arrecadação das Missas'!A383)</f>
        <v/>
      </c>
      <c r="B1382">
        <f>SE('Arrecadação das Missas'!A383="";"";"Missas - "&amp;'Arrecadação das Missas'!B383)</f>
        <v/>
      </c>
      <c r="C1382">
        <f>SE('Arrecadação das Missas'!A383="";"";'Arrecadação das Missas'!D383)</f>
        <v/>
      </c>
      <c r="D1382">
        <f>SE('Arrecadação das Missas'!A383="";"";0)</f>
        <v/>
      </c>
    </row>
    <row r="1383">
      <c r="A1383">
        <f>SE('Arrecadação das Missas'!A384="";"";'Arrecadação das Missas'!A384)</f>
        <v/>
      </c>
      <c r="B1383">
        <f>SE('Arrecadação das Missas'!A384="";"";"Missas - "&amp;'Arrecadação das Missas'!B384)</f>
        <v/>
      </c>
      <c r="C1383">
        <f>SE('Arrecadação das Missas'!A384="";"";'Arrecadação das Missas'!D384)</f>
        <v/>
      </c>
      <c r="D1383">
        <f>SE('Arrecadação das Missas'!A384="";"";0)</f>
        <v/>
      </c>
    </row>
    <row r="1384">
      <c r="A1384">
        <f>SE('Arrecadação das Missas'!A385="";"";'Arrecadação das Missas'!A385)</f>
        <v/>
      </c>
      <c r="B1384">
        <f>SE('Arrecadação das Missas'!A385="";"";"Missas - "&amp;'Arrecadação das Missas'!B385)</f>
        <v/>
      </c>
      <c r="C1384">
        <f>SE('Arrecadação das Missas'!A385="";"";'Arrecadação das Missas'!D385)</f>
        <v/>
      </c>
      <c r="D1384">
        <f>SE('Arrecadação das Missas'!A385="";"";0)</f>
        <v/>
      </c>
    </row>
    <row r="1385">
      <c r="A1385">
        <f>SE('Arrecadação das Missas'!A386="";"";'Arrecadação das Missas'!A386)</f>
        <v/>
      </c>
      <c r="B1385">
        <f>SE('Arrecadação das Missas'!A386="";"";"Missas - "&amp;'Arrecadação das Missas'!B386)</f>
        <v/>
      </c>
      <c r="C1385">
        <f>SE('Arrecadação das Missas'!A386="";"";'Arrecadação das Missas'!D386)</f>
        <v/>
      </c>
      <c r="D1385">
        <f>SE('Arrecadação das Missas'!A386="";"";0)</f>
        <v/>
      </c>
    </row>
    <row r="1386">
      <c r="A1386">
        <f>SE('Arrecadação das Missas'!A387="";"";'Arrecadação das Missas'!A387)</f>
        <v/>
      </c>
      <c r="B1386">
        <f>SE('Arrecadação das Missas'!A387="";"";"Missas - "&amp;'Arrecadação das Missas'!B387)</f>
        <v/>
      </c>
      <c r="C1386">
        <f>SE('Arrecadação das Missas'!A387="";"";'Arrecadação das Missas'!D387)</f>
        <v/>
      </c>
      <c r="D1386">
        <f>SE('Arrecadação das Missas'!A387="";"";0)</f>
        <v/>
      </c>
    </row>
    <row r="1387">
      <c r="A1387">
        <f>SE('Arrecadação das Missas'!A388="";"";'Arrecadação das Missas'!A388)</f>
        <v/>
      </c>
      <c r="B1387">
        <f>SE('Arrecadação das Missas'!A388="";"";"Missas - "&amp;'Arrecadação das Missas'!B388)</f>
        <v/>
      </c>
      <c r="C1387">
        <f>SE('Arrecadação das Missas'!A388="";"";'Arrecadação das Missas'!D388)</f>
        <v/>
      </c>
      <c r="D1387">
        <f>SE('Arrecadação das Missas'!A388="";"";0)</f>
        <v/>
      </c>
    </row>
    <row r="1388">
      <c r="A1388">
        <f>SE('Arrecadação das Missas'!A389="";"";'Arrecadação das Missas'!A389)</f>
        <v/>
      </c>
      <c r="B1388">
        <f>SE('Arrecadação das Missas'!A389="";"";"Missas - "&amp;'Arrecadação das Missas'!B389)</f>
        <v/>
      </c>
      <c r="C1388">
        <f>SE('Arrecadação das Missas'!A389="";"";'Arrecadação das Missas'!D389)</f>
        <v/>
      </c>
      <c r="D1388">
        <f>SE('Arrecadação das Missas'!A389="";"";0)</f>
        <v/>
      </c>
    </row>
    <row r="1389">
      <c r="A1389">
        <f>SE('Arrecadação das Missas'!A390="";"";'Arrecadação das Missas'!A390)</f>
        <v/>
      </c>
      <c r="B1389">
        <f>SE('Arrecadação das Missas'!A390="";"";"Missas - "&amp;'Arrecadação das Missas'!B390)</f>
        <v/>
      </c>
      <c r="C1389">
        <f>SE('Arrecadação das Missas'!A390="";"";'Arrecadação das Missas'!D390)</f>
        <v/>
      </c>
      <c r="D1389">
        <f>SE('Arrecadação das Missas'!A390="";"";0)</f>
        <v/>
      </c>
    </row>
    <row r="1390">
      <c r="A1390">
        <f>SE('Arrecadação das Missas'!A391="";"";'Arrecadação das Missas'!A391)</f>
        <v/>
      </c>
      <c r="B1390">
        <f>SE('Arrecadação das Missas'!A391="";"";"Missas - "&amp;'Arrecadação das Missas'!B391)</f>
        <v/>
      </c>
      <c r="C1390">
        <f>SE('Arrecadação das Missas'!A391="";"";'Arrecadação das Missas'!D391)</f>
        <v/>
      </c>
      <c r="D1390">
        <f>SE('Arrecadação das Missas'!A391="";"";0)</f>
        <v/>
      </c>
    </row>
    <row r="1391">
      <c r="A1391">
        <f>SE('Arrecadação das Missas'!A392="";"";'Arrecadação das Missas'!A392)</f>
        <v/>
      </c>
      <c r="B1391">
        <f>SE('Arrecadação das Missas'!A392="";"";"Missas - "&amp;'Arrecadação das Missas'!B392)</f>
        <v/>
      </c>
      <c r="C1391">
        <f>SE('Arrecadação das Missas'!A392="";"";'Arrecadação das Missas'!D392)</f>
        <v/>
      </c>
      <c r="D1391">
        <f>SE('Arrecadação das Missas'!A392="";"";0)</f>
        <v/>
      </c>
    </row>
    <row r="1392">
      <c r="A1392">
        <f>SE('Arrecadação das Missas'!A393="";"";'Arrecadação das Missas'!A393)</f>
        <v/>
      </c>
      <c r="B1392">
        <f>SE('Arrecadação das Missas'!A393="";"";"Missas - "&amp;'Arrecadação das Missas'!B393)</f>
        <v/>
      </c>
      <c r="C1392">
        <f>SE('Arrecadação das Missas'!A393="";"";'Arrecadação das Missas'!D393)</f>
        <v/>
      </c>
      <c r="D1392">
        <f>SE('Arrecadação das Missas'!A393="";"";0)</f>
        <v/>
      </c>
    </row>
    <row r="1393">
      <c r="A1393">
        <f>SE('Arrecadação das Missas'!A394="";"";'Arrecadação das Missas'!A394)</f>
        <v/>
      </c>
      <c r="B1393">
        <f>SE('Arrecadação das Missas'!A394="";"";"Missas - "&amp;'Arrecadação das Missas'!B394)</f>
        <v/>
      </c>
      <c r="C1393">
        <f>SE('Arrecadação das Missas'!A394="";"";'Arrecadação das Missas'!D394)</f>
        <v/>
      </c>
      <c r="D1393">
        <f>SE('Arrecadação das Missas'!A394="";"";0)</f>
        <v/>
      </c>
    </row>
    <row r="1394">
      <c r="A1394">
        <f>SE('Arrecadação das Missas'!A395="";"";'Arrecadação das Missas'!A395)</f>
        <v/>
      </c>
      <c r="B1394">
        <f>SE('Arrecadação das Missas'!A395="";"";"Missas - "&amp;'Arrecadação das Missas'!B395)</f>
        <v/>
      </c>
      <c r="C1394">
        <f>SE('Arrecadação das Missas'!A395="";"";'Arrecadação das Missas'!D395)</f>
        <v/>
      </c>
      <c r="D1394">
        <f>SE('Arrecadação das Missas'!A395="";"";0)</f>
        <v/>
      </c>
    </row>
    <row r="1395">
      <c r="A1395">
        <f>SE('Arrecadação das Missas'!A396="";"";'Arrecadação das Missas'!A396)</f>
        <v/>
      </c>
      <c r="B1395">
        <f>SE('Arrecadação das Missas'!A396="";"";"Missas - "&amp;'Arrecadação das Missas'!B396)</f>
        <v/>
      </c>
      <c r="C1395">
        <f>SE('Arrecadação das Missas'!A396="";"";'Arrecadação das Missas'!D396)</f>
        <v/>
      </c>
      <c r="D1395">
        <f>SE('Arrecadação das Missas'!A396="";"";0)</f>
        <v/>
      </c>
    </row>
    <row r="1396">
      <c r="A1396">
        <f>SE('Arrecadação das Missas'!A397="";"";'Arrecadação das Missas'!A397)</f>
        <v/>
      </c>
      <c r="B1396">
        <f>SE('Arrecadação das Missas'!A397="";"";"Missas - "&amp;'Arrecadação das Missas'!B397)</f>
        <v/>
      </c>
      <c r="C1396">
        <f>SE('Arrecadação das Missas'!A397="";"";'Arrecadação das Missas'!D397)</f>
        <v/>
      </c>
      <c r="D1396">
        <f>SE('Arrecadação das Missas'!A397="";"";0)</f>
        <v/>
      </c>
    </row>
    <row r="1397">
      <c r="A1397">
        <f>SE('Arrecadação das Missas'!A398="";"";'Arrecadação das Missas'!A398)</f>
        <v/>
      </c>
      <c r="B1397">
        <f>SE('Arrecadação das Missas'!A398="";"";"Missas - "&amp;'Arrecadação das Missas'!B398)</f>
        <v/>
      </c>
      <c r="C1397">
        <f>SE('Arrecadação das Missas'!A398="";"";'Arrecadação das Missas'!D398)</f>
        <v/>
      </c>
      <c r="D1397">
        <f>SE('Arrecadação das Missas'!A398="";"";0)</f>
        <v/>
      </c>
    </row>
    <row r="1398">
      <c r="A1398">
        <f>SE('Arrecadação das Missas'!A399="";"";'Arrecadação das Missas'!A399)</f>
        <v/>
      </c>
      <c r="B1398">
        <f>SE('Arrecadação das Missas'!A399="";"";"Missas - "&amp;'Arrecadação das Missas'!B399)</f>
        <v/>
      </c>
      <c r="C1398">
        <f>SE('Arrecadação das Missas'!A399="";"";'Arrecadação das Missas'!D399)</f>
        <v/>
      </c>
      <c r="D1398">
        <f>SE('Arrecadação das Missas'!A399="";"";0)</f>
        <v/>
      </c>
    </row>
    <row r="1399">
      <c r="A1399">
        <f>SE('Arrecadação das Missas'!A400="";"";'Arrecadação das Missas'!A400)</f>
        <v/>
      </c>
      <c r="B1399">
        <f>SE('Arrecadação das Missas'!A400="";"";"Missas - "&amp;'Arrecadação das Missas'!B400)</f>
        <v/>
      </c>
      <c r="C1399">
        <f>SE('Arrecadação das Missas'!A400="";"";'Arrecadação das Missas'!D400)</f>
        <v/>
      </c>
      <c r="D1399">
        <f>SE('Arrecadação das Missas'!A400="";"";0)</f>
        <v/>
      </c>
    </row>
    <row r="1400">
      <c r="A1400">
        <f>SE('Arrecadação das Missas'!A401="";"";'Arrecadação das Missas'!A401)</f>
        <v/>
      </c>
      <c r="B1400">
        <f>SE('Arrecadação das Missas'!A401="";"";"Missas - "&amp;'Arrecadação das Missas'!B401)</f>
        <v/>
      </c>
      <c r="C1400">
        <f>SE('Arrecadação das Missas'!A401="";"";'Arrecadação das Missas'!D401)</f>
        <v/>
      </c>
      <c r="D1400">
        <f>SE('Arrecadação das Missas'!A401="";"";0)</f>
        <v/>
      </c>
    </row>
    <row r="1401">
      <c r="A1401">
        <f>SE('Arrecadação das Missas'!A402="";"";'Arrecadação das Missas'!A402)</f>
        <v/>
      </c>
      <c r="B1401">
        <f>SE('Arrecadação das Missas'!A402="";"";"Missas - "&amp;'Arrecadação das Missas'!B402)</f>
        <v/>
      </c>
      <c r="C1401">
        <f>SE('Arrecadação das Missas'!A402="";"";'Arrecadação das Missas'!D402)</f>
        <v/>
      </c>
      <c r="D1401">
        <f>SE('Arrecadação das Missas'!A402="";"";0)</f>
        <v/>
      </c>
    </row>
    <row r="1402">
      <c r="A1402">
        <f>SE('Arrecadação das Missas'!A403="";"";'Arrecadação das Missas'!A403)</f>
        <v/>
      </c>
      <c r="B1402">
        <f>SE('Arrecadação das Missas'!A403="";"";"Missas - "&amp;'Arrecadação das Missas'!B403)</f>
        <v/>
      </c>
      <c r="C1402">
        <f>SE('Arrecadação das Missas'!A403="";"";'Arrecadação das Missas'!D403)</f>
        <v/>
      </c>
      <c r="D1402">
        <f>SE('Arrecadação das Missas'!A403="";"";0)</f>
        <v/>
      </c>
    </row>
    <row r="1403">
      <c r="A1403">
        <f>SE('Arrecadação das Missas'!A404="";"";'Arrecadação das Missas'!A404)</f>
        <v/>
      </c>
      <c r="B1403">
        <f>SE('Arrecadação das Missas'!A404="";"";"Missas - "&amp;'Arrecadação das Missas'!B404)</f>
        <v/>
      </c>
      <c r="C1403">
        <f>SE('Arrecadação das Missas'!A404="";"";'Arrecadação das Missas'!D404)</f>
        <v/>
      </c>
      <c r="D1403">
        <f>SE('Arrecadação das Missas'!A404="";"";0)</f>
        <v/>
      </c>
    </row>
    <row r="1404">
      <c r="A1404">
        <f>SE('Arrecadação das Missas'!A405="";"";'Arrecadação das Missas'!A405)</f>
        <v/>
      </c>
      <c r="B1404">
        <f>SE('Arrecadação das Missas'!A405="";"";"Missas - "&amp;'Arrecadação das Missas'!B405)</f>
        <v/>
      </c>
      <c r="C1404">
        <f>SE('Arrecadação das Missas'!A405="";"";'Arrecadação das Missas'!D405)</f>
        <v/>
      </c>
      <c r="D1404">
        <f>SE('Arrecadação das Missas'!A405="";"";0)</f>
        <v/>
      </c>
    </row>
    <row r="1405">
      <c r="A1405">
        <f>SE('Arrecadação das Missas'!A406="";"";'Arrecadação das Missas'!A406)</f>
        <v/>
      </c>
      <c r="B1405">
        <f>SE('Arrecadação das Missas'!A406="";"";"Missas - "&amp;'Arrecadação das Missas'!B406)</f>
        <v/>
      </c>
      <c r="C1405">
        <f>SE('Arrecadação das Missas'!A406="";"";'Arrecadação das Missas'!D406)</f>
        <v/>
      </c>
      <c r="D1405">
        <f>SE('Arrecadação das Missas'!A406="";"";0)</f>
        <v/>
      </c>
    </row>
    <row r="1406">
      <c r="A1406">
        <f>SE('Arrecadação das Missas'!A407="";"";'Arrecadação das Missas'!A407)</f>
        <v/>
      </c>
      <c r="B1406">
        <f>SE('Arrecadação das Missas'!A407="";"";"Missas - "&amp;'Arrecadação das Missas'!B407)</f>
        <v/>
      </c>
      <c r="C1406">
        <f>SE('Arrecadação das Missas'!A407="";"";'Arrecadação das Missas'!D407)</f>
        <v/>
      </c>
      <c r="D1406">
        <f>SE('Arrecadação das Missas'!A407="";"";0)</f>
        <v/>
      </c>
    </row>
    <row r="1407">
      <c r="A1407">
        <f>SE('Arrecadação das Missas'!A408="";"";'Arrecadação das Missas'!A408)</f>
        <v/>
      </c>
      <c r="B1407">
        <f>SE('Arrecadação das Missas'!A408="";"";"Missas - "&amp;'Arrecadação das Missas'!B408)</f>
        <v/>
      </c>
      <c r="C1407">
        <f>SE('Arrecadação das Missas'!A408="";"";'Arrecadação das Missas'!D408)</f>
        <v/>
      </c>
      <c r="D1407">
        <f>SE('Arrecadação das Missas'!A408="";"";0)</f>
        <v/>
      </c>
    </row>
    <row r="1408">
      <c r="A1408">
        <f>SE('Arrecadação das Missas'!A409="";"";'Arrecadação das Missas'!A409)</f>
        <v/>
      </c>
      <c r="B1408">
        <f>SE('Arrecadação das Missas'!A409="";"";"Missas - "&amp;'Arrecadação das Missas'!B409)</f>
        <v/>
      </c>
      <c r="C1408">
        <f>SE('Arrecadação das Missas'!A409="";"";'Arrecadação das Missas'!D409)</f>
        <v/>
      </c>
      <c r="D1408">
        <f>SE('Arrecadação das Missas'!A409="";"";0)</f>
        <v/>
      </c>
    </row>
    <row r="1409">
      <c r="A1409">
        <f>SE('Arrecadação das Missas'!A410="";"";'Arrecadação das Missas'!A410)</f>
        <v/>
      </c>
      <c r="B1409">
        <f>SE('Arrecadação das Missas'!A410="";"";"Missas - "&amp;'Arrecadação das Missas'!B410)</f>
        <v/>
      </c>
      <c r="C1409">
        <f>SE('Arrecadação das Missas'!A410="";"";'Arrecadação das Missas'!D410)</f>
        <v/>
      </c>
      <c r="D1409">
        <f>SE('Arrecadação das Missas'!A410="";"";0)</f>
        <v/>
      </c>
    </row>
    <row r="1410">
      <c r="A1410">
        <f>SE('Arrecadação das Missas'!A411="";"";'Arrecadação das Missas'!A411)</f>
        <v/>
      </c>
      <c r="B1410">
        <f>SE('Arrecadação das Missas'!A411="";"";"Missas - "&amp;'Arrecadação das Missas'!B411)</f>
        <v/>
      </c>
      <c r="C1410">
        <f>SE('Arrecadação das Missas'!A411="";"";'Arrecadação das Missas'!D411)</f>
        <v/>
      </c>
      <c r="D1410">
        <f>SE('Arrecadação das Missas'!A411="";"";0)</f>
        <v/>
      </c>
    </row>
    <row r="1411">
      <c r="A1411">
        <f>SE('Arrecadação das Missas'!A412="";"";'Arrecadação das Missas'!A412)</f>
        <v/>
      </c>
      <c r="B1411">
        <f>SE('Arrecadação das Missas'!A412="";"";"Missas - "&amp;'Arrecadação das Missas'!B412)</f>
        <v/>
      </c>
      <c r="C1411">
        <f>SE('Arrecadação das Missas'!A412="";"";'Arrecadação das Missas'!D412)</f>
        <v/>
      </c>
      <c r="D1411">
        <f>SE('Arrecadação das Missas'!A412="";"";0)</f>
        <v/>
      </c>
    </row>
    <row r="1412">
      <c r="A1412">
        <f>SE('Arrecadação das Missas'!A413="";"";'Arrecadação das Missas'!A413)</f>
        <v/>
      </c>
      <c r="B1412">
        <f>SE('Arrecadação das Missas'!A413="";"";"Missas - "&amp;'Arrecadação das Missas'!B413)</f>
        <v/>
      </c>
      <c r="C1412">
        <f>SE('Arrecadação das Missas'!A413="";"";'Arrecadação das Missas'!D413)</f>
        <v/>
      </c>
      <c r="D1412">
        <f>SE('Arrecadação das Missas'!A413="";"";0)</f>
        <v/>
      </c>
    </row>
    <row r="1413">
      <c r="A1413">
        <f>SE('Arrecadação das Missas'!A414="";"";'Arrecadação das Missas'!A414)</f>
        <v/>
      </c>
      <c r="B1413">
        <f>SE('Arrecadação das Missas'!A414="";"";"Missas - "&amp;'Arrecadação das Missas'!B414)</f>
        <v/>
      </c>
      <c r="C1413">
        <f>SE('Arrecadação das Missas'!A414="";"";'Arrecadação das Missas'!D414)</f>
        <v/>
      </c>
      <c r="D1413">
        <f>SE('Arrecadação das Missas'!A414="";"";0)</f>
        <v/>
      </c>
    </row>
    <row r="1414">
      <c r="A1414">
        <f>SE('Arrecadação das Missas'!A415="";"";'Arrecadação das Missas'!A415)</f>
        <v/>
      </c>
      <c r="B1414">
        <f>SE('Arrecadação das Missas'!A415="";"";"Missas - "&amp;'Arrecadação das Missas'!B415)</f>
        <v/>
      </c>
      <c r="C1414">
        <f>SE('Arrecadação das Missas'!A415="";"";'Arrecadação das Missas'!D415)</f>
        <v/>
      </c>
      <c r="D1414">
        <f>SE('Arrecadação das Missas'!A415="";"";0)</f>
        <v/>
      </c>
    </row>
    <row r="1415">
      <c r="A1415">
        <f>SE('Arrecadação das Missas'!A416="";"";'Arrecadação das Missas'!A416)</f>
        <v/>
      </c>
      <c r="B1415">
        <f>SE('Arrecadação das Missas'!A416="";"";"Missas - "&amp;'Arrecadação das Missas'!B416)</f>
        <v/>
      </c>
      <c r="C1415">
        <f>SE('Arrecadação das Missas'!A416="";"";'Arrecadação das Missas'!D416)</f>
        <v/>
      </c>
      <c r="D1415">
        <f>SE('Arrecadação das Missas'!A416="";"";0)</f>
        <v/>
      </c>
    </row>
    <row r="1416">
      <c r="A1416">
        <f>SE('Arrecadação das Missas'!A417="";"";'Arrecadação das Missas'!A417)</f>
        <v/>
      </c>
      <c r="B1416">
        <f>SE('Arrecadação das Missas'!A417="";"";"Missas - "&amp;'Arrecadação das Missas'!B417)</f>
        <v/>
      </c>
      <c r="C1416">
        <f>SE('Arrecadação das Missas'!A417="";"";'Arrecadação das Missas'!D417)</f>
        <v/>
      </c>
      <c r="D1416">
        <f>SE('Arrecadação das Missas'!A417="";"";0)</f>
        <v/>
      </c>
    </row>
    <row r="1417">
      <c r="A1417">
        <f>SE('Arrecadação das Missas'!A418="";"";'Arrecadação das Missas'!A418)</f>
        <v/>
      </c>
      <c r="B1417">
        <f>SE('Arrecadação das Missas'!A418="";"";"Missas - "&amp;'Arrecadação das Missas'!B418)</f>
        <v/>
      </c>
      <c r="C1417">
        <f>SE('Arrecadação das Missas'!A418="";"";'Arrecadação das Missas'!D418)</f>
        <v/>
      </c>
      <c r="D1417">
        <f>SE('Arrecadação das Missas'!A418="";"";0)</f>
        <v/>
      </c>
    </row>
    <row r="1418">
      <c r="A1418">
        <f>SE('Arrecadação das Missas'!A419="";"";'Arrecadação das Missas'!A419)</f>
        <v/>
      </c>
      <c r="B1418">
        <f>SE('Arrecadação das Missas'!A419="";"";"Missas - "&amp;'Arrecadação das Missas'!B419)</f>
        <v/>
      </c>
      <c r="C1418">
        <f>SE('Arrecadação das Missas'!A419="";"";'Arrecadação das Missas'!D419)</f>
        <v/>
      </c>
      <c r="D1418">
        <f>SE('Arrecadação das Missas'!A419="";"";0)</f>
        <v/>
      </c>
    </row>
    <row r="1419">
      <c r="A1419">
        <f>SE('Arrecadação das Missas'!A420="";"";'Arrecadação das Missas'!A420)</f>
        <v/>
      </c>
      <c r="B1419">
        <f>SE('Arrecadação das Missas'!A420="";"";"Missas - "&amp;'Arrecadação das Missas'!B420)</f>
        <v/>
      </c>
      <c r="C1419">
        <f>SE('Arrecadação das Missas'!A420="";"";'Arrecadação das Missas'!D420)</f>
        <v/>
      </c>
      <c r="D1419">
        <f>SE('Arrecadação das Missas'!A420="";"";0)</f>
        <v/>
      </c>
    </row>
    <row r="1420">
      <c r="A1420">
        <f>SE('Arrecadação das Missas'!A421="";"";'Arrecadação das Missas'!A421)</f>
        <v/>
      </c>
      <c r="B1420">
        <f>SE('Arrecadação das Missas'!A421="";"";"Missas - "&amp;'Arrecadação das Missas'!B421)</f>
        <v/>
      </c>
      <c r="C1420">
        <f>SE('Arrecadação das Missas'!A421="";"";'Arrecadação das Missas'!D421)</f>
        <v/>
      </c>
      <c r="D1420">
        <f>SE('Arrecadação das Missas'!A421="";"";0)</f>
        <v/>
      </c>
    </row>
    <row r="1421">
      <c r="A1421">
        <f>SE('Arrecadação das Missas'!A422="";"";'Arrecadação das Missas'!A422)</f>
        <v/>
      </c>
      <c r="B1421">
        <f>SE('Arrecadação das Missas'!A422="";"";"Missas - "&amp;'Arrecadação das Missas'!B422)</f>
        <v/>
      </c>
      <c r="C1421">
        <f>SE('Arrecadação das Missas'!A422="";"";'Arrecadação das Missas'!D422)</f>
        <v/>
      </c>
      <c r="D1421">
        <f>SE('Arrecadação das Missas'!A422="";"";0)</f>
        <v/>
      </c>
    </row>
    <row r="1422">
      <c r="A1422">
        <f>SE('Arrecadação das Missas'!A423="";"";'Arrecadação das Missas'!A423)</f>
        <v/>
      </c>
      <c r="B1422">
        <f>SE('Arrecadação das Missas'!A423="";"";"Missas - "&amp;'Arrecadação das Missas'!B423)</f>
        <v/>
      </c>
      <c r="C1422">
        <f>SE('Arrecadação das Missas'!A423="";"";'Arrecadação das Missas'!D423)</f>
        <v/>
      </c>
      <c r="D1422">
        <f>SE('Arrecadação das Missas'!A423="";"";0)</f>
        <v/>
      </c>
    </row>
    <row r="1423">
      <c r="A1423">
        <f>SE('Arrecadação das Missas'!A424="";"";'Arrecadação das Missas'!A424)</f>
        <v/>
      </c>
      <c r="B1423">
        <f>SE('Arrecadação das Missas'!A424="";"";"Missas - "&amp;'Arrecadação das Missas'!B424)</f>
        <v/>
      </c>
      <c r="C1423">
        <f>SE('Arrecadação das Missas'!A424="";"";'Arrecadação das Missas'!D424)</f>
        <v/>
      </c>
      <c r="D1423">
        <f>SE('Arrecadação das Missas'!A424="";"";0)</f>
        <v/>
      </c>
    </row>
    <row r="1424">
      <c r="A1424">
        <f>SE('Arrecadação das Missas'!A425="";"";'Arrecadação das Missas'!A425)</f>
        <v/>
      </c>
      <c r="B1424">
        <f>SE('Arrecadação das Missas'!A425="";"";"Missas - "&amp;'Arrecadação das Missas'!B425)</f>
        <v/>
      </c>
      <c r="C1424">
        <f>SE('Arrecadação das Missas'!A425="";"";'Arrecadação das Missas'!D425)</f>
        <v/>
      </c>
      <c r="D1424">
        <f>SE('Arrecadação das Missas'!A425="";"";0)</f>
        <v/>
      </c>
    </row>
    <row r="1425">
      <c r="A1425">
        <f>SE('Arrecadação das Missas'!A426="";"";'Arrecadação das Missas'!A426)</f>
        <v/>
      </c>
      <c r="B1425">
        <f>SE('Arrecadação das Missas'!A426="";"";"Missas - "&amp;'Arrecadação das Missas'!B426)</f>
        <v/>
      </c>
      <c r="C1425">
        <f>SE('Arrecadação das Missas'!A426="";"";'Arrecadação das Missas'!D426)</f>
        <v/>
      </c>
      <c r="D1425">
        <f>SE('Arrecadação das Missas'!A426="";"";0)</f>
        <v/>
      </c>
    </row>
    <row r="1426">
      <c r="A1426">
        <f>SE('Arrecadação das Missas'!A427="";"";'Arrecadação das Missas'!A427)</f>
        <v/>
      </c>
      <c r="B1426">
        <f>SE('Arrecadação das Missas'!A427="";"";"Missas - "&amp;'Arrecadação das Missas'!B427)</f>
        <v/>
      </c>
      <c r="C1426">
        <f>SE('Arrecadação das Missas'!A427="";"";'Arrecadação das Missas'!D427)</f>
        <v/>
      </c>
      <c r="D1426">
        <f>SE('Arrecadação das Missas'!A427="";"";0)</f>
        <v/>
      </c>
    </row>
    <row r="1427">
      <c r="A1427">
        <f>SE('Arrecadação das Missas'!A428="";"";'Arrecadação das Missas'!A428)</f>
        <v/>
      </c>
      <c r="B1427">
        <f>SE('Arrecadação das Missas'!A428="";"";"Missas - "&amp;'Arrecadação das Missas'!B428)</f>
        <v/>
      </c>
      <c r="C1427">
        <f>SE('Arrecadação das Missas'!A428="";"";'Arrecadação das Missas'!D428)</f>
        <v/>
      </c>
      <c r="D1427">
        <f>SE('Arrecadação das Missas'!A428="";"";0)</f>
        <v/>
      </c>
    </row>
    <row r="1428">
      <c r="A1428">
        <f>SE('Arrecadação das Missas'!A429="";"";'Arrecadação das Missas'!A429)</f>
        <v/>
      </c>
      <c r="B1428">
        <f>SE('Arrecadação das Missas'!A429="";"";"Missas - "&amp;'Arrecadação das Missas'!B429)</f>
        <v/>
      </c>
      <c r="C1428">
        <f>SE('Arrecadação das Missas'!A429="";"";'Arrecadação das Missas'!D429)</f>
        <v/>
      </c>
      <c r="D1428">
        <f>SE('Arrecadação das Missas'!A429="";"";0)</f>
        <v/>
      </c>
    </row>
    <row r="1429">
      <c r="A1429">
        <f>SE('Arrecadação das Missas'!A430="";"";'Arrecadação das Missas'!A430)</f>
        <v/>
      </c>
      <c r="B1429">
        <f>SE('Arrecadação das Missas'!A430="";"";"Missas - "&amp;'Arrecadação das Missas'!B430)</f>
        <v/>
      </c>
      <c r="C1429">
        <f>SE('Arrecadação das Missas'!A430="";"";'Arrecadação das Missas'!D430)</f>
        <v/>
      </c>
      <c r="D1429">
        <f>SE('Arrecadação das Missas'!A430="";"";0)</f>
        <v/>
      </c>
    </row>
    <row r="1430">
      <c r="A1430">
        <f>SE('Arrecadação das Missas'!A431="";"";'Arrecadação das Missas'!A431)</f>
        <v/>
      </c>
      <c r="B1430">
        <f>SE('Arrecadação das Missas'!A431="";"";"Missas - "&amp;'Arrecadação das Missas'!B431)</f>
        <v/>
      </c>
      <c r="C1430">
        <f>SE('Arrecadação das Missas'!A431="";"";'Arrecadação das Missas'!D431)</f>
        <v/>
      </c>
      <c r="D1430">
        <f>SE('Arrecadação das Missas'!A431="";"";0)</f>
        <v/>
      </c>
    </row>
    <row r="1431">
      <c r="A1431">
        <f>SE('Arrecadação das Missas'!A432="";"";'Arrecadação das Missas'!A432)</f>
        <v/>
      </c>
      <c r="B1431">
        <f>SE('Arrecadação das Missas'!A432="";"";"Missas - "&amp;'Arrecadação das Missas'!B432)</f>
        <v/>
      </c>
      <c r="C1431">
        <f>SE('Arrecadação das Missas'!A432="";"";'Arrecadação das Missas'!D432)</f>
        <v/>
      </c>
      <c r="D1431">
        <f>SE('Arrecadação das Missas'!A432="";"";0)</f>
        <v/>
      </c>
    </row>
    <row r="1432">
      <c r="A1432">
        <f>SE('Arrecadação das Missas'!A433="";"";'Arrecadação das Missas'!A433)</f>
        <v/>
      </c>
      <c r="B1432">
        <f>SE('Arrecadação das Missas'!A433="";"";"Missas - "&amp;'Arrecadação das Missas'!B433)</f>
        <v/>
      </c>
      <c r="C1432">
        <f>SE('Arrecadação das Missas'!A433="";"";'Arrecadação das Missas'!D433)</f>
        <v/>
      </c>
      <c r="D1432">
        <f>SE('Arrecadação das Missas'!A433="";"";0)</f>
        <v/>
      </c>
    </row>
    <row r="1433">
      <c r="A1433">
        <f>SE('Arrecadação das Missas'!A434="";"";'Arrecadação das Missas'!A434)</f>
        <v/>
      </c>
      <c r="B1433">
        <f>SE('Arrecadação das Missas'!A434="";"";"Missas - "&amp;'Arrecadação das Missas'!B434)</f>
        <v/>
      </c>
      <c r="C1433">
        <f>SE('Arrecadação das Missas'!A434="";"";'Arrecadação das Missas'!D434)</f>
        <v/>
      </c>
      <c r="D1433">
        <f>SE('Arrecadação das Missas'!A434="";"";0)</f>
        <v/>
      </c>
    </row>
    <row r="1434">
      <c r="A1434">
        <f>SE('Arrecadação das Missas'!A435="";"";'Arrecadação das Missas'!A435)</f>
        <v/>
      </c>
      <c r="B1434">
        <f>SE('Arrecadação das Missas'!A435="";"";"Missas - "&amp;'Arrecadação das Missas'!B435)</f>
        <v/>
      </c>
      <c r="C1434">
        <f>SE('Arrecadação das Missas'!A435="";"";'Arrecadação das Missas'!D435)</f>
        <v/>
      </c>
      <c r="D1434">
        <f>SE('Arrecadação das Missas'!A435="";"";0)</f>
        <v/>
      </c>
    </row>
    <row r="1435">
      <c r="A1435">
        <f>SE('Arrecadação das Missas'!A436="";"";'Arrecadação das Missas'!A436)</f>
        <v/>
      </c>
      <c r="B1435">
        <f>SE('Arrecadação das Missas'!A436="";"";"Missas - "&amp;'Arrecadação das Missas'!B436)</f>
        <v/>
      </c>
      <c r="C1435">
        <f>SE('Arrecadação das Missas'!A436="";"";'Arrecadação das Missas'!D436)</f>
        <v/>
      </c>
      <c r="D1435">
        <f>SE('Arrecadação das Missas'!A436="";"";0)</f>
        <v/>
      </c>
    </row>
    <row r="1436">
      <c r="A1436">
        <f>SE('Arrecadação das Missas'!A437="";"";'Arrecadação das Missas'!A437)</f>
        <v/>
      </c>
      <c r="B1436">
        <f>SE('Arrecadação das Missas'!A437="";"";"Missas - "&amp;'Arrecadação das Missas'!B437)</f>
        <v/>
      </c>
      <c r="C1436">
        <f>SE('Arrecadação das Missas'!A437="";"";'Arrecadação das Missas'!D437)</f>
        <v/>
      </c>
      <c r="D1436">
        <f>SE('Arrecadação das Missas'!A437="";"";0)</f>
        <v/>
      </c>
    </row>
    <row r="1437">
      <c r="A1437">
        <f>SE('Arrecadação das Missas'!A438="";"";'Arrecadação das Missas'!A438)</f>
        <v/>
      </c>
      <c r="B1437">
        <f>SE('Arrecadação das Missas'!A438="";"";"Missas - "&amp;'Arrecadação das Missas'!B438)</f>
        <v/>
      </c>
      <c r="C1437">
        <f>SE('Arrecadação das Missas'!A438="";"";'Arrecadação das Missas'!D438)</f>
        <v/>
      </c>
      <c r="D1437">
        <f>SE('Arrecadação das Missas'!A438="";"";0)</f>
        <v/>
      </c>
    </row>
    <row r="1438">
      <c r="A1438">
        <f>SE('Arrecadação das Missas'!A439="";"";'Arrecadação das Missas'!A439)</f>
        <v/>
      </c>
      <c r="B1438">
        <f>SE('Arrecadação das Missas'!A439="";"";"Missas - "&amp;'Arrecadação das Missas'!B439)</f>
        <v/>
      </c>
      <c r="C1438">
        <f>SE('Arrecadação das Missas'!A439="";"";'Arrecadação das Missas'!D439)</f>
        <v/>
      </c>
      <c r="D1438">
        <f>SE('Arrecadação das Missas'!A439="";"";0)</f>
        <v/>
      </c>
    </row>
    <row r="1439">
      <c r="A1439">
        <f>SE('Arrecadação das Missas'!A440="";"";'Arrecadação das Missas'!A440)</f>
        <v/>
      </c>
      <c r="B1439">
        <f>SE('Arrecadação das Missas'!A440="";"";"Missas - "&amp;'Arrecadação das Missas'!B440)</f>
        <v/>
      </c>
      <c r="C1439">
        <f>SE('Arrecadação das Missas'!A440="";"";'Arrecadação das Missas'!D440)</f>
        <v/>
      </c>
      <c r="D1439">
        <f>SE('Arrecadação das Missas'!A440="";"";0)</f>
        <v/>
      </c>
    </row>
    <row r="1440">
      <c r="A1440">
        <f>SE('Arrecadação das Missas'!A441="";"";'Arrecadação das Missas'!A441)</f>
        <v/>
      </c>
      <c r="B1440">
        <f>SE('Arrecadação das Missas'!A441="";"";"Missas - "&amp;'Arrecadação das Missas'!B441)</f>
        <v/>
      </c>
      <c r="C1440">
        <f>SE('Arrecadação das Missas'!A441="";"";'Arrecadação das Missas'!D441)</f>
        <v/>
      </c>
      <c r="D1440">
        <f>SE('Arrecadação das Missas'!A441="";"";0)</f>
        <v/>
      </c>
    </row>
    <row r="1441">
      <c r="A1441">
        <f>SE('Arrecadação das Missas'!A442="";"";'Arrecadação das Missas'!A442)</f>
        <v/>
      </c>
      <c r="B1441">
        <f>SE('Arrecadação das Missas'!A442="";"";"Missas - "&amp;'Arrecadação das Missas'!B442)</f>
        <v/>
      </c>
      <c r="C1441">
        <f>SE('Arrecadação das Missas'!A442="";"";'Arrecadação das Missas'!D442)</f>
        <v/>
      </c>
      <c r="D1441">
        <f>SE('Arrecadação das Missas'!A442="";"";0)</f>
        <v/>
      </c>
    </row>
    <row r="1442">
      <c r="A1442">
        <f>SE('Arrecadação das Missas'!A443="";"";'Arrecadação das Missas'!A443)</f>
        <v/>
      </c>
      <c r="B1442">
        <f>SE('Arrecadação das Missas'!A443="";"";"Missas - "&amp;'Arrecadação das Missas'!B443)</f>
        <v/>
      </c>
      <c r="C1442">
        <f>SE('Arrecadação das Missas'!A443="";"";'Arrecadação das Missas'!D443)</f>
        <v/>
      </c>
      <c r="D1442">
        <f>SE('Arrecadação das Missas'!A443="";"";0)</f>
        <v/>
      </c>
    </row>
    <row r="1443">
      <c r="A1443">
        <f>SE('Arrecadação das Missas'!A444="";"";'Arrecadação das Missas'!A444)</f>
        <v/>
      </c>
      <c r="B1443">
        <f>SE('Arrecadação das Missas'!A444="";"";"Missas - "&amp;'Arrecadação das Missas'!B444)</f>
        <v/>
      </c>
      <c r="C1443">
        <f>SE('Arrecadação das Missas'!A444="";"";'Arrecadação das Missas'!D444)</f>
        <v/>
      </c>
      <c r="D1443">
        <f>SE('Arrecadação das Missas'!A444="";"";0)</f>
        <v/>
      </c>
    </row>
    <row r="1444">
      <c r="A1444">
        <f>SE('Arrecadação das Missas'!A445="";"";'Arrecadação das Missas'!A445)</f>
        <v/>
      </c>
      <c r="B1444">
        <f>SE('Arrecadação das Missas'!A445="";"";"Missas - "&amp;'Arrecadação das Missas'!B445)</f>
        <v/>
      </c>
      <c r="C1444">
        <f>SE('Arrecadação das Missas'!A445="";"";'Arrecadação das Missas'!D445)</f>
        <v/>
      </c>
      <c r="D1444">
        <f>SE('Arrecadação das Missas'!A445="";"";0)</f>
        <v/>
      </c>
    </row>
    <row r="1445">
      <c r="A1445">
        <f>SE('Arrecadação das Missas'!A446="";"";'Arrecadação das Missas'!A446)</f>
        <v/>
      </c>
      <c r="B1445">
        <f>SE('Arrecadação das Missas'!A446="";"";"Missas - "&amp;'Arrecadação das Missas'!B446)</f>
        <v/>
      </c>
      <c r="C1445">
        <f>SE('Arrecadação das Missas'!A446="";"";'Arrecadação das Missas'!D446)</f>
        <v/>
      </c>
      <c r="D1445">
        <f>SE('Arrecadação das Missas'!A446="";"";0)</f>
        <v/>
      </c>
    </row>
    <row r="1446">
      <c r="A1446">
        <f>SE('Arrecadação das Missas'!A447="";"";'Arrecadação das Missas'!A447)</f>
        <v/>
      </c>
      <c r="B1446">
        <f>SE('Arrecadação das Missas'!A447="";"";"Missas - "&amp;'Arrecadação das Missas'!B447)</f>
        <v/>
      </c>
      <c r="C1446">
        <f>SE('Arrecadação das Missas'!A447="";"";'Arrecadação das Missas'!D447)</f>
        <v/>
      </c>
      <c r="D1446">
        <f>SE('Arrecadação das Missas'!A447="";"";0)</f>
        <v/>
      </c>
    </row>
    <row r="1447">
      <c r="A1447">
        <f>SE('Arrecadação das Missas'!A448="";"";'Arrecadação das Missas'!A448)</f>
        <v/>
      </c>
      <c r="B1447">
        <f>SE('Arrecadação das Missas'!A448="";"";"Missas - "&amp;'Arrecadação das Missas'!B448)</f>
        <v/>
      </c>
      <c r="C1447">
        <f>SE('Arrecadação das Missas'!A448="";"";'Arrecadação das Missas'!D448)</f>
        <v/>
      </c>
      <c r="D1447">
        <f>SE('Arrecadação das Missas'!A448="";"";0)</f>
        <v/>
      </c>
    </row>
    <row r="1448">
      <c r="A1448">
        <f>SE('Arrecadação das Missas'!A449="";"";'Arrecadação das Missas'!A449)</f>
        <v/>
      </c>
      <c r="B1448">
        <f>SE('Arrecadação das Missas'!A449="";"";"Missas - "&amp;'Arrecadação das Missas'!B449)</f>
        <v/>
      </c>
      <c r="C1448">
        <f>SE('Arrecadação das Missas'!A449="";"";'Arrecadação das Missas'!D449)</f>
        <v/>
      </c>
      <c r="D1448">
        <f>SE('Arrecadação das Missas'!A449="";"";0)</f>
        <v/>
      </c>
    </row>
    <row r="1449">
      <c r="A1449">
        <f>SE('Arrecadação das Missas'!A450="";"";'Arrecadação das Missas'!A450)</f>
        <v/>
      </c>
      <c r="B1449">
        <f>SE('Arrecadação das Missas'!A450="";"";"Missas - "&amp;'Arrecadação das Missas'!B450)</f>
        <v/>
      </c>
      <c r="C1449">
        <f>SE('Arrecadação das Missas'!A450="";"";'Arrecadação das Missas'!D450)</f>
        <v/>
      </c>
      <c r="D1449">
        <f>SE('Arrecadação das Missas'!A450="";"";0)</f>
        <v/>
      </c>
    </row>
    <row r="1450">
      <c r="A1450">
        <f>SE('Arrecadação das Missas'!A451="";"";'Arrecadação das Missas'!A451)</f>
        <v/>
      </c>
      <c r="B1450">
        <f>SE('Arrecadação das Missas'!A451="";"";"Missas - "&amp;'Arrecadação das Missas'!B451)</f>
        <v/>
      </c>
      <c r="C1450">
        <f>SE('Arrecadação das Missas'!A451="";"";'Arrecadação das Missas'!D451)</f>
        <v/>
      </c>
      <c r="D1450">
        <f>SE('Arrecadação das Missas'!A451="";"";0)</f>
        <v/>
      </c>
    </row>
    <row r="1451">
      <c r="A1451">
        <f>SE('Arrecadação das Missas'!A452="";"";'Arrecadação das Missas'!A452)</f>
        <v/>
      </c>
      <c r="B1451">
        <f>SE('Arrecadação das Missas'!A452="";"";"Missas - "&amp;'Arrecadação das Missas'!B452)</f>
        <v/>
      </c>
      <c r="C1451">
        <f>SE('Arrecadação das Missas'!A452="";"";'Arrecadação das Missas'!D452)</f>
        <v/>
      </c>
      <c r="D1451">
        <f>SE('Arrecadação das Missas'!A452="";"";0)</f>
        <v/>
      </c>
    </row>
    <row r="1452">
      <c r="A1452">
        <f>SE('Arrecadação das Missas'!A453="";"";'Arrecadação das Missas'!A453)</f>
        <v/>
      </c>
      <c r="B1452">
        <f>SE('Arrecadação das Missas'!A453="";"";"Missas - "&amp;'Arrecadação das Missas'!B453)</f>
        <v/>
      </c>
      <c r="C1452">
        <f>SE('Arrecadação das Missas'!A453="";"";'Arrecadação das Missas'!D453)</f>
        <v/>
      </c>
      <c r="D1452">
        <f>SE('Arrecadação das Missas'!A453="";"";0)</f>
        <v/>
      </c>
    </row>
    <row r="1453">
      <c r="A1453">
        <f>SE('Arrecadação das Missas'!A454="";"";'Arrecadação das Missas'!A454)</f>
        <v/>
      </c>
      <c r="B1453">
        <f>SE('Arrecadação das Missas'!A454="";"";"Missas - "&amp;'Arrecadação das Missas'!B454)</f>
        <v/>
      </c>
      <c r="C1453">
        <f>SE('Arrecadação das Missas'!A454="";"";'Arrecadação das Missas'!D454)</f>
        <v/>
      </c>
      <c r="D1453">
        <f>SE('Arrecadação das Missas'!A454="";"";0)</f>
        <v/>
      </c>
    </row>
    <row r="1454">
      <c r="A1454">
        <f>SE('Arrecadação das Missas'!A455="";"";'Arrecadação das Missas'!A455)</f>
        <v/>
      </c>
      <c r="B1454">
        <f>SE('Arrecadação das Missas'!A455="";"";"Missas - "&amp;'Arrecadação das Missas'!B455)</f>
        <v/>
      </c>
      <c r="C1454">
        <f>SE('Arrecadação das Missas'!A455="";"";'Arrecadação das Missas'!D455)</f>
        <v/>
      </c>
      <c r="D1454">
        <f>SE('Arrecadação das Missas'!A455="";"";0)</f>
        <v/>
      </c>
    </row>
    <row r="1455">
      <c r="A1455">
        <f>SE('Arrecadação das Missas'!A456="";"";'Arrecadação das Missas'!A456)</f>
        <v/>
      </c>
      <c r="B1455">
        <f>SE('Arrecadação das Missas'!A456="";"";"Missas - "&amp;'Arrecadação das Missas'!B456)</f>
        <v/>
      </c>
      <c r="C1455">
        <f>SE('Arrecadação das Missas'!A456="";"";'Arrecadação das Missas'!D456)</f>
        <v/>
      </c>
      <c r="D1455">
        <f>SE('Arrecadação das Missas'!A456="";"";0)</f>
        <v/>
      </c>
    </row>
    <row r="1456">
      <c r="A1456">
        <f>SE('Arrecadação das Missas'!A457="";"";'Arrecadação das Missas'!A457)</f>
        <v/>
      </c>
      <c r="B1456">
        <f>SE('Arrecadação das Missas'!A457="";"";"Missas - "&amp;'Arrecadação das Missas'!B457)</f>
        <v/>
      </c>
      <c r="C1456">
        <f>SE('Arrecadação das Missas'!A457="";"";'Arrecadação das Missas'!D457)</f>
        <v/>
      </c>
      <c r="D1456">
        <f>SE('Arrecadação das Missas'!A457="";"";0)</f>
        <v/>
      </c>
    </row>
    <row r="1457">
      <c r="A1457">
        <f>SE('Arrecadação das Missas'!A458="";"";'Arrecadação das Missas'!A458)</f>
        <v/>
      </c>
      <c r="B1457">
        <f>SE('Arrecadação das Missas'!A458="";"";"Missas - "&amp;'Arrecadação das Missas'!B458)</f>
        <v/>
      </c>
      <c r="C1457">
        <f>SE('Arrecadação das Missas'!A458="";"";'Arrecadação das Missas'!D458)</f>
        <v/>
      </c>
      <c r="D1457">
        <f>SE('Arrecadação das Missas'!A458="";"";0)</f>
        <v/>
      </c>
    </row>
    <row r="1458">
      <c r="A1458">
        <f>SE('Arrecadação das Missas'!A459="";"";'Arrecadação das Missas'!A459)</f>
        <v/>
      </c>
      <c r="B1458">
        <f>SE('Arrecadação das Missas'!A459="";"";"Missas - "&amp;'Arrecadação das Missas'!B459)</f>
        <v/>
      </c>
      <c r="C1458">
        <f>SE('Arrecadação das Missas'!A459="";"";'Arrecadação das Missas'!D459)</f>
        <v/>
      </c>
      <c r="D1458">
        <f>SE('Arrecadação das Missas'!A459="";"";0)</f>
        <v/>
      </c>
    </row>
    <row r="1459">
      <c r="A1459">
        <f>SE('Arrecadação das Missas'!A460="";"";'Arrecadação das Missas'!A460)</f>
        <v/>
      </c>
      <c r="B1459">
        <f>SE('Arrecadação das Missas'!A460="";"";"Missas - "&amp;'Arrecadação das Missas'!B460)</f>
        <v/>
      </c>
      <c r="C1459">
        <f>SE('Arrecadação das Missas'!A460="";"";'Arrecadação das Missas'!D460)</f>
        <v/>
      </c>
      <c r="D1459">
        <f>SE('Arrecadação das Missas'!A460="";"";0)</f>
        <v/>
      </c>
    </row>
    <row r="1460">
      <c r="A1460">
        <f>SE('Arrecadação das Missas'!A461="";"";'Arrecadação das Missas'!A461)</f>
        <v/>
      </c>
      <c r="B1460">
        <f>SE('Arrecadação das Missas'!A461="";"";"Missas - "&amp;'Arrecadação das Missas'!B461)</f>
        <v/>
      </c>
      <c r="C1460">
        <f>SE('Arrecadação das Missas'!A461="";"";'Arrecadação das Missas'!D461)</f>
        <v/>
      </c>
      <c r="D1460">
        <f>SE('Arrecadação das Missas'!A461="";"";0)</f>
        <v/>
      </c>
    </row>
    <row r="1461">
      <c r="A1461">
        <f>SE('Arrecadação das Missas'!A462="";"";'Arrecadação das Missas'!A462)</f>
        <v/>
      </c>
      <c r="B1461">
        <f>SE('Arrecadação das Missas'!A462="";"";"Missas - "&amp;'Arrecadação das Missas'!B462)</f>
        <v/>
      </c>
      <c r="C1461">
        <f>SE('Arrecadação das Missas'!A462="";"";'Arrecadação das Missas'!D462)</f>
        <v/>
      </c>
      <c r="D1461">
        <f>SE('Arrecadação das Missas'!A462="";"";0)</f>
        <v/>
      </c>
    </row>
    <row r="1462">
      <c r="A1462">
        <f>SE('Arrecadação das Missas'!A463="";"";'Arrecadação das Missas'!A463)</f>
        <v/>
      </c>
      <c r="B1462">
        <f>SE('Arrecadação das Missas'!A463="";"";"Missas - "&amp;'Arrecadação das Missas'!B463)</f>
        <v/>
      </c>
      <c r="C1462">
        <f>SE('Arrecadação das Missas'!A463="";"";'Arrecadação das Missas'!D463)</f>
        <v/>
      </c>
      <c r="D1462">
        <f>SE('Arrecadação das Missas'!A463="";"";0)</f>
        <v/>
      </c>
    </row>
    <row r="1463">
      <c r="A1463">
        <f>SE('Arrecadação das Missas'!A464="";"";'Arrecadação das Missas'!A464)</f>
        <v/>
      </c>
      <c r="B1463">
        <f>SE('Arrecadação das Missas'!A464="";"";"Missas - "&amp;'Arrecadação das Missas'!B464)</f>
        <v/>
      </c>
      <c r="C1463">
        <f>SE('Arrecadação das Missas'!A464="";"";'Arrecadação das Missas'!D464)</f>
        <v/>
      </c>
      <c r="D1463">
        <f>SE('Arrecadação das Missas'!A464="";"";0)</f>
        <v/>
      </c>
    </row>
    <row r="1464">
      <c r="A1464">
        <f>SE('Arrecadação das Missas'!A465="";"";'Arrecadação das Missas'!A465)</f>
        <v/>
      </c>
      <c r="B1464">
        <f>SE('Arrecadação das Missas'!A465="";"";"Missas - "&amp;'Arrecadação das Missas'!B465)</f>
        <v/>
      </c>
      <c r="C1464">
        <f>SE('Arrecadação das Missas'!A465="";"";'Arrecadação das Missas'!D465)</f>
        <v/>
      </c>
      <c r="D1464">
        <f>SE('Arrecadação das Missas'!A465="";"";0)</f>
        <v/>
      </c>
    </row>
    <row r="1465">
      <c r="A1465">
        <f>SE('Arrecadação das Missas'!A466="";"";'Arrecadação das Missas'!A466)</f>
        <v/>
      </c>
      <c r="B1465">
        <f>SE('Arrecadação das Missas'!A466="";"";"Missas - "&amp;'Arrecadação das Missas'!B466)</f>
        <v/>
      </c>
      <c r="C1465">
        <f>SE('Arrecadação das Missas'!A466="";"";'Arrecadação das Missas'!D466)</f>
        <v/>
      </c>
      <c r="D1465">
        <f>SE('Arrecadação das Missas'!A466="";"";0)</f>
        <v/>
      </c>
    </row>
    <row r="1466">
      <c r="A1466">
        <f>SE('Arrecadação das Missas'!A467="";"";'Arrecadação das Missas'!A467)</f>
        <v/>
      </c>
      <c r="B1466">
        <f>SE('Arrecadação das Missas'!A467="";"";"Missas - "&amp;'Arrecadação das Missas'!B467)</f>
        <v/>
      </c>
      <c r="C1466">
        <f>SE('Arrecadação das Missas'!A467="";"";'Arrecadação das Missas'!D467)</f>
        <v/>
      </c>
      <c r="D1466">
        <f>SE('Arrecadação das Missas'!A467="";"";0)</f>
        <v/>
      </c>
    </row>
    <row r="1467">
      <c r="A1467">
        <f>SE('Arrecadação das Missas'!A468="";"";'Arrecadação das Missas'!A468)</f>
        <v/>
      </c>
      <c r="B1467">
        <f>SE('Arrecadação das Missas'!A468="";"";"Missas - "&amp;'Arrecadação das Missas'!B468)</f>
        <v/>
      </c>
      <c r="C1467">
        <f>SE('Arrecadação das Missas'!A468="";"";'Arrecadação das Missas'!D468)</f>
        <v/>
      </c>
      <c r="D1467">
        <f>SE('Arrecadação das Missas'!A468="";"";0)</f>
        <v/>
      </c>
    </row>
    <row r="1468">
      <c r="A1468">
        <f>SE('Arrecadação das Missas'!A469="";"";'Arrecadação das Missas'!A469)</f>
        <v/>
      </c>
      <c r="B1468">
        <f>SE('Arrecadação das Missas'!A469="";"";"Missas - "&amp;'Arrecadação das Missas'!B469)</f>
        <v/>
      </c>
      <c r="C1468">
        <f>SE('Arrecadação das Missas'!A469="";"";'Arrecadação das Missas'!D469)</f>
        <v/>
      </c>
      <c r="D1468">
        <f>SE('Arrecadação das Missas'!A469="";"";0)</f>
        <v/>
      </c>
    </row>
    <row r="1469">
      <c r="A1469">
        <f>SE('Arrecadação das Missas'!A470="";"";'Arrecadação das Missas'!A470)</f>
        <v/>
      </c>
      <c r="B1469">
        <f>SE('Arrecadação das Missas'!A470="";"";"Missas - "&amp;'Arrecadação das Missas'!B470)</f>
        <v/>
      </c>
      <c r="C1469">
        <f>SE('Arrecadação das Missas'!A470="";"";'Arrecadação das Missas'!D470)</f>
        <v/>
      </c>
      <c r="D1469">
        <f>SE('Arrecadação das Missas'!A470="";"";0)</f>
        <v/>
      </c>
    </row>
    <row r="1470">
      <c r="A1470">
        <f>SE('Arrecadação das Missas'!A471="";"";'Arrecadação das Missas'!A471)</f>
        <v/>
      </c>
      <c r="B1470">
        <f>SE('Arrecadação das Missas'!A471="";"";"Missas - "&amp;'Arrecadação das Missas'!B471)</f>
        <v/>
      </c>
      <c r="C1470">
        <f>SE('Arrecadação das Missas'!A471="";"";'Arrecadação das Missas'!D471)</f>
        <v/>
      </c>
      <c r="D1470">
        <f>SE('Arrecadação das Missas'!A471="";"";0)</f>
        <v/>
      </c>
    </row>
    <row r="1471">
      <c r="A1471">
        <f>SE('Arrecadação das Missas'!A472="";"";'Arrecadação das Missas'!A472)</f>
        <v/>
      </c>
      <c r="B1471">
        <f>SE('Arrecadação das Missas'!A472="";"";"Missas - "&amp;'Arrecadação das Missas'!B472)</f>
        <v/>
      </c>
      <c r="C1471">
        <f>SE('Arrecadação das Missas'!A472="";"";'Arrecadação das Missas'!D472)</f>
        <v/>
      </c>
      <c r="D1471">
        <f>SE('Arrecadação das Missas'!A472="";"";0)</f>
        <v/>
      </c>
    </row>
    <row r="1472">
      <c r="A1472">
        <f>SE('Arrecadação das Missas'!A473="";"";'Arrecadação das Missas'!A473)</f>
        <v/>
      </c>
      <c r="B1472">
        <f>SE('Arrecadação das Missas'!A473="";"";"Missas - "&amp;'Arrecadação das Missas'!B473)</f>
        <v/>
      </c>
      <c r="C1472">
        <f>SE('Arrecadação das Missas'!A473="";"";'Arrecadação das Missas'!D473)</f>
        <v/>
      </c>
      <c r="D1472">
        <f>SE('Arrecadação das Missas'!A473="";"";0)</f>
        <v/>
      </c>
    </row>
    <row r="1473">
      <c r="A1473">
        <f>SE('Arrecadação das Missas'!A474="";"";'Arrecadação das Missas'!A474)</f>
        <v/>
      </c>
      <c r="B1473">
        <f>SE('Arrecadação das Missas'!A474="";"";"Missas - "&amp;'Arrecadação das Missas'!B474)</f>
        <v/>
      </c>
      <c r="C1473">
        <f>SE('Arrecadação das Missas'!A474="";"";'Arrecadação das Missas'!D474)</f>
        <v/>
      </c>
      <c r="D1473">
        <f>SE('Arrecadação das Missas'!A474="";"";0)</f>
        <v/>
      </c>
    </row>
    <row r="1474">
      <c r="A1474">
        <f>SE('Arrecadação das Missas'!A475="";"";'Arrecadação das Missas'!A475)</f>
        <v/>
      </c>
      <c r="B1474">
        <f>SE('Arrecadação das Missas'!A475="";"";"Missas - "&amp;'Arrecadação das Missas'!B475)</f>
        <v/>
      </c>
      <c r="C1474">
        <f>SE('Arrecadação das Missas'!A475="";"";'Arrecadação das Missas'!D475)</f>
        <v/>
      </c>
      <c r="D1474">
        <f>SE('Arrecadação das Missas'!A475="";"";0)</f>
        <v/>
      </c>
    </row>
    <row r="1475">
      <c r="A1475">
        <f>SE('Arrecadação das Missas'!A476="";"";'Arrecadação das Missas'!A476)</f>
        <v/>
      </c>
      <c r="B1475">
        <f>SE('Arrecadação das Missas'!A476="";"";"Missas - "&amp;'Arrecadação das Missas'!B476)</f>
        <v/>
      </c>
      <c r="C1475">
        <f>SE('Arrecadação das Missas'!A476="";"";'Arrecadação das Missas'!D476)</f>
        <v/>
      </c>
      <c r="D1475">
        <f>SE('Arrecadação das Missas'!A476="";"";0)</f>
        <v/>
      </c>
    </row>
    <row r="1476">
      <c r="A1476">
        <f>SE('Arrecadação das Missas'!A477="";"";'Arrecadação das Missas'!A477)</f>
        <v/>
      </c>
      <c r="B1476">
        <f>SE('Arrecadação das Missas'!A477="";"";"Missas - "&amp;'Arrecadação das Missas'!B477)</f>
        <v/>
      </c>
      <c r="C1476">
        <f>SE('Arrecadação das Missas'!A477="";"";'Arrecadação das Missas'!D477)</f>
        <v/>
      </c>
      <c r="D1476">
        <f>SE('Arrecadação das Missas'!A477="";"";0)</f>
        <v/>
      </c>
    </row>
    <row r="1477">
      <c r="A1477">
        <f>SE('Arrecadação das Missas'!A478="";"";'Arrecadação das Missas'!A478)</f>
        <v/>
      </c>
      <c r="B1477">
        <f>SE('Arrecadação das Missas'!A478="";"";"Missas - "&amp;'Arrecadação das Missas'!B478)</f>
        <v/>
      </c>
      <c r="C1477">
        <f>SE('Arrecadação das Missas'!A478="";"";'Arrecadação das Missas'!D478)</f>
        <v/>
      </c>
      <c r="D1477">
        <f>SE('Arrecadação das Missas'!A478="";"";0)</f>
        <v/>
      </c>
    </row>
    <row r="1478">
      <c r="A1478">
        <f>SE('Arrecadação das Missas'!A479="";"";'Arrecadação das Missas'!A479)</f>
        <v/>
      </c>
      <c r="B1478">
        <f>SE('Arrecadação das Missas'!A479="";"";"Missas - "&amp;'Arrecadação das Missas'!B479)</f>
        <v/>
      </c>
      <c r="C1478">
        <f>SE('Arrecadação das Missas'!A479="";"";'Arrecadação das Missas'!D479)</f>
        <v/>
      </c>
      <c r="D1478">
        <f>SE('Arrecadação das Missas'!A479="";"";0)</f>
        <v/>
      </c>
    </row>
    <row r="1479">
      <c r="A1479">
        <f>SE('Arrecadação das Missas'!A480="";"";'Arrecadação das Missas'!A480)</f>
        <v/>
      </c>
      <c r="B1479">
        <f>SE('Arrecadação das Missas'!A480="";"";"Missas - "&amp;'Arrecadação das Missas'!B480)</f>
        <v/>
      </c>
      <c r="C1479">
        <f>SE('Arrecadação das Missas'!A480="";"";'Arrecadação das Missas'!D480)</f>
        <v/>
      </c>
      <c r="D1479">
        <f>SE('Arrecadação das Missas'!A480="";"";0)</f>
        <v/>
      </c>
    </row>
    <row r="1480">
      <c r="A1480">
        <f>SE('Arrecadação das Missas'!A481="";"";'Arrecadação das Missas'!A481)</f>
        <v/>
      </c>
      <c r="B1480">
        <f>SE('Arrecadação das Missas'!A481="";"";"Missas - "&amp;'Arrecadação das Missas'!B481)</f>
        <v/>
      </c>
      <c r="C1480">
        <f>SE('Arrecadação das Missas'!A481="";"";'Arrecadação das Missas'!D481)</f>
        <v/>
      </c>
      <c r="D1480">
        <f>SE('Arrecadação das Missas'!A481="";"";0)</f>
        <v/>
      </c>
    </row>
    <row r="1481">
      <c r="A1481">
        <f>SE('Arrecadação das Missas'!A482="";"";'Arrecadação das Missas'!A482)</f>
        <v/>
      </c>
      <c r="B1481">
        <f>SE('Arrecadação das Missas'!A482="";"";"Missas - "&amp;'Arrecadação das Missas'!B482)</f>
        <v/>
      </c>
      <c r="C1481">
        <f>SE('Arrecadação das Missas'!A482="";"";'Arrecadação das Missas'!D482)</f>
        <v/>
      </c>
      <c r="D1481">
        <f>SE('Arrecadação das Missas'!A482="";"";0)</f>
        <v/>
      </c>
    </row>
    <row r="1482">
      <c r="A1482">
        <f>SE('Arrecadação das Missas'!A483="";"";'Arrecadação das Missas'!A483)</f>
        <v/>
      </c>
      <c r="B1482">
        <f>SE('Arrecadação das Missas'!A483="";"";"Missas - "&amp;'Arrecadação das Missas'!B483)</f>
        <v/>
      </c>
      <c r="C1482">
        <f>SE('Arrecadação das Missas'!A483="";"";'Arrecadação das Missas'!D483)</f>
        <v/>
      </c>
      <c r="D1482">
        <f>SE('Arrecadação das Missas'!A483="";"";0)</f>
        <v/>
      </c>
    </row>
    <row r="1483">
      <c r="A1483">
        <f>SE('Arrecadação das Missas'!A484="";"";'Arrecadação das Missas'!A484)</f>
        <v/>
      </c>
      <c r="B1483">
        <f>SE('Arrecadação das Missas'!A484="";"";"Missas - "&amp;'Arrecadação das Missas'!B484)</f>
        <v/>
      </c>
      <c r="C1483">
        <f>SE('Arrecadação das Missas'!A484="";"";'Arrecadação das Missas'!D484)</f>
        <v/>
      </c>
      <c r="D1483">
        <f>SE('Arrecadação das Missas'!A484="";"";0)</f>
        <v/>
      </c>
    </row>
    <row r="1484">
      <c r="A1484">
        <f>SE('Arrecadação das Missas'!A485="";"";'Arrecadação das Missas'!A485)</f>
        <v/>
      </c>
      <c r="B1484">
        <f>SE('Arrecadação das Missas'!A485="";"";"Missas - "&amp;'Arrecadação das Missas'!B485)</f>
        <v/>
      </c>
      <c r="C1484">
        <f>SE('Arrecadação das Missas'!A485="";"";'Arrecadação das Missas'!D485)</f>
        <v/>
      </c>
      <c r="D1484">
        <f>SE('Arrecadação das Missas'!A485="";"";0)</f>
        <v/>
      </c>
    </row>
    <row r="1485">
      <c r="A1485">
        <f>SE('Arrecadação das Missas'!A486="";"";'Arrecadação das Missas'!A486)</f>
        <v/>
      </c>
      <c r="B1485">
        <f>SE('Arrecadação das Missas'!A486="";"";"Missas - "&amp;'Arrecadação das Missas'!B486)</f>
        <v/>
      </c>
      <c r="C1485">
        <f>SE('Arrecadação das Missas'!A486="";"";'Arrecadação das Missas'!D486)</f>
        <v/>
      </c>
      <c r="D1485">
        <f>SE('Arrecadação das Missas'!A486="";"";0)</f>
        <v/>
      </c>
    </row>
    <row r="1486">
      <c r="A1486">
        <f>SE('Arrecadação das Missas'!A487="";"";'Arrecadação das Missas'!A487)</f>
        <v/>
      </c>
      <c r="B1486">
        <f>SE('Arrecadação das Missas'!A487="";"";"Missas - "&amp;'Arrecadação das Missas'!B487)</f>
        <v/>
      </c>
      <c r="C1486">
        <f>SE('Arrecadação das Missas'!A487="";"";'Arrecadação das Missas'!D487)</f>
        <v/>
      </c>
      <c r="D1486">
        <f>SE('Arrecadação das Missas'!A487="";"";0)</f>
        <v/>
      </c>
    </row>
    <row r="1487">
      <c r="A1487">
        <f>SE('Arrecadação das Missas'!A488="";"";'Arrecadação das Missas'!A488)</f>
        <v/>
      </c>
      <c r="B1487">
        <f>SE('Arrecadação das Missas'!A488="";"";"Missas - "&amp;'Arrecadação das Missas'!B488)</f>
        <v/>
      </c>
      <c r="C1487">
        <f>SE('Arrecadação das Missas'!A488="";"";'Arrecadação das Missas'!D488)</f>
        <v/>
      </c>
      <c r="D1487">
        <f>SE('Arrecadação das Missas'!A488="";"";0)</f>
        <v/>
      </c>
    </row>
    <row r="1488">
      <c r="A1488">
        <f>SE('Arrecadação das Missas'!A489="";"";'Arrecadação das Missas'!A489)</f>
        <v/>
      </c>
      <c r="B1488">
        <f>SE('Arrecadação das Missas'!A489="";"";"Missas - "&amp;'Arrecadação das Missas'!B489)</f>
        <v/>
      </c>
      <c r="C1488">
        <f>SE('Arrecadação das Missas'!A489="";"";'Arrecadação das Missas'!D489)</f>
        <v/>
      </c>
      <c r="D1488">
        <f>SE('Arrecadação das Missas'!A489="";"";0)</f>
        <v/>
      </c>
    </row>
    <row r="1489">
      <c r="A1489">
        <f>SE('Arrecadação das Missas'!A490="";"";'Arrecadação das Missas'!A490)</f>
        <v/>
      </c>
      <c r="B1489">
        <f>SE('Arrecadação das Missas'!A490="";"";"Missas - "&amp;'Arrecadação das Missas'!B490)</f>
        <v/>
      </c>
      <c r="C1489">
        <f>SE('Arrecadação das Missas'!A490="";"";'Arrecadação das Missas'!D490)</f>
        <v/>
      </c>
      <c r="D1489">
        <f>SE('Arrecadação das Missas'!A490="";"";0)</f>
        <v/>
      </c>
    </row>
    <row r="1490">
      <c r="A1490">
        <f>SE('Arrecadação das Missas'!A491="";"";'Arrecadação das Missas'!A491)</f>
        <v/>
      </c>
      <c r="B1490">
        <f>SE('Arrecadação das Missas'!A491="";"";"Missas - "&amp;'Arrecadação das Missas'!B491)</f>
        <v/>
      </c>
      <c r="C1490">
        <f>SE('Arrecadação das Missas'!A491="";"";'Arrecadação das Missas'!D491)</f>
        <v/>
      </c>
      <c r="D1490">
        <f>SE('Arrecadação das Missas'!A491="";"";0)</f>
        <v/>
      </c>
    </row>
    <row r="1491">
      <c r="A1491">
        <f>SE('Arrecadação das Missas'!A492="";"";'Arrecadação das Missas'!A492)</f>
        <v/>
      </c>
      <c r="B1491">
        <f>SE('Arrecadação das Missas'!A492="";"";"Missas - "&amp;'Arrecadação das Missas'!B492)</f>
        <v/>
      </c>
      <c r="C1491">
        <f>SE('Arrecadação das Missas'!A492="";"";'Arrecadação das Missas'!D492)</f>
        <v/>
      </c>
      <c r="D1491">
        <f>SE('Arrecadação das Missas'!A492="";"";0)</f>
        <v/>
      </c>
    </row>
    <row r="1492">
      <c r="A1492">
        <f>SE('Arrecadação das Missas'!A493="";"";'Arrecadação das Missas'!A493)</f>
        <v/>
      </c>
      <c r="B1492">
        <f>SE('Arrecadação das Missas'!A493="";"";"Missas - "&amp;'Arrecadação das Missas'!B493)</f>
        <v/>
      </c>
      <c r="C1492">
        <f>SE('Arrecadação das Missas'!A493="";"";'Arrecadação das Missas'!D493)</f>
        <v/>
      </c>
      <c r="D1492">
        <f>SE('Arrecadação das Missas'!A493="";"";0)</f>
        <v/>
      </c>
    </row>
    <row r="1493">
      <c r="A1493">
        <f>SE('Arrecadação das Missas'!A494="";"";'Arrecadação das Missas'!A494)</f>
        <v/>
      </c>
      <c r="B1493">
        <f>SE('Arrecadação das Missas'!A494="";"";"Missas - "&amp;'Arrecadação das Missas'!B494)</f>
        <v/>
      </c>
      <c r="C1493">
        <f>SE('Arrecadação das Missas'!A494="";"";'Arrecadação das Missas'!D494)</f>
        <v/>
      </c>
      <c r="D1493">
        <f>SE('Arrecadação das Missas'!A494="";"";0)</f>
        <v/>
      </c>
    </row>
    <row r="1494">
      <c r="A1494">
        <f>SE('Arrecadação das Missas'!A495="";"";'Arrecadação das Missas'!A495)</f>
        <v/>
      </c>
      <c r="B1494">
        <f>SE('Arrecadação das Missas'!A495="";"";"Missas - "&amp;'Arrecadação das Missas'!B495)</f>
        <v/>
      </c>
      <c r="C1494">
        <f>SE('Arrecadação das Missas'!A495="";"";'Arrecadação das Missas'!D495)</f>
        <v/>
      </c>
      <c r="D1494">
        <f>SE('Arrecadação das Missas'!A495="";"";0)</f>
        <v/>
      </c>
    </row>
    <row r="1495">
      <c r="A1495">
        <f>SE('Arrecadação das Missas'!A496="";"";'Arrecadação das Missas'!A496)</f>
        <v/>
      </c>
      <c r="B1495">
        <f>SE('Arrecadação das Missas'!A496="";"";"Missas - "&amp;'Arrecadação das Missas'!B496)</f>
        <v/>
      </c>
      <c r="C1495">
        <f>SE('Arrecadação das Missas'!A496="";"";'Arrecadação das Missas'!D496)</f>
        <v/>
      </c>
      <c r="D1495">
        <f>SE('Arrecadação das Missas'!A496="";"";0)</f>
        <v/>
      </c>
    </row>
    <row r="1496">
      <c r="A1496">
        <f>SE('Arrecadação das Missas'!A497="";"";'Arrecadação das Missas'!A497)</f>
        <v/>
      </c>
      <c r="B1496">
        <f>SE('Arrecadação das Missas'!A497="";"";"Missas - "&amp;'Arrecadação das Missas'!B497)</f>
        <v/>
      </c>
      <c r="C1496">
        <f>SE('Arrecadação das Missas'!A497="";"";'Arrecadação das Missas'!D497)</f>
        <v/>
      </c>
      <c r="D1496">
        <f>SE('Arrecadação das Missas'!A497="";"";0)</f>
        <v/>
      </c>
    </row>
    <row r="1497">
      <c r="A1497">
        <f>SE('Arrecadação das Missas'!A498="";"";'Arrecadação das Missas'!A498)</f>
        <v/>
      </c>
      <c r="B1497">
        <f>SE('Arrecadação das Missas'!A498="";"";"Missas - "&amp;'Arrecadação das Missas'!B498)</f>
        <v/>
      </c>
      <c r="C1497">
        <f>SE('Arrecadação das Missas'!A498="";"";'Arrecadação das Missas'!D498)</f>
        <v/>
      </c>
      <c r="D1497">
        <f>SE('Arrecadação das Missas'!A498="";"";0)</f>
        <v/>
      </c>
    </row>
    <row r="1498">
      <c r="A1498">
        <f>SE('Arrecadação das Missas'!A499="";"";'Arrecadação das Missas'!A499)</f>
        <v/>
      </c>
      <c r="B1498">
        <f>SE('Arrecadação das Missas'!A499="";"";"Missas - "&amp;'Arrecadação das Missas'!B499)</f>
        <v/>
      </c>
      <c r="C1498">
        <f>SE('Arrecadação das Missas'!A499="";"";'Arrecadação das Missas'!D499)</f>
        <v/>
      </c>
      <c r="D1498">
        <f>SE('Arrecadação das Missas'!A499="";"";0)</f>
        <v/>
      </c>
    </row>
    <row r="1499">
      <c r="A1499">
        <f>SE('Arrecadação das Missas'!A500="";"";'Arrecadação das Missas'!A500)</f>
        <v/>
      </c>
      <c r="B1499">
        <f>SE('Arrecadação das Missas'!A500="";"";"Missas - "&amp;'Arrecadação das Missas'!B500)</f>
        <v/>
      </c>
      <c r="C1499">
        <f>SE('Arrecadação das Missas'!A500="";"";'Arrecadação das Missas'!D500)</f>
        <v/>
      </c>
      <c r="D1499">
        <f>SE('Arrecadação das Missas'!A500="";"";0)</f>
        <v/>
      </c>
    </row>
    <row r="1500">
      <c r="A1500">
        <f>SE('Arrecadação das Missas'!A501="";"";'Arrecadação das Missas'!A501)</f>
        <v/>
      </c>
      <c r="B1500">
        <f>SE('Arrecadação das Missas'!A501="";"";"Missas - "&amp;'Arrecadação das Missas'!B501)</f>
        <v/>
      </c>
      <c r="C1500">
        <f>SE('Arrecadação das Missas'!A501="";"";'Arrecadação das Missas'!D501)</f>
        <v/>
      </c>
      <c r="D1500">
        <f>SE('Arrecadação das Missas'!A501="";"";0)</f>
        <v/>
      </c>
    </row>
    <row r="1501">
      <c r="A1501">
        <f>SE('Arrecadação das Missas'!A502="";"";'Arrecadação das Missas'!A502)</f>
        <v/>
      </c>
      <c r="B1501">
        <f>SE('Arrecadação das Missas'!A502="";"";"Missas - "&amp;'Arrecadação das Missas'!B502)</f>
        <v/>
      </c>
      <c r="C1501">
        <f>SE('Arrecadação das Missas'!A502="";"";'Arrecadação das Missas'!D502)</f>
        <v/>
      </c>
      <c r="D1501">
        <f>SE('Arrecadação das Missas'!A502="";"";0)</f>
        <v/>
      </c>
    </row>
    <row r="1502">
      <c r="A1502">
        <f>SE(Gastos!A3="";"";Gastos!A3)</f>
        <v/>
      </c>
      <c r="B1502">
        <f>SE(Gastos!A3="";"";Gastos!B3&amp;" - "&amp;Gastos!C3)</f>
        <v/>
      </c>
      <c r="C1502">
        <f>SE(Gastos!A3="";"";0)</f>
        <v/>
      </c>
      <c r="D1502">
        <f>SE(Gastos!A3="";"";Gastos!F3)</f>
        <v/>
      </c>
    </row>
    <row r="1503">
      <c r="A1503">
        <f>SE(Gastos!A4="";"";Gastos!A4)</f>
        <v/>
      </c>
      <c r="B1503">
        <f>SE(Gastos!A4="";"";Gastos!B4&amp;" - "&amp;Gastos!C4)</f>
        <v/>
      </c>
      <c r="C1503">
        <f>SE(Gastos!A4="";"";0)</f>
        <v/>
      </c>
      <c r="D1503">
        <f>SE(Gastos!A4="";"";Gastos!F4)</f>
        <v/>
      </c>
    </row>
    <row r="1504">
      <c r="A1504">
        <f>SE(Gastos!A5="";"";Gastos!A5)</f>
        <v/>
      </c>
      <c r="B1504">
        <f>SE(Gastos!A5="";"";Gastos!B5&amp;" - "&amp;Gastos!C5)</f>
        <v/>
      </c>
      <c r="C1504">
        <f>SE(Gastos!A5="";"";0)</f>
        <v/>
      </c>
      <c r="D1504">
        <f>SE(Gastos!A5="";"";Gastos!F5)</f>
        <v/>
      </c>
    </row>
    <row r="1505">
      <c r="A1505">
        <f>SE(Gastos!A6="";"";Gastos!A6)</f>
        <v/>
      </c>
      <c r="B1505">
        <f>SE(Gastos!A6="";"";Gastos!B6&amp;" - "&amp;Gastos!C6)</f>
        <v/>
      </c>
      <c r="C1505">
        <f>SE(Gastos!A6="";"";0)</f>
        <v/>
      </c>
      <c r="D1505">
        <f>SE(Gastos!A6="";"";Gastos!F6)</f>
        <v/>
      </c>
    </row>
    <row r="1506">
      <c r="A1506">
        <f>SE(Gastos!A7="";"";Gastos!A7)</f>
        <v/>
      </c>
      <c r="B1506">
        <f>SE(Gastos!A7="";"";Gastos!B7&amp;" - "&amp;Gastos!C7)</f>
        <v/>
      </c>
      <c r="C1506">
        <f>SE(Gastos!A7="";"";0)</f>
        <v/>
      </c>
      <c r="D1506">
        <f>SE(Gastos!A7="";"";Gastos!F7)</f>
        <v/>
      </c>
    </row>
    <row r="1507">
      <c r="A1507">
        <f>SE(Gastos!A8="";"";Gastos!A8)</f>
        <v/>
      </c>
      <c r="B1507">
        <f>SE(Gastos!A8="";"";Gastos!B8&amp;" - "&amp;Gastos!C8)</f>
        <v/>
      </c>
      <c r="C1507">
        <f>SE(Gastos!A8="";"";0)</f>
        <v/>
      </c>
      <c r="D1507">
        <f>SE(Gastos!A8="";"";Gastos!F8)</f>
        <v/>
      </c>
    </row>
    <row r="1508">
      <c r="A1508">
        <f>SE(Gastos!A9="";"";Gastos!A9)</f>
        <v/>
      </c>
      <c r="B1508">
        <f>SE(Gastos!A9="";"";Gastos!B9&amp;" - "&amp;Gastos!C9)</f>
        <v/>
      </c>
      <c r="C1508">
        <f>SE(Gastos!A9="";"";0)</f>
        <v/>
      </c>
      <c r="D1508">
        <f>SE(Gastos!A9="";"";Gastos!F9)</f>
        <v/>
      </c>
    </row>
    <row r="1509">
      <c r="A1509">
        <f>SE(Gastos!A10="";"";Gastos!A10)</f>
        <v/>
      </c>
      <c r="B1509">
        <f>SE(Gastos!A10="";"";Gastos!B10&amp;" - "&amp;Gastos!C10)</f>
        <v/>
      </c>
      <c r="C1509">
        <f>SE(Gastos!A10="";"";0)</f>
        <v/>
      </c>
      <c r="D1509">
        <f>SE(Gastos!A10="";"";Gastos!F10)</f>
        <v/>
      </c>
    </row>
    <row r="1510">
      <c r="A1510">
        <f>SE(Gastos!A11="";"";Gastos!A11)</f>
        <v/>
      </c>
      <c r="B1510">
        <f>SE(Gastos!A11="";"";Gastos!B11&amp;" - "&amp;Gastos!C11)</f>
        <v/>
      </c>
      <c r="C1510">
        <f>SE(Gastos!A11="";"";0)</f>
        <v/>
      </c>
      <c r="D1510">
        <f>SE(Gastos!A11="";"";Gastos!F11)</f>
        <v/>
      </c>
    </row>
    <row r="1511">
      <c r="A1511">
        <f>SE(Gastos!A12="";"";Gastos!A12)</f>
        <v/>
      </c>
      <c r="B1511">
        <f>SE(Gastos!A12="";"";Gastos!B12&amp;" - "&amp;Gastos!C12)</f>
        <v/>
      </c>
      <c r="C1511">
        <f>SE(Gastos!A12="";"";0)</f>
        <v/>
      </c>
      <c r="D1511">
        <f>SE(Gastos!A12="";"";Gastos!F12)</f>
        <v/>
      </c>
    </row>
    <row r="1512">
      <c r="A1512">
        <f>SE(Gastos!A13="";"";Gastos!A13)</f>
        <v/>
      </c>
      <c r="B1512">
        <f>SE(Gastos!A13="";"";Gastos!B13&amp;" - "&amp;Gastos!C13)</f>
        <v/>
      </c>
      <c r="C1512">
        <f>SE(Gastos!A13="";"";0)</f>
        <v/>
      </c>
      <c r="D1512">
        <f>SE(Gastos!A13="";"";Gastos!F13)</f>
        <v/>
      </c>
    </row>
    <row r="1513">
      <c r="A1513">
        <f>SE(Gastos!A14="";"";Gastos!A14)</f>
        <v/>
      </c>
      <c r="B1513">
        <f>SE(Gastos!A14="";"";Gastos!B14&amp;" - "&amp;Gastos!C14)</f>
        <v/>
      </c>
      <c r="C1513">
        <f>SE(Gastos!A14="";"";0)</f>
        <v/>
      </c>
      <c r="D1513">
        <f>SE(Gastos!A14="";"";Gastos!F14)</f>
        <v/>
      </c>
    </row>
    <row r="1514">
      <c r="A1514">
        <f>SE(Gastos!A15="";"";Gastos!A15)</f>
        <v/>
      </c>
      <c r="B1514">
        <f>SE(Gastos!A15="";"";Gastos!B15&amp;" - "&amp;Gastos!C15)</f>
        <v/>
      </c>
      <c r="C1514">
        <f>SE(Gastos!A15="";"";0)</f>
        <v/>
      </c>
      <c r="D1514">
        <f>SE(Gastos!A15="";"";Gastos!F15)</f>
        <v/>
      </c>
    </row>
    <row r="1515">
      <c r="A1515">
        <f>SE(Gastos!A16="";"";Gastos!A16)</f>
        <v/>
      </c>
      <c r="B1515">
        <f>SE(Gastos!A16="";"";Gastos!B16&amp;" - "&amp;Gastos!C16)</f>
        <v/>
      </c>
      <c r="C1515">
        <f>SE(Gastos!A16="";"";0)</f>
        <v/>
      </c>
      <c r="D1515">
        <f>SE(Gastos!A16="";"";Gastos!F16)</f>
        <v/>
      </c>
    </row>
    <row r="1516">
      <c r="A1516">
        <f>SE(Gastos!A17="";"";Gastos!A17)</f>
        <v/>
      </c>
      <c r="B1516">
        <f>SE(Gastos!A17="";"";Gastos!B17&amp;" - "&amp;Gastos!C17)</f>
        <v/>
      </c>
      <c r="C1516">
        <f>SE(Gastos!A17="";"";0)</f>
        <v/>
      </c>
      <c r="D1516">
        <f>SE(Gastos!A17="";"";Gastos!F17)</f>
        <v/>
      </c>
    </row>
    <row r="1517">
      <c r="A1517">
        <f>SE(Gastos!A18="";"";Gastos!A18)</f>
        <v/>
      </c>
      <c r="B1517">
        <f>SE(Gastos!A18="";"";Gastos!B18&amp;" - "&amp;Gastos!C18)</f>
        <v/>
      </c>
      <c r="C1517">
        <f>SE(Gastos!A18="";"";0)</f>
        <v/>
      </c>
      <c r="D1517">
        <f>SE(Gastos!A18="";"";Gastos!F18)</f>
        <v/>
      </c>
    </row>
    <row r="1518">
      <c r="A1518">
        <f>SE(Gastos!A19="";"";Gastos!A19)</f>
        <v/>
      </c>
      <c r="B1518">
        <f>SE(Gastos!A19="";"";Gastos!B19&amp;" - "&amp;Gastos!C19)</f>
        <v/>
      </c>
      <c r="C1518">
        <f>SE(Gastos!A19="";"";0)</f>
        <v/>
      </c>
      <c r="D1518">
        <f>SE(Gastos!A19="";"";Gastos!F19)</f>
        <v/>
      </c>
    </row>
    <row r="1519">
      <c r="A1519">
        <f>SE(Gastos!A20="";"";Gastos!A20)</f>
        <v/>
      </c>
      <c r="B1519">
        <f>SE(Gastos!A20="";"";Gastos!B20&amp;" - "&amp;Gastos!C20)</f>
        <v/>
      </c>
      <c r="C1519">
        <f>SE(Gastos!A20="";"";0)</f>
        <v/>
      </c>
      <c r="D1519">
        <f>SE(Gastos!A20="";"";Gastos!F20)</f>
        <v/>
      </c>
    </row>
    <row r="1520">
      <c r="A1520">
        <f>SE(Gastos!A21="";"";Gastos!A21)</f>
        <v/>
      </c>
      <c r="B1520">
        <f>SE(Gastos!A21="";"";Gastos!B21&amp;" - "&amp;Gastos!C21)</f>
        <v/>
      </c>
      <c r="C1520">
        <f>SE(Gastos!A21="";"";0)</f>
        <v/>
      </c>
      <c r="D1520">
        <f>SE(Gastos!A21="";"";Gastos!F21)</f>
        <v/>
      </c>
    </row>
    <row r="1521">
      <c r="A1521">
        <f>SE(Gastos!A22="";"";Gastos!A22)</f>
        <v/>
      </c>
      <c r="B1521">
        <f>SE(Gastos!A22="";"";Gastos!B22&amp;" - "&amp;Gastos!C22)</f>
        <v/>
      </c>
      <c r="C1521">
        <f>SE(Gastos!A22="";"";0)</f>
        <v/>
      </c>
      <c r="D1521">
        <f>SE(Gastos!A22="";"";Gastos!F22)</f>
        <v/>
      </c>
    </row>
    <row r="1522">
      <c r="A1522">
        <f>SE(Gastos!A23="";"";Gastos!A23)</f>
        <v/>
      </c>
      <c r="B1522">
        <f>SE(Gastos!A23="";"";Gastos!B23&amp;" - "&amp;Gastos!C23)</f>
        <v/>
      </c>
      <c r="C1522">
        <f>SE(Gastos!A23="";"";0)</f>
        <v/>
      </c>
      <c r="D1522">
        <f>SE(Gastos!A23="";"";Gastos!F23)</f>
        <v/>
      </c>
    </row>
    <row r="1523">
      <c r="A1523">
        <f>SE(Gastos!A24="";"";Gastos!A24)</f>
        <v/>
      </c>
      <c r="B1523">
        <f>SE(Gastos!A24="";"";Gastos!B24&amp;" - "&amp;Gastos!C24)</f>
        <v/>
      </c>
      <c r="C1523">
        <f>SE(Gastos!A24="";"";0)</f>
        <v/>
      </c>
      <c r="D1523">
        <f>SE(Gastos!A24="";"";Gastos!F24)</f>
        <v/>
      </c>
    </row>
    <row r="1524">
      <c r="A1524">
        <f>SE(Gastos!A25="";"";Gastos!A25)</f>
        <v/>
      </c>
      <c r="B1524">
        <f>SE(Gastos!A25="";"";Gastos!B25&amp;" - "&amp;Gastos!C25)</f>
        <v/>
      </c>
      <c r="C1524">
        <f>SE(Gastos!A25="";"";0)</f>
        <v/>
      </c>
      <c r="D1524">
        <f>SE(Gastos!A25="";"";Gastos!F25)</f>
        <v/>
      </c>
    </row>
    <row r="1525">
      <c r="A1525">
        <f>SE(Gastos!A26="";"";Gastos!A26)</f>
        <v/>
      </c>
      <c r="B1525">
        <f>SE(Gastos!A26="";"";Gastos!B26&amp;" - "&amp;Gastos!C26)</f>
        <v/>
      </c>
      <c r="C1525">
        <f>SE(Gastos!A26="";"";0)</f>
        <v/>
      </c>
      <c r="D1525">
        <f>SE(Gastos!A26="";"";Gastos!F26)</f>
        <v/>
      </c>
    </row>
    <row r="1526">
      <c r="A1526">
        <f>SE(Gastos!A27="";"";Gastos!A27)</f>
        <v/>
      </c>
      <c r="B1526">
        <f>SE(Gastos!A27="";"";Gastos!B27&amp;" - "&amp;Gastos!C27)</f>
        <v/>
      </c>
      <c r="C1526">
        <f>SE(Gastos!A27="";"";0)</f>
        <v/>
      </c>
      <c r="D1526">
        <f>SE(Gastos!A27="";"";Gastos!F27)</f>
        <v/>
      </c>
    </row>
    <row r="1527">
      <c r="A1527">
        <f>SE(Gastos!A28="";"";Gastos!A28)</f>
        <v/>
      </c>
      <c r="B1527">
        <f>SE(Gastos!A28="";"";Gastos!B28&amp;" - "&amp;Gastos!C28)</f>
        <v/>
      </c>
      <c r="C1527">
        <f>SE(Gastos!A28="";"";0)</f>
        <v/>
      </c>
      <c r="D1527">
        <f>SE(Gastos!A28="";"";Gastos!F28)</f>
        <v/>
      </c>
    </row>
    <row r="1528">
      <c r="A1528">
        <f>SE(Gastos!A29="";"";Gastos!A29)</f>
        <v/>
      </c>
      <c r="B1528">
        <f>SE(Gastos!A29="";"";Gastos!B29&amp;" - "&amp;Gastos!C29)</f>
        <v/>
      </c>
      <c r="C1528">
        <f>SE(Gastos!A29="";"";0)</f>
        <v/>
      </c>
      <c r="D1528">
        <f>SE(Gastos!A29="";"";Gastos!F29)</f>
        <v/>
      </c>
    </row>
    <row r="1529">
      <c r="A1529">
        <f>SE(Gastos!A30="";"";Gastos!A30)</f>
        <v/>
      </c>
      <c r="B1529">
        <f>SE(Gastos!A30="";"";Gastos!B30&amp;" - "&amp;Gastos!C30)</f>
        <v/>
      </c>
      <c r="C1529">
        <f>SE(Gastos!A30="";"";0)</f>
        <v/>
      </c>
      <c r="D1529">
        <f>SE(Gastos!A30="";"";Gastos!F30)</f>
        <v/>
      </c>
    </row>
    <row r="1530">
      <c r="A1530">
        <f>SE(Gastos!A31="";"";Gastos!A31)</f>
        <v/>
      </c>
      <c r="B1530">
        <f>SE(Gastos!A31="";"";Gastos!B31&amp;" - "&amp;Gastos!C31)</f>
        <v/>
      </c>
      <c r="C1530">
        <f>SE(Gastos!A31="";"";0)</f>
        <v/>
      </c>
      <c r="D1530">
        <f>SE(Gastos!A31="";"";Gastos!F31)</f>
        <v/>
      </c>
    </row>
    <row r="1531">
      <c r="A1531">
        <f>SE(Gastos!A32="";"";Gastos!A32)</f>
        <v/>
      </c>
      <c r="B1531">
        <f>SE(Gastos!A32="";"";Gastos!B32&amp;" - "&amp;Gastos!C32)</f>
        <v/>
      </c>
      <c r="C1531">
        <f>SE(Gastos!A32="";"";0)</f>
        <v/>
      </c>
      <c r="D1531">
        <f>SE(Gastos!A32="";"";Gastos!F32)</f>
        <v/>
      </c>
    </row>
    <row r="1532">
      <c r="A1532">
        <f>SE(Gastos!A33="";"";Gastos!A33)</f>
        <v/>
      </c>
      <c r="B1532">
        <f>SE(Gastos!A33="";"";Gastos!B33&amp;" - "&amp;Gastos!C33)</f>
        <v/>
      </c>
      <c r="C1532">
        <f>SE(Gastos!A33="";"";0)</f>
        <v/>
      </c>
      <c r="D1532">
        <f>SE(Gastos!A33="";"";Gastos!F33)</f>
        <v/>
      </c>
    </row>
    <row r="1533">
      <c r="A1533">
        <f>SE(Gastos!A34="";"";Gastos!A34)</f>
        <v/>
      </c>
      <c r="B1533">
        <f>SE(Gastos!A34="";"";Gastos!B34&amp;" - "&amp;Gastos!C34)</f>
        <v/>
      </c>
      <c r="C1533">
        <f>SE(Gastos!A34="";"";0)</f>
        <v/>
      </c>
      <c r="D1533">
        <f>SE(Gastos!A34="";"";Gastos!F34)</f>
        <v/>
      </c>
    </row>
    <row r="1534">
      <c r="A1534">
        <f>SE(Gastos!A35="";"";Gastos!A35)</f>
        <v/>
      </c>
      <c r="B1534">
        <f>SE(Gastos!A35="";"";Gastos!B35&amp;" - "&amp;Gastos!C35)</f>
        <v/>
      </c>
      <c r="C1534">
        <f>SE(Gastos!A35="";"";0)</f>
        <v/>
      </c>
      <c r="D1534">
        <f>SE(Gastos!A35="";"";Gastos!F35)</f>
        <v/>
      </c>
    </row>
    <row r="1535">
      <c r="A1535">
        <f>SE(Gastos!A36="";"";Gastos!A36)</f>
        <v/>
      </c>
      <c r="B1535">
        <f>SE(Gastos!A36="";"";Gastos!B36&amp;" - "&amp;Gastos!C36)</f>
        <v/>
      </c>
      <c r="C1535">
        <f>SE(Gastos!A36="";"";0)</f>
        <v/>
      </c>
      <c r="D1535">
        <f>SE(Gastos!A36="";"";Gastos!F36)</f>
        <v/>
      </c>
    </row>
    <row r="1536">
      <c r="A1536">
        <f>SE(Gastos!A37="";"";Gastos!A37)</f>
        <v/>
      </c>
      <c r="B1536">
        <f>SE(Gastos!A37="";"";Gastos!B37&amp;" - "&amp;Gastos!C37)</f>
        <v/>
      </c>
      <c r="C1536">
        <f>SE(Gastos!A37="";"";0)</f>
        <v/>
      </c>
      <c r="D1536">
        <f>SE(Gastos!A37="";"";Gastos!F37)</f>
        <v/>
      </c>
    </row>
    <row r="1537">
      <c r="A1537">
        <f>SE(Gastos!A38="";"";Gastos!A38)</f>
        <v/>
      </c>
      <c r="B1537">
        <f>SE(Gastos!A38="";"";Gastos!B38&amp;" - "&amp;Gastos!C38)</f>
        <v/>
      </c>
      <c r="C1537">
        <f>SE(Gastos!A38="";"";0)</f>
        <v/>
      </c>
      <c r="D1537">
        <f>SE(Gastos!A38="";"";Gastos!F38)</f>
        <v/>
      </c>
    </row>
    <row r="1538">
      <c r="A1538">
        <f>SE(Gastos!A39="";"";Gastos!A39)</f>
        <v/>
      </c>
      <c r="B1538">
        <f>SE(Gastos!A39="";"";Gastos!B39&amp;" - "&amp;Gastos!C39)</f>
        <v/>
      </c>
      <c r="C1538">
        <f>SE(Gastos!A39="";"";0)</f>
        <v/>
      </c>
      <c r="D1538">
        <f>SE(Gastos!A39="";"";Gastos!F39)</f>
        <v/>
      </c>
    </row>
    <row r="1539">
      <c r="A1539">
        <f>SE(Gastos!A40="";"";Gastos!A40)</f>
        <v/>
      </c>
      <c r="B1539">
        <f>SE(Gastos!A40="";"";Gastos!B40&amp;" - "&amp;Gastos!C40)</f>
        <v/>
      </c>
      <c r="C1539">
        <f>SE(Gastos!A40="";"";0)</f>
        <v/>
      </c>
      <c r="D1539">
        <f>SE(Gastos!A40="";"";Gastos!F40)</f>
        <v/>
      </c>
    </row>
    <row r="1540">
      <c r="A1540">
        <f>SE(Gastos!A41="";"";Gastos!A41)</f>
        <v/>
      </c>
      <c r="B1540">
        <f>SE(Gastos!A41="";"";Gastos!B41&amp;" - "&amp;Gastos!C41)</f>
        <v/>
      </c>
      <c r="C1540">
        <f>SE(Gastos!A41="";"";0)</f>
        <v/>
      </c>
      <c r="D1540">
        <f>SE(Gastos!A41="";"";Gastos!F41)</f>
        <v/>
      </c>
    </row>
    <row r="1541">
      <c r="A1541">
        <f>SE(Gastos!A42="";"";Gastos!A42)</f>
        <v/>
      </c>
      <c r="B1541">
        <f>SE(Gastos!A42="";"";Gastos!B42&amp;" - "&amp;Gastos!C42)</f>
        <v/>
      </c>
      <c r="C1541">
        <f>SE(Gastos!A42="";"";0)</f>
        <v/>
      </c>
      <c r="D1541">
        <f>SE(Gastos!A42="";"";Gastos!F42)</f>
        <v/>
      </c>
    </row>
    <row r="1542">
      <c r="A1542">
        <f>SE(Gastos!A43="";"";Gastos!A43)</f>
        <v/>
      </c>
      <c r="B1542">
        <f>SE(Gastos!A43="";"";Gastos!B43&amp;" - "&amp;Gastos!C43)</f>
        <v/>
      </c>
      <c r="C1542">
        <f>SE(Gastos!A43="";"";0)</f>
        <v/>
      </c>
      <c r="D1542">
        <f>SE(Gastos!A43="";"";Gastos!F43)</f>
        <v/>
      </c>
    </row>
    <row r="1543">
      <c r="A1543">
        <f>SE(Gastos!A44="";"";Gastos!A44)</f>
        <v/>
      </c>
      <c r="B1543">
        <f>SE(Gastos!A44="";"";Gastos!B44&amp;" - "&amp;Gastos!C44)</f>
        <v/>
      </c>
      <c r="C1543">
        <f>SE(Gastos!A44="";"";0)</f>
        <v/>
      </c>
      <c r="D1543">
        <f>SE(Gastos!A44="";"";Gastos!F44)</f>
        <v/>
      </c>
    </row>
    <row r="1544">
      <c r="A1544">
        <f>SE(Gastos!A45="";"";Gastos!A45)</f>
        <v/>
      </c>
      <c r="B1544">
        <f>SE(Gastos!A45="";"";Gastos!B45&amp;" - "&amp;Gastos!C45)</f>
        <v/>
      </c>
      <c r="C1544">
        <f>SE(Gastos!A45="";"";0)</f>
        <v/>
      </c>
      <c r="D1544">
        <f>SE(Gastos!A45="";"";Gastos!F45)</f>
        <v/>
      </c>
    </row>
    <row r="1545">
      <c r="A1545">
        <f>SE(Gastos!A46="";"";Gastos!A46)</f>
        <v/>
      </c>
      <c r="B1545">
        <f>SE(Gastos!A46="";"";Gastos!B46&amp;" - "&amp;Gastos!C46)</f>
        <v/>
      </c>
      <c r="C1545">
        <f>SE(Gastos!A46="";"";0)</f>
        <v/>
      </c>
      <c r="D1545">
        <f>SE(Gastos!A46="";"";Gastos!F46)</f>
        <v/>
      </c>
    </row>
    <row r="1546">
      <c r="A1546">
        <f>SE(Gastos!A47="";"";Gastos!A47)</f>
        <v/>
      </c>
      <c r="B1546">
        <f>SE(Gastos!A47="";"";Gastos!B47&amp;" - "&amp;Gastos!C47)</f>
        <v/>
      </c>
      <c r="C1546">
        <f>SE(Gastos!A47="";"";0)</f>
        <v/>
      </c>
      <c r="D1546">
        <f>SE(Gastos!A47="";"";Gastos!F47)</f>
        <v/>
      </c>
    </row>
    <row r="1547">
      <c r="A1547">
        <f>SE(Gastos!A48="";"";Gastos!A48)</f>
        <v/>
      </c>
      <c r="B1547">
        <f>SE(Gastos!A48="";"";Gastos!B48&amp;" - "&amp;Gastos!C48)</f>
        <v/>
      </c>
      <c r="C1547">
        <f>SE(Gastos!A48="";"";0)</f>
        <v/>
      </c>
      <c r="D1547">
        <f>SE(Gastos!A48="";"";Gastos!F48)</f>
        <v/>
      </c>
    </row>
    <row r="1548">
      <c r="A1548">
        <f>SE(Gastos!A49="";"";Gastos!A49)</f>
        <v/>
      </c>
      <c r="B1548">
        <f>SE(Gastos!A49="";"";Gastos!B49&amp;" - "&amp;Gastos!C49)</f>
        <v/>
      </c>
      <c r="C1548">
        <f>SE(Gastos!A49="";"";0)</f>
        <v/>
      </c>
      <c r="D1548">
        <f>SE(Gastos!A49="";"";Gastos!F49)</f>
        <v/>
      </c>
    </row>
    <row r="1549">
      <c r="A1549">
        <f>SE(Gastos!A50="";"";Gastos!A50)</f>
        <v/>
      </c>
      <c r="B1549">
        <f>SE(Gastos!A50="";"";Gastos!B50&amp;" - "&amp;Gastos!C50)</f>
        <v/>
      </c>
      <c r="C1549">
        <f>SE(Gastos!A50="";"";0)</f>
        <v/>
      </c>
      <c r="D1549">
        <f>SE(Gastos!A50="";"";Gastos!F50)</f>
        <v/>
      </c>
    </row>
    <row r="1550">
      <c r="A1550">
        <f>SE(Gastos!A51="";"";Gastos!A51)</f>
        <v/>
      </c>
      <c r="B1550">
        <f>SE(Gastos!A51="";"";Gastos!B51&amp;" - "&amp;Gastos!C51)</f>
        <v/>
      </c>
      <c r="C1550">
        <f>SE(Gastos!A51="";"";0)</f>
        <v/>
      </c>
      <c r="D1550">
        <f>SE(Gastos!A51="";"";Gastos!F51)</f>
        <v/>
      </c>
    </row>
    <row r="1551">
      <c r="A1551">
        <f>SE(Gastos!A52="";"";Gastos!A52)</f>
        <v/>
      </c>
      <c r="B1551">
        <f>SE(Gastos!A52="";"";Gastos!B52&amp;" - "&amp;Gastos!C52)</f>
        <v/>
      </c>
      <c r="C1551">
        <f>SE(Gastos!A52="";"";0)</f>
        <v/>
      </c>
      <c r="D1551">
        <f>SE(Gastos!A52="";"";Gastos!F52)</f>
        <v/>
      </c>
    </row>
    <row r="1552">
      <c r="A1552">
        <f>SE(Gastos!A53="";"";Gastos!A53)</f>
        <v/>
      </c>
      <c r="B1552">
        <f>SE(Gastos!A53="";"";Gastos!B53&amp;" - "&amp;Gastos!C53)</f>
        <v/>
      </c>
      <c r="C1552">
        <f>SE(Gastos!A53="";"";0)</f>
        <v/>
      </c>
      <c r="D1552">
        <f>SE(Gastos!A53="";"";Gastos!F53)</f>
        <v/>
      </c>
    </row>
    <row r="1553">
      <c r="A1553">
        <f>SE(Gastos!A54="";"";Gastos!A54)</f>
        <v/>
      </c>
      <c r="B1553">
        <f>SE(Gastos!A54="";"";Gastos!B54&amp;" - "&amp;Gastos!C54)</f>
        <v/>
      </c>
      <c r="C1553">
        <f>SE(Gastos!A54="";"";0)</f>
        <v/>
      </c>
      <c r="D1553">
        <f>SE(Gastos!A54="";"";Gastos!F54)</f>
        <v/>
      </c>
    </row>
    <row r="1554">
      <c r="A1554">
        <f>SE(Gastos!A55="";"";Gastos!A55)</f>
        <v/>
      </c>
      <c r="B1554">
        <f>SE(Gastos!A55="";"";Gastos!B55&amp;" - "&amp;Gastos!C55)</f>
        <v/>
      </c>
      <c r="C1554">
        <f>SE(Gastos!A55="";"";0)</f>
        <v/>
      </c>
      <c r="D1554">
        <f>SE(Gastos!A55="";"";Gastos!F55)</f>
        <v/>
      </c>
    </row>
    <row r="1555">
      <c r="A1555">
        <f>SE(Gastos!A56="";"";Gastos!A56)</f>
        <v/>
      </c>
      <c r="B1555">
        <f>SE(Gastos!A56="";"";Gastos!B56&amp;" - "&amp;Gastos!C56)</f>
        <v/>
      </c>
      <c r="C1555">
        <f>SE(Gastos!A56="";"";0)</f>
        <v/>
      </c>
      <c r="D1555">
        <f>SE(Gastos!A56="";"";Gastos!F56)</f>
        <v/>
      </c>
    </row>
    <row r="1556">
      <c r="A1556">
        <f>SE(Gastos!A57="";"";Gastos!A57)</f>
        <v/>
      </c>
      <c r="B1556">
        <f>SE(Gastos!A57="";"";Gastos!B57&amp;" - "&amp;Gastos!C57)</f>
        <v/>
      </c>
      <c r="C1556">
        <f>SE(Gastos!A57="";"";0)</f>
        <v/>
      </c>
      <c r="D1556">
        <f>SE(Gastos!A57="";"";Gastos!F57)</f>
        <v/>
      </c>
    </row>
    <row r="1557">
      <c r="A1557">
        <f>SE(Gastos!A58="";"";Gastos!A58)</f>
        <v/>
      </c>
      <c r="B1557">
        <f>SE(Gastos!A58="";"";Gastos!B58&amp;" - "&amp;Gastos!C58)</f>
        <v/>
      </c>
      <c r="C1557">
        <f>SE(Gastos!A58="";"";0)</f>
        <v/>
      </c>
      <c r="D1557">
        <f>SE(Gastos!A58="";"";Gastos!F58)</f>
        <v/>
      </c>
    </row>
    <row r="1558">
      <c r="A1558">
        <f>SE(Gastos!A59="";"";Gastos!A59)</f>
        <v/>
      </c>
      <c r="B1558">
        <f>SE(Gastos!A59="";"";Gastos!B59&amp;" - "&amp;Gastos!C59)</f>
        <v/>
      </c>
      <c r="C1558">
        <f>SE(Gastos!A59="";"";0)</f>
        <v/>
      </c>
      <c r="D1558">
        <f>SE(Gastos!A59="";"";Gastos!F59)</f>
        <v/>
      </c>
    </row>
    <row r="1559">
      <c r="A1559">
        <f>SE(Gastos!A60="";"";Gastos!A60)</f>
        <v/>
      </c>
      <c r="B1559">
        <f>SE(Gastos!A60="";"";Gastos!B60&amp;" - "&amp;Gastos!C60)</f>
        <v/>
      </c>
      <c r="C1559">
        <f>SE(Gastos!A60="";"";0)</f>
        <v/>
      </c>
      <c r="D1559">
        <f>SE(Gastos!A60="";"";Gastos!F60)</f>
        <v/>
      </c>
    </row>
    <row r="1560">
      <c r="A1560">
        <f>SE(Gastos!A61="";"";Gastos!A61)</f>
        <v/>
      </c>
      <c r="B1560">
        <f>SE(Gastos!A61="";"";Gastos!B61&amp;" - "&amp;Gastos!C61)</f>
        <v/>
      </c>
      <c r="C1560">
        <f>SE(Gastos!A61="";"";0)</f>
        <v/>
      </c>
      <c r="D1560">
        <f>SE(Gastos!A61="";"";Gastos!F61)</f>
        <v/>
      </c>
    </row>
    <row r="1561">
      <c r="A1561">
        <f>SE(Gastos!A62="";"";Gastos!A62)</f>
        <v/>
      </c>
      <c r="B1561">
        <f>SE(Gastos!A62="";"";Gastos!B62&amp;" - "&amp;Gastos!C62)</f>
        <v/>
      </c>
      <c r="C1561">
        <f>SE(Gastos!A62="";"";0)</f>
        <v/>
      </c>
      <c r="D1561">
        <f>SE(Gastos!A62="";"";Gastos!F62)</f>
        <v/>
      </c>
    </row>
    <row r="1562">
      <c r="A1562">
        <f>SE(Gastos!A63="";"";Gastos!A63)</f>
        <v/>
      </c>
      <c r="B1562">
        <f>SE(Gastos!A63="";"";Gastos!B63&amp;" - "&amp;Gastos!C63)</f>
        <v/>
      </c>
      <c r="C1562">
        <f>SE(Gastos!A63="";"";0)</f>
        <v/>
      </c>
      <c r="D1562">
        <f>SE(Gastos!A63="";"";Gastos!F63)</f>
        <v/>
      </c>
    </row>
    <row r="1563">
      <c r="A1563">
        <f>SE(Gastos!A64="";"";Gastos!A64)</f>
        <v/>
      </c>
      <c r="B1563">
        <f>SE(Gastos!A64="";"";Gastos!B64&amp;" - "&amp;Gastos!C64)</f>
        <v/>
      </c>
      <c r="C1563">
        <f>SE(Gastos!A64="";"";0)</f>
        <v/>
      </c>
      <c r="D1563">
        <f>SE(Gastos!A64="";"";Gastos!F64)</f>
        <v/>
      </c>
    </row>
    <row r="1564">
      <c r="A1564">
        <f>SE(Gastos!A65="";"";Gastos!A65)</f>
        <v/>
      </c>
      <c r="B1564">
        <f>SE(Gastos!A65="";"";Gastos!B65&amp;" - "&amp;Gastos!C65)</f>
        <v/>
      </c>
      <c r="C1564">
        <f>SE(Gastos!A65="";"";0)</f>
        <v/>
      </c>
      <c r="D1564">
        <f>SE(Gastos!A65="";"";Gastos!F65)</f>
        <v/>
      </c>
    </row>
    <row r="1565">
      <c r="A1565">
        <f>SE(Gastos!A66="";"";Gastos!A66)</f>
        <v/>
      </c>
      <c r="B1565">
        <f>SE(Gastos!A66="";"";Gastos!B66&amp;" - "&amp;Gastos!C66)</f>
        <v/>
      </c>
      <c r="C1565">
        <f>SE(Gastos!A66="";"";0)</f>
        <v/>
      </c>
      <c r="D1565">
        <f>SE(Gastos!A66="";"";Gastos!F66)</f>
        <v/>
      </c>
    </row>
    <row r="1566">
      <c r="A1566">
        <f>SE(Gastos!A67="";"";Gastos!A67)</f>
        <v/>
      </c>
      <c r="B1566">
        <f>SE(Gastos!A67="";"";Gastos!B67&amp;" - "&amp;Gastos!C67)</f>
        <v/>
      </c>
      <c r="C1566">
        <f>SE(Gastos!A67="";"";0)</f>
        <v/>
      </c>
      <c r="D1566">
        <f>SE(Gastos!A67="";"";Gastos!F67)</f>
        <v/>
      </c>
    </row>
    <row r="1567">
      <c r="A1567">
        <f>SE(Gastos!A68="";"";Gastos!A68)</f>
        <v/>
      </c>
      <c r="B1567">
        <f>SE(Gastos!A68="";"";Gastos!B68&amp;" - "&amp;Gastos!C68)</f>
        <v/>
      </c>
      <c r="C1567">
        <f>SE(Gastos!A68="";"";0)</f>
        <v/>
      </c>
      <c r="D1567">
        <f>SE(Gastos!A68="";"";Gastos!F68)</f>
        <v/>
      </c>
    </row>
    <row r="1568">
      <c r="A1568">
        <f>SE(Gastos!A69="";"";Gastos!A69)</f>
        <v/>
      </c>
      <c r="B1568">
        <f>SE(Gastos!A69="";"";Gastos!B69&amp;" - "&amp;Gastos!C69)</f>
        <v/>
      </c>
      <c r="C1568">
        <f>SE(Gastos!A69="";"";0)</f>
        <v/>
      </c>
      <c r="D1568">
        <f>SE(Gastos!A69="";"";Gastos!F69)</f>
        <v/>
      </c>
    </row>
    <row r="1569">
      <c r="A1569">
        <f>SE(Gastos!A70="";"";Gastos!A70)</f>
        <v/>
      </c>
      <c r="B1569">
        <f>SE(Gastos!A70="";"";Gastos!B70&amp;" - "&amp;Gastos!C70)</f>
        <v/>
      </c>
      <c r="C1569">
        <f>SE(Gastos!A70="";"";0)</f>
        <v/>
      </c>
      <c r="D1569">
        <f>SE(Gastos!A70="";"";Gastos!F70)</f>
        <v/>
      </c>
    </row>
    <row r="1570">
      <c r="A1570">
        <f>SE(Gastos!A71="";"";Gastos!A71)</f>
        <v/>
      </c>
      <c r="B1570">
        <f>SE(Gastos!A71="";"";Gastos!B71&amp;" - "&amp;Gastos!C71)</f>
        <v/>
      </c>
      <c r="C1570">
        <f>SE(Gastos!A71="";"";0)</f>
        <v/>
      </c>
      <c r="D1570">
        <f>SE(Gastos!A71="";"";Gastos!F71)</f>
        <v/>
      </c>
    </row>
    <row r="1571">
      <c r="A1571">
        <f>SE(Gastos!A72="";"";Gastos!A72)</f>
        <v/>
      </c>
      <c r="B1571">
        <f>SE(Gastos!A72="";"";Gastos!B72&amp;" - "&amp;Gastos!C72)</f>
        <v/>
      </c>
      <c r="C1571">
        <f>SE(Gastos!A72="";"";0)</f>
        <v/>
      </c>
      <c r="D1571">
        <f>SE(Gastos!A72="";"";Gastos!F72)</f>
        <v/>
      </c>
    </row>
    <row r="1572">
      <c r="A1572">
        <f>SE(Gastos!A73="";"";Gastos!A73)</f>
        <v/>
      </c>
      <c r="B1572">
        <f>SE(Gastos!A73="";"";Gastos!B73&amp;" - "&amp;Gastos!C73)</f>
        <v/>
      </c>
      <c r="C1572">
        <f>SE(Gastos!A73="";"";0)</f>
        <v/>
      </c>
      <c r="D1572">
        <f>SE(Gastos!A73="";"";Gastos!F73)</f>
        <v/>
      </c>
    </row>
    <row r="1573">
      <c r="A1573">
        <f>SE(Gastos!A74="";"";Gastos!A74)</f>
        <v/>
      </c>
      <c r="B1573">
        <f>SE(Gastos!A74="";"";Gastos!B74&amp;" - "&amp;Gastos!C74)</f>
        <v/>
      </c>
      <c r="C1573">
        <f>SE(Gastos!A74="";"";0)</f>
        <v/>
      </c>
      <c r="D1573">
        <f>SE(Gastos!A74="";"";Gastos!F74)</f>
        <v/>
      </c>
    </row>
    <row r="1574">
      <c r="A1574">
        <f>SE(Gastos!A75="";"";Gastos!A75)</f>
        <v/>
      </c>
      <c r="B1574">
        <f>SE(Gastos!A75="";"";Gastos!B75&amp;" - "&amp;Gastos!C75)</f>
        <v/>
      </c>
      <c r="C1574">
        <f>SE(Gastos!A75="";"";0)</f>
        <v/>
      </c>
      <c r="D1574">
        <f>SE(Gastos!A75="";"";Gastos!F75)</f>
        <v/>
      </c>
    </row>
    <row r="1575">
      <c r="A1575">
        <f>SE(Gastos!A76="";"";Gastos!A76)</f>
        <v/>
      </c>
      <c r="B1575">
        <f>SE(Gastos!A76="";"";Gastos!B76&amp;" - "&amp;Gastos!C76)</f>
        <v/>
      </c>
      <c r="C1575">
        <f>SE(Gastos!A76="";"";0)</f>
        <v/>
      </c>
      <c r="D1575">
        <f>SE(Gastos!A76="";"";Gastos!F76)</f>
        <v/>
      </c>
    </row>
    <row r="1576">
      <c r="A1576">
        <f>SE(Gastos!A77="";"";Gastos!A77)</f>
        <v/>
      </c>
      <c r="B1576">
        <f>SE(Gastos!A77="";"";Gastos!B77&amp;" - "&amp;Gastos!C77)</f>
        <v/>
      </c>
      <c r="C1576">
        <f>SE(Gastos!A77="";"";0)</f>
        <v/>
      </c>
      <c r="D1576">
        <f>SE(Gastos!A77="";"";Gastos!F77)</f>
        <v/>
      </c>
    </row>
    <row r="1577">
      <c r="A1577">
        <f>SE(Gastos!A78="";"";Gastos!A78)</f>
        <v/>
      </c>
      <c r="B1577">
        <f>SE(Gastos!A78="";"";Gastos!B78&amp;" - "&amp;Gastos!C78)</f>
        <v/>
      </c>
      <c r="C1577">
        <f>SE(Gastos!A78="";"";0)</f>
        <v/>
      </c>
      <c r="D1577">
        <f>SE(Gastos!A78="";"";Gastos!F78)</f>
        <v/>
      </c>
    </row>
    <row r="1578">
      <c r="A1578">
        <f>SE(Gastos!A79="";"";Gastos!A79)</f>
        <v/>
      </c>
      <c r="B1578">
        <f>SE(Gastos!A79="";"";Gastos!B79&amp;" - "&amp;Gastos!C79)</f>
        <v/>
      </c>
      <c r="C1578">
        <f>SE(Gastos!A79="";"";0)</f>
        <v/>
      </c>
      <c r="D1578">
        <f>SE(Gastos!A79="";"";Gastos!F79)</f>
        <v/>
      </c>
    </row>
    <row r="1579">
      <c r="A1579">
        <f>SE(Gastos!A80="";"";Gastos!A80)</f>
        <v/>
      </c>
      <c r="B1579">
        <f>SE(Gastos!A80="";"";Gastos!B80&amp;" - "&amp;Gastos!C80)</f>
        <v/>
      </c>
      <c r="C1579">
        <f>SE(Gastos!A80="";"";0)</f>
        <v/>
      </c>
      <c r="D1579">
        <f>SE(Gastos!A80="";"";Gastos!F80)</f>
        <v/>
      </c>
    </row>
    <row r="1580">
      <c r="A1580">
        <f>SE(Gastos!A81="";"";Gastos!A81)</f>
        <v/>
      </c>
      <c r="B1580">
        <f>SE(Gastos!A81="";"";Gastos!B81&amp;" - "&amp;Gastos!C81)</f>
        <v/>
      </c>
      <c r="C1580">
        <f>SE(Gastos!A81="";"";0)</f>
        <v/>
      </c>
      <c r="D1580">
        <f>SE(Gastos!A81="";"";Gastos!F81)</f>
        <v/>
      </c>
    </row>
    <row r="1581">
      <c r="A1581">
        <f>SE(Gastos!A82="";"";Gastos!A82)</f>
        <v/>
      </c>
      <c r="B1581">
        <f>SE(Gastos!A82="";"";Gastos!B82&amp;" - "&amp;Gastos!C82)</f>
        <v/>
      </c>
      <c r="C1581">
        <f>SE(Gastos!A82="";"";0)</f>
        <v/>
      </c>
      <c r="D1581">
        <f>SE(Gastos!A82="";"";Gastos!F82)</f>
        <v/>
      </c>
    </row>
    <row r="1582">
      <c r="A1582">
        <f>SE(Gastos!A83="";"";Gastos!A83)</f>
        <v/>
      </c>
      <c r="B1582">
        <f>SE(Gastos!A83="";"";Gastos!B83&amp;" - "&amp;Gastos!C83)</f>
        <v/>
      </c>
      <c r="C1582">
        <f>SE(Gastos!A83="";"";0)</f>
        <v/>
      </c>
      <c r="D1582">
        <f>SE(Gastos!A83="";"";Gastos!F83)</f>
        <v/>
      </c>
    </row>
    <row r="1583">
      <c r="A1583">
        <f>SE(Gastos!A84="";"";Gastos!A84)</f>
        <v/>
      </c>
      <c r="B1583">
        <f>SE(Gastos!A84="";"";Gastos!B84&amp;" - "&amp;Gastos!C84)</f>
        <v/>
      </c>
      <c r="C1583">
        <f>SE(Gastos!A84="";"";0)</f>
        <v/>
      </c>
      <c r="D1583">
        <f>SE(Gastos!A84="";"";Gastos!F84)</f>
        <v/>
      </c>
    </row>
    <row r="1584">
      <c r="A1584">
        <f>SE(Gastos!A85="";"";Gastos!A85)</f>
        <v/>
      </c>
      <c r="B1584">
        <f>SE(Gastos!A85="";"";Gastos!B85&amp;" - "&amp;Gastos!C85)</f>
        <v/>
      </c>
      <c r="C1584">
        <f>SE(Gastos!A85="";"";0)</f>
        <v/>
      </c>
      <c r="D1584">
        <f>SE(Gastos!A85="";"";Gastos!F85)</f>
        <v/>
      </c>
    </row>
    <row r="1585">
      <c r="A1585">
        <f>SE(Gastos!A86="";"";Gastos!A86)</f>
        <v/>
      </c>
      <c r="B1585">
        <f>SE(Gastos!A86="";"";Gastos!B86&amp;" - "&amp;Gastos!C86)</f>
        <v/>
      </c>
      <c r="C1585">
        <f>SE(Gastos!A86="";"";0)</f>
        <v/>
      </c>
      <c r="D1585">
        <f>SE(Gastos!A86="";"";Gastos!F86)</f>
        <v/>
      </c>
    </row>
    <row r="1586">
      <c r="A1586">
        <f>SE(Gastos!A87="";"";Gastos!A87)</f>
        <v/>
      </c>
      <c r="B1586">
        <f>SE(Gastos!A87="";"";Gastos!B87&amp;" - "&amp;Gastos!C87)</f>
        <v/>
      </c>
      <c r="C1586">
        <f>SE(Gastos!A87="";"";0)</f>
        <v/>
      </c>
      <c r="D1586">
        <f>SE(Gastos!A87="";"";Gastos!F87)</f>
        <v/>
      </c>
    </row>
    <row r="1587">
      <c r="A1587">
        <f>SE(Gastos!A88="";"";Gastos!A88)</f>
        <v/>
      </c>
      <c r="B1587">
        <f>SE(Gastos!A88="";"";Gastos!B88&amp;" - "&amp;Gastos!C88)</f>
        <v/>
      </c>
      <c r="C1587">
        <f>SE(Gastos!A88="";"";0)</f>
        <v/>
      </c>
      <c r="D1587">
        <f>SE(Gastos!A88="";"";Gastos!F88)</f>
        <v/>
      </c>
    </row>
    <row r="1588">
      <c r="A1588">
        <f>SE(Gastos!A89="";"";Gastos!A89)</f>
        <v/>
      </c>
      <c r="B1588">
        <f>SE(Gastos!A89="";"";Gastos!B89&amp;" - "&amp;Gastos!C89)</f>
        <v/>
      </c>
      <c r="C1588">
        <f>SE(Gastos!A89="";"";0)</f>
        <v/>
      </c>
      <c r="D1588">
        <f>SE(Gastos!A89="";"";Gastos!F89)</f>
        <v/>
      </c>
    </row>
    <row r="1589">
      <c r="A1589">
        <f>SE(Gastos!A90="";"";Gastos!A90)</f>
        <v/>
      </c>
      <c r="B1589">
        <f>SE(Gastos!A90="";"";Gastos!B90&amp;" - "&amp;Gastos!C90)</f>
        <v/>
      </c>
      <c r="C1589">
        <f>SE(Gastos!A90="";"";0)</f>
        <v/>
      </c>
      <c r="D1589">
        <f>SE(Gastos!A90="";"";Gastos!F90)</f>
        <v/>
      </c>
    </row>
    <row r="1590">
      <c r="A1590">
        <f>SE(Gastos!A91="";"";Gastos!A91)</f>
        <v/>
      </c>
      <c r="B1590">
        <f>SE(Gastos!A91="";"";Gastos!B91&amp;" - "&amp;Gastos!C91)</f>
        <v/>
      </c>
      <c r="C1590">
        <f>SE(Gastos!A91="";"";0)</f>
        <v/>
      </c>
      <c r="D1590">
        <f>SE(Gastos!A91="";"";Gastos!F91)</f>
        <v/>
      </c>
    </row>
    <row r="1591">
      <c r="A1591">
        <f>SE(Gastos!A92="";"";Gastos!A92)</f>
        <v/>
      </c>
      <c r="B1591">
        <f>SE(Gastos!A92="";"";Gastos!B92&amp;" - "&amp;Gastos!C92)</f>
        <v/>
      </c>
      <c r="C1591">
        <f>SE(Gastos!A92="";"";0)</f>
        <v/>
      </c>
      <c r="D1591">
        <f>SE(Gastos!A92="";"";Gastos!F92)</f>
        <v/>
      </c>
    </row>
    <row r="1592">
      <c r="A1592">
        <f>SE(Gastos!A93="";"";Gastos!A93)</f>
        <v/>
      </c>
      <c r="B1592">
        <f>SE(Gastos!A93="";"";Gastos!B93&amp;" - "&amp;Gastos!C93)</f>
        <v/>
      </c>
      <c r="C1592">
        <f>SE(Gastos!A93="";"";0)</f>
        <v/>
      </c>
      <c r="D1592">
        <f>SE(Gastos!A93="";"";Gastos!F93)</f>
        <v/>
      </c>
    </row>
    <row r="1593">
      <c r="A1593">
        <f>SE(Gastos!A94="";"";Gastos!A94)</f>
        <v/>
      </c>
      <c r="B1593">
        <f>SE(Gastos!A94="";"";Gastos!B94&amp;" - "&amp;Gastos!C94)</f>
        <v/>
      </c>
      <c r="C1593">
        <f>SE(Gastos!A94="";"";0)</f>
        <v/>
      </c>
      <c r="D1593">
        <f>SE(Gastos!A94="";"";Gastos!F94)</f>
        <v/>
      </c>
    </row>
    <row r="1594">
      <c r="A1594">
        <f>SE(Gastos!A95="";"";Gastos!A95)</f>
        <v/>
      </c>
      <c r="B1594">
        <f>SE(Gastos!A95="";"";Gastos!B95&amp;" - "&amp;Gastos!C95)</f>
        <v/>
      </c>
      <c r="C1594">
        <f>SE(Gastos!A95="";"";0)</f>
        <v/>
      </c>
      <c r="D1594">
        <f>SE(Gastos!A95="";"";Gastos!F95)</f>
        <v/>
      </c>
    </row>
    <row r="1595">
      <c r="A1595">
        <f>SE(Gastos!A96="";"";Gastos!A96)</f>
        <v/>
      </c>
      <c r="B1595">
        <f>SE(Gastos!A96="";"";Gastos!B96&amp;" - "&amp;Gastos!C96)</f>
        <v/>
      </c>
      <c r="C1595">
        <f>SE(Gastos!A96="";"";0)</f>
        <v/>
      </c>
      <c r="D1595">
        <f>SE(Gastos!A96="";"";Gastos!F96)</f>
        <v/>
      </c>
    </row>
    <row r="1596">
      <c r="A1596">
        <f>SE(Gastos!A97="";"";Gastos!A97)</f>
        <v/>
      </c>
      <c r="B1596">
        <f>SE(Gastos!A97="";"";Gastos!B97&amp;" - "&amp;Gastos!C97)</f>
        <v/>
      </c>
      <c r="C1596">
        <f>SE(Gastos!A97="";"";0)</f>
        <v/>
      </c>
      <c r="D1596">
        <f>SE(Gastos!A97="";"";Gastos!F97)</f>
        <v/>
      </c>
    </row>
    <row r="1597">
      <c r="A1597">
        <f>SE(Gastos!A98="";"";Gastos!A98)</f>
        <v/>
      </c>
      <c r="B1597">
        <f>SE(Gastos!A98="";"";Gastos!B98&amp;" - "&amp;Gastos!C98)</f>
        <v/>
      </c>
      <c r="C1597">
        <f>SE(Gastos!A98="";"";0)</f>
        <v/>
      </c>
      <c r="D1597">
        <f>SE(Gastos!A98="";"";Gastos!F98)</f>
        <v/>
      </c>
    </row>
    <row r="1598">
      <c r="A1598">
        <f>SE(Gastos!A99="";"";Gastos!A99)</f>
        <v/>
      </c>
      <c r="B1598">
        <f>SE(Gastos!A99="";"";Gastos!B99&amp;" - "&amp;Gastos!C99)</f>
        <v/>
      </c>
      <c r="C1598">
        <f>SE(Gastos!A99="";"";0)</f>
        <v/>
      </c>
      <c r="D1598">
        <f>SE(Gastos!A99="";"";Gastos!F99)</f>
        <v/>
      </c>
    </row>
    <row r="1599">
      <c r="A1599">
        <f>SE(Gastos!A100="";"";Gastos!A100)</f>
        <v/>
      </c>
      <c r="B1599">
        <f>SE(Gastos!A100="";"";Gastos!B100&amp;" - "&amp;Gastos!C100)</f>
        <v/>
      </c>
      <c r="C1599">
        <f>SE(Gastos!A100="";"";0)</f>
        <v/>
      </c>
      <c r="D1599">
        <f>SE(Gastos!A100="";"";Gastos!F100)</f>
        <v/>
      </c>
    </row>
    <row r="1600">
      <c r="A1600">
        <f>SE(Gastos!A101="";"";Gastos!A101)</f>
        <v/>
      </c>
      <c r="B1600">
        <f>SE(Gastos!A101="";"";Gastos!B101&amp;" - "&amp;Gastos!C101)</f>
        <v/>
      </c>
      <c r="C1600">
        <f>SE(Gastos!A101="";"";0)</f>
        <v/>
      </c>
      <c r="D1600">
        <f>SE(Gastos!A101="";"";Gastos!F101)</f>
        <v/>
      </c>
    </row>
    <row r="1601">
      <c r="A1601">
        <f>SE(Gastos!A102="";"";Gastos!A102)</f>
        <v/>
      </c>
      <c r="B1601">
        <f>SE(Gastos!A102="";"";Gastos!B102&amp;" - "&amp;Gastos!C102)</f>
        <v/>
      </c>
      <c r="C1601">
        <f>SE(Gastos!A102="";"";0)</f>
        <v/>
      </c>
      <c r="D1601">
        <f>SE(Gastos!A102="";"";Gastos!F102)</f>
        <v/>
      </c>
    </row>
    <row r="1602">
      <c r="A1602">
        <f>SE(Gastos!A103="";"";Gastos!A103)</f>
        <v/>
      </c>
      <c r="B1602">
        <f>SE(Gastos!A103="";"";Gastos!B103&amp;" - "&amp;Gastos!C103)</f>
        <v/>
      </c>
      <c r="C1602">
        <f>SE(Gastos!A103="";"";0)</f>
        <v/>
      </c>
      <c r="D1602">
        <f>SE(Gastos!A103="";"";Gastos!F103)</f>
        <v/>
      </c>
    </row>
    <row r="1603">
      <c r="A1603">
        <f>SE(Gastos!A104="";"";Gastos!A104)</f>
        <v/>
      </c>
      <c r="B1603">
        <f>SE(Gastos!A104="";"";Gastos!B104&amp;" - "&amp;Gastos!C104)</f>
        <v/>
      </c>
      <c r="C1603">
        <f>SE(Gastos!A104="";"";0)</f>
        <v/>
      </c>
      <c r="D1603">
        <f>SE(Gastos!A104="";"";Gastos!F104)</f>
        <v/>
      </c>
    </row>
    <row r="1604">
      <c r="A1604">
        <f>SE(Gastos!A105="";"";Gastos!A105)</f>
        <v/>
      </c>
      <c r="B1604">
        <f>SE(Gastos!A105="";"";Gastos!B105&amp;" - "&amp;Gastos!C105)</f>
        <v/>
      </c>
      <c r="C1604">
        <f>SE(Gastos!A105="";"";0)</f>
        <v/>
      </c>
      <c r="D1604">
        <f>SE(Gastos!A105="";"";Gastos!F105)</f>
        <v/>
      </c>
    </row>
    <row r="1605">
      <c r="A1605">
        <f>SE(Gastos!A106="";"";Gastos!A106)</f>
        <v/>
      </c>
      <c r="B1605">
        <f>SE(Gastos!A106="";"";Gastos!B106&amp;" - "&amp;Gastos!C106)</f>
        <v/>
      </c>
      <c r="C1605">
        <f>SE(Gastos!A106="";"";0)</f>
        <v/>
      </c>
      <c r="D1605">
        <f>SE(Gastos!A106="";"";Gastos!F106)</f>
        <v/>
      </c>
    </row>
    <row r="1606">
      <c r="A1606">
        <f>SE(Gastos!A107="";"";Gastos!A107)</f>
        <v/>
      </c>
      <c r="B1606">
        <f>SE(Gastos!A107="";"";Gastos!B107&amp;" - "&amp;Gastos!C107)</f>
        <v/>
      </c>
      <c r="C1606">
        <f>SE(Gastos!A107="";"";0)</f>
        <v/>
      </c>
      <c r="D1606">
        <f>SE(Gastos!A107="";"";Gastos!F107)</f>
        <v/>
      </c>
    </row>
    <row r="1607">
      <c r="A1607">
        <f>SE(Gastos!A108="";"";Gastos!A108)</f>
        <v/>
      </c>
      <c r="B1607">
        <f>SE(Gastos!A108="";"";Gastos!B108&amp;" - "&amp;Gastos!C108)</f>
        <v/>
      </c>
      <c r="C1607">
        <f>SE(Gastos!A108="";"";0)</f>
        <v/>
      </c>
      <c r="D1607">
        <f>SE(Gastos!A108="";"";Gastos!F108)</f>
        <v/>
      </c>
    </row>
    <row r="1608">
      <c r="A1608">
        <f>SE(Gastos!A109="";"";Gastos!A109)</f>
        <v/>
      </c>
      <c r="B1608">
        <f>SE(Gastos!A109="";"";Gastos!B109&amp;" - "&amp;Gastos!C109)</f>
        <v/>
      </c>
      <c r="C1608">
        <f>SE(Gastos!A109="";"";0)</f>
        <v/>
      </c>
      <c r="D1608">
        <f>SE(Gastos!A109="";"";Gastos!F109)</f>
        <v/>
      </c>
    </row>
    <row r="1609">
      <c r="A1609">
        <f>SE(Gastos!A110="";"";Gastos!A110)</f>
        <v/>
      </c>
      <c r="B1609">
        <f>SE(Gastos!A110="";"";Gastos!B110&amp;" - "&amp;Gastos!C110)</f>
        <v/>
      </c>
      <c r="C1609">
        <f>SE(Gastos!A110="";"";0)</f>
        <v/>
      </c>
      <c r="D1609">
        <f>SE(Gastos!A110="";"";Gastos!F110)</f>
        <v/>
      </c>
    </row>
    <row r="1610">
      <c r="A1610">
        <f>SE(Gastos!A111="";"";Gastos!A111)</f>
        <v/>
      </c>
      <c r="B1610">
        <f>SE(Gastos!A111="";"";Gastos!B111&amp;" - "&amp;Gastos!C111)</f>
        <v/>
      </c>
      <c r="C1610">
        <f>SE(Gastos!A111="";"";0)</f>
        <v/>
      </c>
      <c r="D1610">
        <f>SE(Gastos!A111="";"";Gastos!F111)</f>
        <v/>
      </c>
    </row>
    <row r="1611">
      <c r="A1611">
        <f>SE(Gastos!A112="";"";Gastos!A112)</f>
        <v/>
      </c>
      <c r="B1611">
        <f>SE(Gastos!A112="";"";Gastos!B112&amp;" - "&amp;Gastos!C112)</f>
        <v/>
      </c>
      <c r="C1611">
        <f>SE(Gastos!A112="";"";0)</f>
        <v/>
      </c>
      <c r="D1611">
        <f>SE(Gastos!A112="";"";Gastos!F112)</f>
        <v/>
      </c>
    </row>
    <row r="1612">
      <c r="A1612">
        <f>SE(Gastos!A113="";"";Gastos!A113)</f>
        <v/>
      </c>
      <c r="B1612">
        <f>SE(Gastos!A113="";"";Gastos!B113&amp;" - "&amp;Gastos!C113)</f>
        <v/>
      </c>
      <c r="C1612">
        <f>SE(Gastos!A113="";"";0)</f>
        <v/>
      </c>
      <c r="D1612">
        <f>SE(Gastos!A113="";"";Gastos!F113)</f>
        <v/>
      </c>
    </row>
    <row r="1613">
      <c r="A1613">
        <f>SE(Gastos!A114="";"";Gastos!A114)</f>
        <v/>
      </c>
      <c r="B1613">
        <f>SE(Gastos!A114="";"";Gastos!B114&amp;" - "&amp;Gastos!C114)</f>
        <v/>
      </c>
      <c r="C1613">
        <f>SE(Gastos!A114="";"";0)</f>
        <v/>
      </c>
      <c r="D1613">
        <f>SE(Gastos!A114="";"";Gastos!F114)</f>
        <v/>
      </c>
    </row>
    <row r="1614">
      <c r="A1614">
        <f>SE(Gastos!A115="";"";Gastos!A115)</f>
        <v/>
      </c>
      <c r="B1614">
        <f>SE(Gastos!A115="";"";Gastos!B115&amp;" - "&amp;Gastos!C115)</f>
        <v/>
      </c>
      <c r="C1614">
        <f>SE(Gastos!A115="";"";0)</f>
        <v/>
      </c>
      <c r="D1614">
        <f>SE(Gastos!A115="";"";Gastos!F115)</f>
        <v/>
      </c>
    </row>
    <row r="1615">
      <c r="A1615">
        <f>SE(Gastos!A116="";"";Gastos!A116)</f>
        <v/>
      </c>
      <c r="B1615">
        <f>SE(Gastos!A116="";"";Gastos!B116&amp;" - "&amp;Gastos!C116)</f>
        <v/>
      </c>
      <c r="C1615">
        <f>SE(Gastos!A116="";"";0)</f>
        <v/>
      </c>
      <c r="D1615">
        <f>SE(Gastos!A116="";"";Gastos!F116)</f>
        <v/>
      </c>
    </row>
    <row r="1616">
      <c r="A1616">
        <f>SE(Gastos!A117="";"";Gastos!A117)</f>
        <v/>
      </c>
      <c r="B1616">
        <f>SE(Gastos!A117="";"";Gastos!B117&amp;" - "&amp;Gastos!C117)</f>
        <v/>
      </c>
      <c r="C1616">
        <f>SE(Gastos!A117="";"";0)</f>
        <v/>
      </c>
      <c r="D1616">
        <f>SE(Gastos!A117="";"";Gastos!F117)</f>
        <v/>
      </c>
    </row>
    <row r="1617">
      <c r="A1617">
        <f>SE(Gastos!A118="";"";Gastos!A118)</f>
        <v/>
      </c>
      <c r="B1617">
        <f>SE(Gastos!A118="";"";Gastos!B118&amp;" - "&amp;Gastos!C118)</f>
        <v/>
      </c>
      <c r="C1617">
        <f>SE(Gastos!A118="";"";0)</f>
        <v/>
      </c>
      <c r="D1617">
        <f>SE(Gastos!A118="";"";Gastos!F118)</f>
        <v/>
      </c>
    </row>
    <row r="1618">
      <c r="A1618">
        <f>SE(Gastos!A119="";"";Gastos!A119)</f>
        <v/>
      </c>
      <c r="B1618">
        <f>SE(Gastos!A119="";"";Gastos!B119&amp;" - "&amp;Gastos!C119)</f>
        <v/>
      </c>
      <c r="C1618">
        <f>SE(Gastos!A119="";"";0)</f>
        <v/>
      </c>
      <c r="D1618">
        <f>SE(Gastos!A119="";"";Gastos!F119)</f>
        <v/>
      </c>
    </row>
    <row r="1619">
      <c r="A1619">
        <f>SE(Gastos!A120="";"";Gastos!A120)</f>
        <v/>
      </c>
      <c r="B1619">
        <f>SE(Gastos!A120="";"";Gastos!B120&amp;" - "&amp;Gastos!C120)</f>
        <v/>
      </c>
      <c r="C1619">
        <f>SE(Gastos!A120="";"";0)</f>
        <v/>
      </c>
      <c r="D1619">
        <f>SE(Gastos!A120="";"";Gastos!F120)</f>
        <v/>
      </c>
    </row>
    <row r="1620">
      <c r="A1620">
        <f>SE(Gastos!A121="";"";Gastos!A121)</f>
        <v/>
      </c>
      <c r="B1620">
        <f>SE(Gastos!A121="";"";Gastos!B121&amp;" - "&amp;Gastos!C121)</f>
        <v/>
      </c>
      <c r="C1620">
        <f>SE(Gastos!A121="";"";0)</f>
        <v/>
      </c>
      <c r="D1620">
        <f>SE(Gastos!A121="";"";Gastos!F121)</f>
        <v/>
      </c>
    </row>
    <row r="1621">
      <c r="A1621">
        <f>SE(Gastos!A122="";"";Gastos!A122)</f>
        <v/>
      </c>
      <c r="B1621">
        <f>SE(Gastos!A122="";"";Gastos!B122&amp;" - "&amp;Gastos!C122)</f>
        <v/>
      </c>
      <c r="C1621">
        <f>SE(Gastos!A122="";"";0)</f>
        <v/>
      </c>
      <c r="D1621">
        <f>SE(Gastos!A122="";"";Gastos!F122)</f>
        <v/>
      </c>
    </row>
    <row r="1622">
      <c r="A1622">
        <f>SE(Gastos!A123="";"";Gastos!A123)</f>
        <v/>
      </c>
      <c r="B1622">
        <f>SE(Gastos!A123="";"";Gastos!B123&amp;" - "&amp;Gastos!C123)</f>
        <v/>
      </c>
      <c r="C1622">
        <f>SE(Gastos!A123="";"";0)</f>
        <v/>
      </c>
      <c r="D1622">
        <f>SE(Gastos!A123="";"";Gastos!F123)</f>
        <v/>
      </c>
    </row>
    <row r="1623">
      <c r="A1623">
        <f>SE(Gastos!A124="";"";Gastos!A124)</f>
        <v/>
      </c>
      <c r="B1623">
        <f>SE(Gastos!A124="";"";Gastos!B124&amp;" - "&amp;Gastos!C124)</f>
        <v/>
      </c>
      <c r="C1623">
        <f>SE(Gastos!A124="";"";0)</f>
        <v/>
      </c>
      <c r="D1623">
        <f>SE(Gastos!A124="";"";Gastos!F124)</f>
        <v/>
      </c>
    </row>
    <row r="1624">
      <c r="A1624">
        <f>SE(Gastos!A125="";"";Gastos!A125)</f>
        <v/>
      </c>
      <c r="B1624">
        <f>SE(Gastos!A125="";"";Gastos!B125&amp;" - "&amp;Gastos!C125)</f>
        <v/>
      </c>
      <c r="C1624">
        <f>SE(Gastos!A125="";"";0)</f>
        <v/>
      </c>
      <c r="D1624">
        <f>SE(Gastos!A125="";"";Gastos!F125)</f>
        <v/>
      </c>
    </row>
    <row r="1625">
      <c r="A1625">
        <f>SE(Gastos!A126="";"";Gastos!A126)</f>
        <v/>
      </c>
      <c r="B1625">
        <f>SE(Gastos!A126="";"";Gastos!B126&amp;" - "&amp;Gastos!C126)</f>
        <v/>
      </c>
      <c r="C1625">
        <f>SE(Gastos!A126="";"";0)</f>
        <v/>
      </c>
      <c r="D1625">
        <f>SE(Gastos!A126="";"";Gastos!F126)</f>
        <v/>
      </c>
    </row>
    <row r="1626">
      <c r="A1626">
        <f>SE(Gastos!A127="";"";Gastos!A127)</f>
        <v/>
      </c>
      <c r="B1626">
        <f>SE(Gastos!A127="";"";Gastos!B127&amp;" - "&amp;Gastos!C127)</f>
        <v/>
      </c>
      <c r="C1626">
        <f>SE(Gastos!A127="";"";0)</f>
        <v/>
      </c>
      <c r="D1626">
        <f>SE(Gastos!A127="";"";Gastos!F127)</f>
        <v/>
      </c>
    </row>
    <row r="1627">
      <c r="A1627">
        <f>SE(Gastos!A128="";"";Gastos!A128)</f>
        <v/>
      </c>
      <c r="B1627">
        <f>SE(Gastos!A128="";"";Gastos!B128&amp;" - "&amp;Gastos!C128)</f>
        <v/>
      </c>
      <c r="C1627">
        <f>SE(Gastos!A128="";"";0)</f>
        <v/>
      </c>
      <c r="D1627">
        <f>SE(Gastos!A128="";"";Gastos!F128)</f>
        <v/>
      </c>
    </row>
    <row r="1628">
      <c r="A1628">
        <f>SE(Gastos!A129="";"";Gastos!A129)</f>
        <v/>
      </c>
      <c r="B1628">
        <f>SE(Gastos!A129="";"";Gastos!B129&amp;" - "&amp;Gastos!C129)</f>
        <v/>
      </c>
      <c r="C1628">
        <f>SE(Gastos!A129="";"";0)</f>
        <v/>
      </c>
      <c r="D1628">
        <f>SE(Gastos!A129="";"";Gastos!F129)</f>
        <v/>
      </c>
    </row>
    <row r="1629">
      <c r="A1629">
        <f>SE(Gastos!A130="";"";Gastos!A130)</f>
        <v/>
      </c>
      <c r="B1629">
        <f>SE(Gastos!A130="";"";Gastos!B130&amp;" - "&amp;Gastos!C130)</f>
        <v/>
      </c>
      <c r="C1629">
        <f>SE(Gastos!A130="";"";0)</f>
        <v/>
      </c>
      <c r="D1629">
        <f>SE(Gastos!A130="";"";Gastos!F130)</f>
        <v/>
      </c>
    </row>
    <row r="1630">
      <c r="A1630">
        <f>SE(Gastos!A131="";"";Gastos!A131)</f>
        <v/>
      </c>
      <c r="B1630">
        <f>SE(Gastos!A131="";"";Gastos!B131&amp;" - "&amp;Gastos!C131)</f>
        <v/>
      </c>
      <c r="C1630">
        <f>SE(Gastos!A131="";"";0)</f>
        <v/>
      </c>
      <c r="D1630">
        <f>SE(Gastos!A131="";"";Gastos!F131)</f>
        <v/>
      </c>
    </row>
    <row r="1631">
      <c r="A1631">
        <f>SE(Gastos!A132="";"";Gastos!A132)</f>
        <v/>
      </c>
      <c r="B1631">
        <f>SE(Gastos!A132="";"";Gastos!B132&amp;" - "&amp;Gastos!C132)</f>
        <v/>
      </c>
      <c r="C1631">
        <f>SE(Gastos!A132="";"";0)</f>
        <v/>
      </c>
      <c r="D1631">
        <f>SE(Gastos!A132="";"";Gastos!F132)</f>
        <v/>
      </c>
    </row>
    <row r="1632">
      <c r="A1632">
        <f>SE(Gastos!A133="";"";Gastos!A133)</f>
        <v/>
      </c>
      <c r="B1632">
        <f>SE(Gastos!A133="";"";Gastos!B133&amp;" - "&amp;Gastos!C133)</f>
        <v/>
      </c>
      <c r="C1632">
        <f>SE(Gastos!A133="";"";0)</f>
        <v/>
      </c>
      <c r="D1632">
        <f>SE(Gastos!A133="";"";Gastos!F133)</f>
        <v/>
      </c>
    </row>
    <row r="1633">
      <c r="A1633">
        <f>SE(Gastos!A134="";"";Gastos!A134)</f>
        <v/>
      </c>
      <c r="B1633">
        <f>SE(Gastos!A134="";"";Gastos!B134&amp;" - "&amp;Gastos!C134)</f>
        <v/>
      </c>
      <c r="C1633">
        <f>SE(Gastos!A134="";"";0)</f>
        <v/>
      </c>
      <c r="D1633">
        <f>SE(Gastos!A134="";"";Gastos!F134)</f>
        <v/>
      </c>
    </row>
    <row r="1634">
      <c r="A1634">
        <f>SE(Gastos!A135="";"";Gastos!A135)</f>
        <v/>
      </c>
      <c r="B1634">
        <f>SE(Gastos!A135="";"";Gastos!B135&amp;" - "&amp;Gastos!C135)</f>
        <v/>
      </c>
      <c r="C1634">
        <f>SE(Gastos!A135="";"";0)</f>
        <v/>
      </c>
      <c r="D1634">
        <f>SE(Gastos!A135="";"";Gastos!F135)</f>
        <v/>
      </c>
    </row>
    <row r="1635">
      <c r="A1635">
        <f>SE(Gastos!A136="";"";Gastos!A136)</f>
        <v/>
      </c>
      <c r="B1635">
        <f>SE(Gastos!A136="";"";Gastos!B136&amp;" - "&amp;Gastos!C136)</f>
        <v/>
      </c>
      <c r="C1635">
        <f>SE(Gastos!A136="";"";0)</f>
        <v/>
      </c>
      <c r="D1635">
        <f>SE(Gastos!A136="";"";Gastos!F136)</f>
        <v/>
      </c>
    </row>
    <row r="1636">
      <c r="A1636">
        <f>SE(Gastos!A137="";"";Gastos!A137)</f>
        <v/>
      </c>
      <c r="B1636">
        <f>SE(Gastos!A137="";"";Gastos!B137&amp;" - "&amp;Gastos!C137)</f>
        <v/>
      </c>
      <c r="C1636">
        <f>SE(Gastos!A137="";"";0)</f>
        <v/>
      </c>
      <c r="D1636">
        <f>SE(Gastos!A137="";"";Gastos!F137)</f>
        <v/>
      </c>
    </row>
    <row r="1637">
      <c r="A1637">
        <f>SE(Gastos!A138="";"";Gastos!A138)</f>
        <v/>
      </c>
      <c r="B1637">
        <f>SE(Gastos!A138="";"";Gastos!B138&amp;" - "&amp;Gastos!C138)</f>
        <v/>
      </c>
      <c r="C1637">
        <f>SE(Gastos!A138="";"";0)</f>
        <v/>
      </c>
      <c r="D1637">
        <f>SE(Gastos!A138="";"";Gastos!F138)</f>
        <v/>
      </c>
    </row>
    <row r="1638">
      <c r="A1638">
        <f>SE(Gastos!A139="";"";Gastos!A139)</f>
        <v/>
      </c>
      <c r="B1638">
        <f>SE(Gastos!A139="";"";Gastos!B139&amp;" - "&amp;Gastos!C139)</f>
        <v/>
      </c>
      <c r="C1638">
        <f>SE(Gastos!A139="";"";0)</f>
        <v/>
      </c>
      <c r="D1638">
        <f>SE(Gastos!A139="";"";Gastos!F139)</f>
        <v/>
      </c>
    </row>
    <row r="1639">
      <c r="A1639">
        <f>SE(Gastos!A140="";"";Gastos!A140)</f>
        <v/>
      </c>
      <c r="B1639">
        <f>SE(Gastos!A140="";"";Gastos!B140&amp;" - "&amp;Gastos!C140)</f>
        <v/>
      </c>
      <c r="C1639">
        <f>SE(Gastos!A140="";"";0)</f>
        <v/>
      </c>
      <c r="D1639">
        <f>SE(Gastos!A140="";"";Gastos!F140)</f>
        <v/>
      </c>
    </row>
    <row r="1640">
      <c r="A1640">
        <f>SE(Gastos!A141="";"";Gastos!A141)</f>
        <v/>
      </c>
      <c r="B1640">
        <f>SE(Gastos!A141="";"";Gastos!B141&amp;" - "&amp;Gastos!C141)</f>
        <v/>
      </c>
      <c r="C1640">
        <f>SE(Gastos!A141="";"";0)</f>
        <v/>
      </c>
      <c r="D1640">
        <f>SE(Gastos!A141="";"";Gastos!F141)</f>
        <v/>
      </c>
    </row>
    <row r="1641">
      <c r="A1641">
        <f>SE(Gastos!A142="";"";Gastos!A142)</f>
        <v/>
      </c>
      <c r="B1641">
        <f>SE(Gastos!A142="";"";Gastos!B142&amp;" - "&amp;Gastos!C142)</f>
        <v/>
      </c>
      <c r="C1641">
        <f>SE(Gastos!A142="";"";0)</f>
        <v/>
      </c>
      <c r="D1641">
        <f>SE(Gastos!A142="";"";Gastos!F142)</f>
        <v/>
      </c>
    </row>
    <row r="1642">
      <c r="A1642">
        <f>SE(Gastos!A143="";"";Gastos!A143)</f>
        <v/>
      </c>
      <c r="B1642">
        <f>SE(Gastos!A143="";"";Gastos!B143&amp;" - "&amp;Gastos!C143)</f>
        <v/>
      </c>
      <c r="C1642">
        <f>SE(Gastos!A143="";"";0)</f>
        <v/>
      </c>
      <c r="D1642">
        <f>SE(Gastos!A143="";"";Gastos!F143)</f>
        <v/>
      </c>
    </row>
    <row r="1643">
      <c r="A1643">
        <f>SE(Gastos!A144="";"";Gastos!A144)</f>
        <v/>
      </c>
      <c r="B1643">
        <f>SE(Gastos!A144="";"";Gastos!B144&amp;" - "&amp;Gastos!C144)</f>
        <v/>
      </c>
      <c r="C1643">
        <f>SE(Gastos!A144="";"";0)</f>
        <v/>
      </c>
      <c r="D1643">
        <f>SE(Gastos!A144="";"";Gastos!F144)</f>
        <v/>
      </c>
    </row>
    <row r="1644">
      <c r="A1644">
        <f>SE(Gastos!A145="";"";Gastos!A145)</f>
        <v/>
      </c>
      <c r="B1644">
        <f>SE(Gastos!A145="";"";Gastos!B145&amp;" - "&amp;Gastos!C145)</f>
        <v/>
      </c>
      <c r="C1644">
        <f>SE(Gastos!A145="";"";0)</f>
        <v/>
      </c>
      <c r="D1644">
        <f>SE(Gastos!A145="";"";Gastos!F145)</f>
        <v/>
      </c>
    </row>
    <row r="1645">
      <c r="A1645">
        <f>SE(Gastos!A146="";"";Gastos!A146)</f>
        <v/>
      </c>
      <c r="B1645">
        <f>SE(Gastos!A146="";"";Gastos!B146&amp;" - "&amp;Gastos!C146)</f>
        <v/>
      </c>
      <c r="C1645">
        <f>SE(Gastos!A146="";"";0)</f>
        <v/>
      </c>
      <c r="D1645">
        <f>SE(Gastos!A146="";"";Gastos!F146)</f>
        <v/>
      </c>
    </row>
    <row r="1646">
      <c r="A1646">
        <f>SE(Gastos!A147="";"";Gastos!A147)</f>
        <v/>
      </c>
      <c r="B1646">
        <f>SE(Gastos!A147="";"";Gastos!B147&amp;" - "&amp;Gastos!C147)</f>
        <v/>
      </c>
      <c r="C1646">
        <f>SE(Gastos!A147="";"";0)</f>
        <v/>
      </c>
      <c r="D1646">
        <f>SE(Gastos!A147="";"";Gastos!F147)</f>
        <v/>
      </c>
    </row>
    <row r="1647">
      <c r="A1647">
        <f>SE(Gastos!A148="";"";Gastos!A148)</f>
        <v/>
      </c>
      <c r="B1647">
        <f>SE(Gastos!A148="";"";Gastos!B148&amp;" - "&amp;Gastos!C148)</f>
        <v/>
      </c>
      <c r="C1647">
        <f>SE(Gastos!A148="";"";0)</f>
        <v/>
      </c>
      <c r="D1647">
        <f>SE(Gastos!A148="";"";Gastos!F148)</f>
        <v/>
      </c>
    </row>
    <row r="1648">
      <c r="A1648">
        <f>SE(Gastos!A149="";"";Gastos!A149)</f>
        <v/>
      </c>
      <c r="B1648">
        <f>SE(Gastos!A149="";"";Gastos!B149&amp;" - "&amp;Gastos!C149)</f>
        <v/>
      </c>
      <c r="C1648">
        <f>SE(Gastos!A149="";"";0)</f>
        <v/>
      </c>
      <c r="D1648">
        <f>SE(Gastos!A149="";"";Gastos!F149)</f>
        <v/>
      </c>
    </row>
    <row r="1649">
      <c r="A1649">
        <f>SE(Gastos!A150="";"";Gastos!A150)</f>
        <v/>
      </c>
      <c r="B1649">
        <f>SE(Gastos!A150="";"";Gastos!B150&amp;" - "&amp;Gastos!C150)</f>
        <v/>
      </c>
      <c r="C1649">
        <f>SE(Gastos!A150="";"";0)</f>
        <v/>
      </c>
      <c r="D1649">
        <f>SE(Gastos!A150="";"";Gastos!F150)</f>
        <v/>
      </c>
    </row>
    <row r="1650">
      <c r="A1650">
        <f>SE(Gastos!A151="";"";Gastos!A151)</f>
        <v/>
      </c>
      <c r="B1650">
        <f>SE(Gastos!A151="";"";Gastos!B151&amp;" - "&amp;Gastos!C151)</f>
        <v/>
      </c>
      <c r="C1650">
        <f>SE(Gastos!A151="";"";0)</f>
        <v/>
      </c>
      <c r="D1650">
        <f>SE(Gastos!A151="";"";Gastos!F151)</f>
        <v/>
      </c>
    </row>
    <row r="1651">
      <c r="A1651">
        <f>SE(Gastos!A152="";"";Gastos!A152)</f>
        <v/>
      </c>
      <c r="B1651">
        <f>SE(Gastos!A152="";"";Gastos!B152&amp;" - "&amp;Gastos!C152)</f>
        <v/>
      </c>
      <c r="C1651">
        <f>SE(Gastos!A152="";"";0)</f>
        <v/>
      </c>
      <c r="D1651">
        <f>SE(Gastos!A152="";"";Gastos!F152)</f>
        <v/>
      </c>
    </row>
    <row r="1652">
      <c r="A1652">
        <f>SE(Gastos!A153="";"";Gastos!A153)</f>
        <v/>
      </c>
      <c r="B1652">
        <f>SE(Gastos!A153="";"";Gastos!B153&amp;" - "&amp;Gastos!C153)</f>
        <v/>
      </c>
      <c r="C1652">
        <f>SE(Gastos!A153="";"";0)</f>
        <v/>
      </c>
      <c r="D1652">
        <f>SE(Gastos!A153="";"";Gastos!F153)</f>
        <v/>
      </c>
    </row>
    <row r="1653">
      <c r="A1653">
        <f>SE(Gastos!A154="";"";Gastos!A154)</f>
        <v/>
      </c>
      <c r="B1653">
        <f>SE(Gastos!A154="";"";Gastos!B154&amp;" - "&amp;Gastos!C154)</f>
        <v/>
      </c>
      <c r="C1653">
        <f>SE(Gastos!A154="";"";0)</f>
        <v/>
      </c>
      <c r="D1653">
        <f>SE(Gastos!A154="";"";Gastos!F154)</f>
        <v/>
      </c>
    </row>
    <row r="1654">
      <c r="A1654">
        <f>SE(Gastos!A155="";"";Gastos!A155)</f>
        <v/>
      </c>
      <c r="B1654">
        <f>SE(Gastos!A155="";"";Gastos!B155&amp;" - "&amp;Gastos!C155)</f>
        <v/>
      </c>
      <c r="C1654">
        <f>SE(Gastos!A155="";"";0)</f>
        <v/>
      </c>
      <c r="D1654">
        <f>SE(Gastos!A155="";"";Gastos!F155)</f>
        <v/>
      </c>
    </row>
    <row r="1655">
      <c r="A1655">
        <f>SE(Gastos!A156="";"";Gastos!A156)</f>
        <v/>
      </c>
      <c r="B1655">
        <f>SE(Gastos!A156="";"";Gastos!B156&amp;" - "&amp;Gastos!C156)</f>
        <v/>
      </c>
      <c r="C1655">
        <f>SE(Gastos!A156="";"";0)</f>
        <v/>
      </c>
      <c r="D1655">
        <f>SE(Gastos!A156="";"";Gastos!F156)</f>
        <v/>
      </c>
    </row>
    <row r="1656">
      <c r="A1656">
        <f>SE(Gastos!A157="";"";Gastos!A157)</f>
        <v/>
      </c>
      <c r="B1656">
        <f>SE(Gastos!A157="";"";Gastos!B157&amp;" - "&amp;Gastos!C157)</f>
        <v/>
      </c>
      <c r="C1656">
        <f>SE(Gastos!A157="";"";0)</f>
        <v/>
      </c>
      <c r="D1656">
        <f>SE(Gastos!A157="";"";Gastos!F157)</f>
        <v/>
      </c>
    </row>
    <row r="1657">
      <c r="A1657">
        <f>SE(Gastos!A158="";"";Gastos!A158)</f>
        <v/>
      </c>
      <c r="B1657">
        <f>SE(Gastos!A158="";"";Gastos!B158&amp;" - "&amp;Gastos!C158)</f>
        <v/>
      </c>
      <c r="C1657">
        <f>SE(Gastos!A158="";"";0)</f>
        <v/>
      </c>
      <c r="D1657">
        <f>SE(Gastos!A158="";"";Gastos!F158)</f>
        <v/>
      </c>
    </row>
    <row r="1658">
      <c r="A1658">
        <f>SE(Gastos!A159="";"";Gastos!A159)</f>
        <v/>
      </c>
      <c r="B1658">
        <f>SE(Gastos!A159="";"";Gastos!B159&amp;" - "&amp;Gastos!C159)</f>
        <v/>
      </c>
      <c r="C1658">
        <f>SE(Gastos!A159="";"";0)</f>
        <v/>
      </c>
      <c r="D1658">
        <f>SE(Gastos!A159="";"";Gastos!F159)</f>
        <v/>
      </c>
    </row>
    <row r="1659">
      <c r="A1659">
        <f>SE(Gastos!A160="";"";Gastos!A160)</f>
        <v/>
      </c>
      <c r="B1659">
        <f>SE(Gastos!A160="";"";Gastos!B160&amp;" - "&amp;Gastos!C160)</f>
        <v/>
      </c>
      <c r="C1659">
        <f>SE(Gastos!A160="";"";0)</f>
        <v/>
      </c>
      <c r="D1659">
        <f>SE(Gastos!A160="";"";Gastos!F160)</f>
        <v/>
      </c>
    </row>
    <row r="1660">
      <c r="A1660">
        <f>SE(Gastos!A161="";"";Gastos!A161)</f>
        <v/>
      </c>
      <c r="B1660">
        <f>SE(Gastos!A161="";"";Gastos!B161&amp;" - "&amp;Gastos!C161)</f>
        <v/>
      </c>
      <c r="C1660">
        <f>SE(Gastos!A161="";"";0)</f>
        <v/>
      </c>
      <c r="D1660">
        <f>SE(Gastos!A161="";"";Gastos!F161)</f>
        <v/>
      </c>
    </row>
    <row r="1661">
      <c r="A1661">
        <f>SE(Gastos!A162="";"";Gastos!A162)</f>
        <v/>
      </c>
      <c r="B1661">
        <f>SE(Gastos!A162="";"";Gastos!B162&amp;" - "&amp;Gastos!C162)</f>
        <v/>
      </c>
      <c r="C1661">
        <f>SE(Gastos!A162="";"";0)</f>
        <v/>
      </c>
      <c r="D1661">
        <f>SE(Gastos!A162="";"";Gastos!F162)</f>
        <v/>
      </c>
    </row>
    <row r="1662">
      <c r="A1662">
        <f>SE(Gastos!A163="";"";Gastos!A163)</f>
        <v/>
      </c>
      <c r="B1662">
        <f>SE(Gastos!A163="";"";Gastos!B163&amp;" - "&amp;Gastos!C163)</f>
        <v/>
      </c>
      <c r="C1662">
        <f>SE(Gastos!A163="";"";0)</f>
        <v/>
      </c>
      <c r="D1662">
        <f>SE(Gastos!A163="";"";Gastos!F163)</f>
        <v/>
      </c>
    </row>
    <row r="1663">
      <c r="A1663">
        <f>SE(Gastos!A164="";"";Gastos!A164)</f>
        <v/>
      </c>
      <c r="B1663">
        <f>SE(Gastos!A164="";"";Gastos!B164&amp;" - "&amp;Gastos!C164)</f>
        <v/>
      </c>
      <c r="C1663">
        <f>SE(Gastos!A164="";"";0)</f>
        <v/>
      </c>
      <c r="D1663">
        <f>SE(Gastos!A164="";"";Gastos!F164)</f>
        <v/>
      </c>
    </row>
    <row r="1664">
      <c r="A1664">
        <f>SE(Gastos!A165="";"";Gastos!A165)</f>
        <v/>
      </c>
      <c r="B1664">
        <f>SE(Gastos!A165="";"";Gastos!B165&amp;" - "&amp;Gastos!C165)</f>
        <v/>
      </c>
      <c r="C1664">
        <f>SE(Gastos!A165="";"";0)</f>
        <v/>
      </c>
      <c r="D1664">
        <f>SE(Gastos!A165="";"";Gastos!F165)</f>
        <v/>
      </c>
    </row>
    <row r="1665">
      <c r="A1665">
        <f>SE(Gastos!A166="";"";Gastos!A166)</f>
        <v/>
      </c>
      <c r="B1665">
        <f>SE(Gastos!A166="";"";Gastos!B166&amp;" - "&amp;Gastos!C166)</f>
        <v/>
      </c>
      <c r="C1665">
        <f>SE(Gastos!A166="";"";0)</f>
        <v/>
      </c>
      <c r="D1665">
        <f>SE(Gastos!A166="";"";Gastos!F166)</f>
        <v/>
      </c>
    </row>
    <row r="1666">
      <c r="A1666">
        <f>SE(Gastos!A167="";"";Gastos!A167)</f>
        <v/>
      </c>
      <c r="B1666">
        <f>SE(Gastos!A167="";"";Gastos!B167&amp;" - "&amp;Gastos!C167)</f>
        <v/>
      </c>
      <c r="C1666">
        <f>SE(Gastos!A167="";"";0)</f>
        <v/>
      </c>
      <c r="D1666">
        <f>SE(Gastos!A167="";"";Gastos!F167)</f>
        <v/>
      </c>
    </row>
    <row r="1667">
      <c r="A1667">
        <f>SE(Gastos!A168="";"";Gastos!A168)</f>
        <v/>
      </c>
      <c r="B1667">
        <f>SE(Gastos!A168="";"";Gastos!B168&amp;" - "&amp;Gastos!C168)</f>
        <v/>
      </c>
      <c r="C1667">
        <f>SE(Gastos!A168="";"";0)</f>
        <v/>
      </c>
      <c r="D1667">
        <f>SE(Gastos!A168="";"";Gastos!F168)</f>
        <v/>
      </c>
    </row>
    <row r="1668">
      <c r="A1668">
        <f>SE(Gastos!A169="";"";Gastos!A169)</f>
        <v/>
      </c>
      <c r="B1668">
        <f>SE(Gastos!A169="";"";Gastos!B169&amp;" - "&amp;Gastos!C169)</f>
        <v/>
      </c>
      <c r="C1668">
        <f>SE(Gastos!A169="";"";0)</f>
        <v/>
      </c>
      <c r="D1668">
        <f>SE(Gastos!A169="";"";Gastos!F169)</f>
        <v/>
      </c>
    </row>
    <row r="1669">
      <c r="A1669">
        <f>SE(Gastos!A170="";"";Gastos!A170)</f>
        <v/>
      </c>
      <c r="B1669">
        <f>SE(Gastos!A170="";"";Gastos!B170&amp;" - "&amp;Gastos!C170)</f>
        <v/>
      </c>
      <c r="C1669">
        <f>SE(Gastos!A170="";"";0)</f>
        <v/>
      </c>
      <c r="D1669">
        <f>SE(Gastos!A170="";"";Gastos!F170)</f>
        <v/>
      </c>
    </row>
    <row r="1670">
      <c r="A1670">
        <f>SE(Gastos!A171="";"";Gastos!A171)</f>
        <v/>
      </c>
      <c r="B1670">
        <f>SE(Gastos!A171="";"";Gastos!B171&amp;" - "&amp;Gastos!C171)</f>
        <v/>
      </c>
      <c r="C1670">
        <f>SE(Gastos!A171="";"";0)</f>
        <v/>
      </c>
      <c r="D1670">
        <f>SE(Gastos!A171="";"";Gastos!F171)</f>
        <v/>
      </c>
    </row>
    <row r="1671">
      <c r="A1671">
        <f>SE(Gastos!A172="";"";Gastos!A172)</f>
        <v/>
      </c>
      <c r="B1671">
        <f>SE(Gastos!A172="";"";Gastos!B172&amp;" - "&amp;Gastos!C172)</f>
        <v/>
      </c>
      <c r="C1671">
        <f>SE(Gastos!A172="";"";0)</f>
        <v/>
      </c>
      <c r="D1671">
        <f>SE(Gastos!A172="";"";Gastos!F172)</f>
        <v/>
      </c>
    </row>
    <row r="1672">
      <c r="A1672">
        <f>SE(Gastos!A173="";"";Gastos!A173)</f>
        <v/>
      </c>
      <c r="B1672">
        <f>SE(Gastos!A173="";"";Gastos!B173&amp;" - "&amp;Gastos!C173)</f>
        <v/>
      </c>
      <c r="C1672">
        <f>SE(Gastos!A173="";"";0)</f>
        <v/>
      </c>
      <c r="D1672">
        <f>SE(Gastos!A173="";"";Gastos!F173)</f>
        <v/>
      </c>
    </row>
    <row r="1673">
      <c r="A1673">
        <f>SE(Gastos!A174="";"";Gastos!A174)</f>
        <v/>
      </c>
      <c r="B1673">
        <f>SE(Gastos!A174="";"";Gastos!B174&amp;" - "&amp;Gastos!C174)</f>
        <v/>
      </c>
      <c r="C1673">
        <f>SE(Gastos!A174="";"";0)</f>
        <v/>
      </c>
      <c r="D1673">
        <f>SE(Gastos!A174="";"";Gastos!F174)</f>
        <v/>
      </c>
    </row>
    <row r="1674">
      <c r="A1674">
        <f>SE(Gastos!A175="";"";Gastos!A175)</f>
        <v/>
      </c>
      <c r="B1674">
        <f>SE(Gastos!A175="";"";Gastos!B175&amp;" - "&amp;Gastos!C175)</f>
        <v/>
      </c>
      <c r="C1674">
        <f>SE(Gastos!A175="";"";0)</f>
        <v/>
      </c>
      <c r="D1674">
        <f>SE(Gastos!A175="";"";Gastos!F175)</f>
        <v/>
      </c>
    </row>
    <row r="1675">
      <c r="A1675">
        <f>SE(Gastos!A176="";"";Gastos!A176)</f>
        <v/>
      </c>
      <c r="B1675">
        <f>SE(Gastos!A176="";"";Gastos!B176&amp;" - "&amp;Gastos!C176)</f>
        <v/>
      </c>
      <c r="C1675">
        <f>SE(Gastos!A176="";"";0)</f>
        <v/>
      </c>
      <c r="D1675">
        <f>SE(Gastos!A176="";"";Gastos!F176)</f>
        <v/>
      </c>
    </row>
    <row r="1676">
      <c r="A1676">
        <f>SE(Gastos!A177="";"";Gastos!A177)</f>
        <v/>
      </c>
      <c r="B1676">
        <f>SE(Gastos!A177="";"";Gastos!B177&amp;" - "&amp;Gastos!C177)</f>
        <v/>
      </c>
      <c r="C1676">
        <f>SE(Gastos!A177="";"";0)</f>
        <v/>
      </c>
      <c r="D1676">
        <f>SE(Gastos!A177="";"";Gastos!F177)</f>
        <v/>
      </c>
    </row>
    <row r="1677">
      <c r="A1677">
        <f>SE(Gastos!A178="";"";Gastos!A178)</f>
        <v/>
      </c>
      <c r="B1677">
        <f>SE(Gastos!A178="";"";Gastos!B178&amp;" - "&amp;Gastos!C178)</f>
        <v/>
      </c>
      <c r="C1677">
        <f>SE(Gastos!A178="";"";0)</f>
        <v/>
      </c>
      <c r="D1677">
        <f>SE(Gastos!A178="";"";Gastos!F178)</f>
        <v/>
      </c>
    </row>
    <row r="1678">
      <c r="A1678">
        <f>SE(Gastos!A179="";"";Gastos!A179)</f>
        <v/>
      </c>
      <c r="B1678">
        <f>SE(Gastos!A179="";"";Gastos!B179&amp;" - "&amp;Gastos!C179)</f>
        <v/>
      </c>
      <c r="C1678">
        <f>SE(Gastos!A179="";"";0)</f>
        <v/>
      </c>
      <c r="D1678">
        <f>SE(Gastos!A179="";"";Gastos!F179)</f>
        <v/>
      </c>
    </row>
    <row r="1679">
      <c r="A1679">
        <f>SE(Gastos!A180="";"";Gastos!A180)</f>
        <v/>
      </c>
      <c r="B1679">
        <f>SE(Gastos!A180="";"";Gastos!B180&amp;" - "&amp;Gastos!C180)</f>
        <v/>
      </c>
      <c r="C1679">
        <f>SE(Gastos!A180="";"";0)</f>
        <v/>
      </c>
      <c r="D1679">
        <f>SE(Gastos!A180="";"";Gastos!F180)</f>
        <v/>
      </c>
    </row>
    <row r="1680">
      <c r="A1680">
        <f>SE(Gastos!A181="";"";Gastos!A181)</f>
        <v/>
      </c>
      <c r="B1680">
        <f>SE(Gastos!A181="";"";Gastos!B181&amp;" - "&amp;Gastos!C181)</f>
        <v/>
      </c>
      <c r="C1680">
        <f>SE(Gastos!A181="";"";0)</f>
        <v/>
      </c>
      <c r="D1680">
        <f>SE(Gastos!A181="";"";Gastos!F181)</f>
        <v/>
      </c>
    </row>
    <row r="1681">
      <c r="A1681">
        <f>SE(Gastos!A182="";"";Gastos!A182)</f>
        <v/>
      </c>
      <c r="B1681">
        <f>SE(Gastos!A182="";"";Gastos!B182&amp;" - "&amp;Gastos!C182)</f>
        <v/>
      </c>
      <c r="C1681">
        <f>SE(Gastos!A182="";"";0)</f>
        <v/>
      </c>
      <c r="D1681">
        <f>SE(Gastos!A182="";"";Gastos!F182)</f>
        <v/>
      </c>
    </row>
    <row r="1682">
      <c r="A1682">
        <f>SE(Gastos!A183="";"";Gastos!A183)</f>
        <v/>
      </c>
      <c r="B1682">
        <f>SE(Gastos!A183="";"";Gastos!B183&amp;" - "&amp;Gastos!C183)</f>
        <v/>
      </c>
      <c r="C1682">
        <f>SE(Gastos!A183="";"";0)</f>
        <v/>
      </c>
      <c r="D1682">
        <f>SE(Gastos!A183="";"";Gastos!F183)</f>
        <v/>
      </c>
    </row>
    <row r="1683">
      <c r="A1683">
        <f>SE(Gastos!A184="";"";Gastos!A184)</f>
        <v/>
      </c>
      <c r="B1683">
        <f>SE(Gastos!A184="";"";Gastos!B184&amp;" - "&amp;Gastos!C184)</f>
        <v/>
      </c>
      <c r="C1683">
        <f>SE(Gastos!A184="";"";0)</f>
        <v/>
      </c>
      <c r="D1683">
        <f>SE(Gastos!A184="";"";Gastos!F184)</f>
        <v/>
      </c>
    </row>
    <row r="1684">
      <c r="A1684">
        <f>SE(Gastos!A185="";"";Gastos!A185)</f>
        <v/>
      </c>
      <c r="B1684">
        <f>SE(Gastos!A185="";"";Gastos!B185&amp;" - "&amp;Gastos!C185)</f>
        <v/>
      </c>
      <c r="C1684">
        <f>SE(Gastos!A185="";"";0)</f>
        <v/>
      </c>
      <c r="D1684">
        <f>SE(Gastos!A185="";"";Gastos!F185)</f>
        <v/>
      </c>
    </row>
    <row r="1685">
      <c r="A1685">
        <f>SE(Gastos!A186="";"";Gastos!A186)</f>
        <v/>
      </c>
      <c r="B1685">
        <f>SE(Gastos!A186="";"";Gastos!B186&amp;" - "&amp;Gastos!C186)</f>
        <v/>
      </c>
      <c r="C1685">
        <f>SE(Gastos!A186="";"";0)</f>
        <v/>
      </c>
      <c r="D1685">
        <f>SE(Gastos!A186="";"";Gastos!F186)</f>
        <v/>
      </c>
    </row>
    <row r="1686">
      <c r="A1686">
        <f>SE(Gastos!A187="";"";Gastos!A187)</f>
        <v/>
      </c>
      <c r="B1686">
        <f>SE(Gastos!A187="";"";Gastos!B187&amp;" - "&amp;Gastos!C187)</f>
        <v/>
      </c>
      <c r="C1686">
        <f>SE(Gastos!A187="";"";0)</f>
        <v/>
      </c>
      <c r="D1686">
        <f>SE(Gastos!A187="";"";Gastos!F187)</f>
        <v/>
      </c>
    </row>
    <row r="1687">
      <c r="A1687">
        <f>SE(Gastos!A188="";"";Gastos!A188)</f>
        <v/>
      </c>
      <c r="B1687">
        <f>SE(Gastos!A188="";"";Gastos!B188&amp;" - "&amp;Gastos!C188)</f>
        <v/>
      </c>
      <c r="C1687">
        <f>SE(Gastos!A188="";"";0)</f>
        <v/>
      </c>
      <c r="D1687">
        <f>SE(Gastos!A188="";"";Gastos!F188)</f>
        <v/>
      </c>
    </row>
    <row r="1688">
      <c r="A1688">
        <f>SE(Gastos!A189="";"";Gastos!A189)</f>
        <v/>
      </c>
      <c r="B1688">
        <f>SE(Gastos!A189="";"";Gastos!B189&amp;" - "&amp;Gastos!C189)</f>
        <v/>
      </c>
      <c r="C1688">
        <f>SE(Gastos!A189="";"";0)</f>
        <v/>
      </c>
      <c r="D1688">
        <f>SE(Gastos!A189="";"";Gastos!F189)</f>
        <v/>
      </c>
    </row>
    <row r="1689">
      <c r="A1689">
        <f>SE(Gastos!A190="";"";Gastos!A190)</f>
        <v/>
      </c>
      <c r="B1689">
        <f>SE(Gastos!A190="";"";Gastos!B190&amp;" - "&amp;Gastos!C190)</f>
        <v/>
      </c>
      <c r="C1689">
        <f>SE(Gastos!A190="";"";0)</f>
        <v/>
      </c>
      <c r="D1689">
        <f>SE(Gastos!A190="";"";Gastos!F190)</f>
        <v/>
      </c>
    </row>
    <row r="1690">
      <c r="A1690">
        <f>SE(Gastos!A191="";"";Gastos!A191)</f>
        <v/>
      </c>
      <c r="B1690">
        <f>SE(Gastos!A191="";"";Gastos!B191&amp;" - "&amp;Gastos!C191)</f>
        <v/>
      </c>
      <c r="C1690">
        <f>SE(Gastos!A191="";"";0)</f>
        <v/>
      </c>
      <c r="D1690">
        <f>SE(Gastos!A191="";"";Gastos!F191)</f>
        <v/>
      </c>
    </row>
    <row r="1691">
      <c r="A1691">
        <f>SE(Gastos!A192="";"";Gastos!A192)</f>
        <v/>
      </c>
      <c r="B1691">
        <f>SE(Gastos!A192="";"";Gastos!B192&amp;" - "&amp;Gastos!C192)</f>
        <v/>
      </c>
      <c r="C1691">
        <f>SE(Gastos!A192="";"";0)</f>
        <v/>
      </c>
      <c r="D1691">
        <f>SE(Gastos!A192="";"";Gastos!F192)</f>
        <v/>
      </c>
    </row>
    <row r="1692">
      <c r="A1692">
        <f>SE(Gastos!A193="";"";Gastos!A193)</f>
        <v/>
      </c>
      <c r="B1692">
        <f>SE(Gastos!A193="";"";Gastos!B193&amp;" - "&amp;Gastos!C193)</f>
        <v/>
      </c>
      <c r="C1692">
        <f>SE(Gastos!A193="";"";0)</f>
        <v/>
      </c>
      <c r="D1692">
        <f>SE(Gastos!A193="";"";Gastos!F193)</f>
        <v/>
      </c>
    </row>
    <row r="1693">
      <c r="A1693">
        <f>SE(Gastos!A194="";"";Gastos!A194)</f>
        <v/>
      </c>
      <c r="B1693">
        <f>SE(Gastos!A194="";"";Gastos!B194&amp;" - "&amp;Gastos!C194)</f>
        <v/>
      </c>
      <c r="C1693">
        <f>SE(Gastos!A194="";"";0)</f>
        <v/>
      </c>
      <c r="D1693">
        <f>SE(Gastos!A194="";"";Gastos!F194)</f>
        <v/>
      </c>
    </row>
    <row r="1694">
      <c r="A1694">
        <f>SE(Gastos!A195="";"";Gastos!A195)</f>
        <v/>
      </c>
      <c r="B1694">
        <f>SE(Gastos!A195="";"";Gastos!B195&amp;" - "&amp;Gastos!C195)</f>
        <v/>
      </c>
      <c r="C1694">
        <f>SE(Gastos!A195="";"";0)</f>
        <v/>
      </c>
      <c r="D1694">
        <f>SE(Gastos!A195="";"";Gastos!F195)</f>
        <v/>
      </c>
    </row>
    <row r="1695">
      <c r="A1695">
        <f>SE(Gastos!A196="";"";Gastos!A196)</f>
        <v/>
      </c>
      <c r="B1695">
        <f>SE(Gastos!A196="";"";Gastos!B196&amp;" - "&amp;Gastos!C196)</f>
        <v/>
      </c>
      <c r="C1695">
        <f>SE(Gastos!A196="";"";0)</f>
        <v/>
      </c>
      <c r="D1695">
        <f>SE(Gastos!A196="";"";Gastos!F196)</f>
        <v/>
      </c>
    </row>
    <row r="1696">
      <c r="A1696">
        <f>SE(Gastos!A197="";"";Gastos!A197)</f>
        <v/>
      </c>
      <c r="B1696">
        <f>SE(Gastos!A197="";"";Gastos!B197&amp;" - "&amp;Gastos!C197)</f>
        <v/>
      </c>
      <c r="C1696">
        <f>SE(Gastos!A197="";"";0)</f>
        <v/>
      </c>
      <c r="D1696">
        <f>SE(Gastos!A197="";"";Gastos!F197)</f>
        <v/>
      </c>
    </row>
    <row r="1697">
      <c r="A1697">
        <f>SE(Gastos!A198="";"";Gastos!A198)</f>
        <v/>
      </c>
      <c r="B1697">
        <f>SE(Gastos!A198="";"";Gastos!B198&amp;" - "&amp;Gastos!C198)</f>
        <v/>
      </c>
      <c r="C1697">
        <f>SE(Gastos!A198="";"";0)</f>
        <v/>
      </c>
      <c r="D1697">
        <f>SE(Gastos!A198="";"";Gastos!F198)</f>
        <v/>
      </c>
    </row>
    <row r="1698">
      <c r="A1698">
        <f>SE(Gastos!A199="";"";Gastos!A199)</f>
        <v/>
      </c>
      <c r="B1698">
        <f>SE(Gastos!A199="";"";Gastos!B199&amp;" - "&amp;Gastos!C199)</f>
        <v/>
      </c>
      <c r="C1698">
        <f>SE(Gastos!A199="";"";0)</f>
        <v/>
      </c>
      <c r="D1698">
        <f>SE(Gastos!A199="";"";Gastos!F199)</f>
        <v/>
      </c>
    </row>
    <row r="1699">
      <c r="A1699">
        <f>SE(Gastos!A200="";"";Gastos!A200)</f>
        <v/>
      </c>
      <c r="B1699">
        <f>SE(Gastos!A200="";"";Gastos!B200&amp;" - "&amp;Gastos!C200)</f>
        <v/>
      </c>
      <c r="C1699">
        <f>SE(Gastos!A200="";"";0)</f>
        <v/>
      </c>
      <c r="D1699">
        <f>SE(Gastos!A200="";"";Gastos!F200)</f>
        <v/>
      </c>
    </row>
    <row r="1700">
      <c r="A1700">
        <f>SE(Gastos!A201="";"";Gastos!A201)</f>
        <v/>
      </c>
      <c r="B1700">
        <f>SE(Gastos!A201="";"";Gastos!B201&amp;" - "&amp;Gastos!C201)</f>
        <v/>
      </c>
      <c r="C1700">
        <f>SE(Gastos!A201="";"";0)</f>
        <v/>
      </c>
      <c r="D1700">
        <f>SE(Gastos!A201="";"";Gastos!F201)</f>
        <v/>
      </c>
    </row>
    <row r="1701">
      <c r="A1701">
        <f>SE(Gastos!A202="";"";Gastos!A202)</f>
        <v/>
      </c>
      <c r="B1701">
        <f>SE(Gastos!A202="";"";Gastos!B202&amp;" - "&amp;Gastos!C202)</f>
        <v/>
      </c>
      <c r="C1701">
        <f>SE(Gastos!A202="";"";0)</f>
        <v/>
      </c>
      <c r="D1701">
        <f>SE(Gastos!A202="";"";Gastos!F202)</f>
        <v/>
      </c>
    </row>
    <row r="1702">
      <c r="A1702">
        <f>SE(Gastos!A203="";"";Gastos!A203)</f>
        <v/>
      </c>
      <c r="B1702">
        <f>SE(Gastos!A203="";"";Gastos!B203&amp;" - "&amp;Gastos!C203)</f>
        <v/>
      </c>
      <c r="C1702">
        <f>SE(Gastos!A203="";"";0)</f>
        <v/>
      </c>
      <c r="D1702">
        <f>SE(Gastos!A203="";"";Gastos!F203)</f>
        <v/>
      </c>
    </row>
    <row r="1703">
      <c r="A1703">
        <f>SE(Gastos!A204="";"";Gastos!A204)</f>
        <v/>
      </c>
      <c r="B1703">
        <f>SE(Gastos!A204="";"";Gastos!B204&amp;" - "&amp;Gastos!C204)</f>
        <v/>
      </c>
      <c r="C1703">
        <f>SE(Gastos!A204="";"";0)</f>
        <v/>
      </c>
      <c r="D1703">
        <f>SE(Gastos!A204="";"";Gastos!F204)</f>
        <v/>
      </c>
    </row>
    <row r="1704">
      <c r="A1704">
        <f>SE(Gastos!A205="";"";Gastos!A205)</f>
        <v/>
      </c>
      <c r="B1704">
        <f>SE(Gastos!A205="";"";Gastos!B205&amp;" - "&amp;Gastos!C205)</f>
        <v/>
      </c>
      <c r="C1704">
        <f>SE(Gastos!A205="";"";0)</f>
        <v/>
      </c>
      <c r="D1704">
        <f>SE(Gastos!A205="";"";Gastos!F205)</f>
        <v/>
      </c>
    </row>
    <row r="1705">
      <c r="A1705">
        <f>SE(Gastos!A206="";"";Gastos!A206)</f>
        <v/>
      </c>
      <c r="B1705">
        <f>SE(Gastos!A206="";"";Gastos!B206&amp;" - "&amp;Gastos!C206)</f>
        <v/>
      </c>
      <c r="C1705">
        <f>SE(Gastos!A206="";"";0)</f>
        <v/>
      </c>
      <c r="D1705">
        <f>SE(Gastos!A206="";"";Gastos!F206)</f>
        <v/>
      </c>
    </row>
    <row r="1706">
      <c r="A1706">
        <f>SE(Gastos!A207="";"";Gastos!A207)</f>
        <v/>
      </c>
      <c r="B1706">
        <f>SE(Gastos!A207="";"";Gastos!B207&amp;" - "&amp;Gastos!C207)</f>
        <v/>
      </c>
      <c r="C1706">
        <f>SE(Gastos!A207="";"";0)</f>
        <v/>
      </c>
      <c r="D1706">
        <f>SE(Gastos!A207="";"";Gastos!F207)</f>
        <v/>
      </c>
    </row>
    <row r="1707">
      <c r="A1707">
        <f>SE(Gastos!A208="";"";Gastos!A208)</f>
        <v/>
      </c>
      <c r="B1707">
        <f>SE(Gastos!A208="";"";Gastos!B208&amp;" - "&amp;Gastos!C208)</f>
        <v/>
      </c>
      <c r="C1707">
        <f>SE(Gastos!A208="";"";0)</f>
        <v/>
      </c>
      <c r="D1707">
        <f>SE(Gastos!A208="";"";Gastos!F208)</f>
        <v/>
      </c>
    </row>
    <row r="1708">
      <c r="A1708">
        <f>SE(Gastos!A209="";"";Gastos!A209)</f>
        <v/>
      </c>
      <c r="B1708">
        <f>SE(Gastos!A209="";"";Gastos!B209&amp;" - "&amp;Gastos!C209)</f>
        <v/>
      </c>
      <c r="C1708">
        <f>SE(Gastos!A209="";"";0)</f>
        <v/>
      </c>
      <c r="D1708">
        <f>SE(Gastos!A209="";"";Gastos!F209)</f>
        <v/>
      </c>
    </row>
    <row r="1709">
      <c r="A1709">
        <f>SE(Gastos!A210="";"";Gastos!A210)</f>
        <v/>
      </c>
      <c r="B1709">
        <f>SE(Gastos!A210="";"";Gastos!B210&amp;" - "&amp;Gastos!C210)</f>
        <v/>
      </c>
      <c r="C1709">
        <f>SE(Gastos!A210="";"";0)</f>
        <v/>
      </c>
      <c r="D1709">
        <f>SE(Gastos!A210="";"";Gastos!F210)</f>
        <v/>
      </c>
    </row>
    <row r="1710">
      <c r="A1710">
        <f>SE(Gastos!A211="";"";Gastos!A211)</f>
        <v/>
      </c>
      <c r="B1710">
        <f>SE(Gastos!A211="";"";Gastos!B211&amp;" - "&amp;Gastos!C211)</f>
        <v/>
      </c>
      <c r="C1710">
        <f>SE(Gastos!A211="";"";0)</f>
        <v/>
      </c>
      <c r="D1710">
        <f>SE(Gastos!A211="";"";Gastos!F211)</f>
        <v/>
      </c>
    </row>
    <row r="1711">
      <c r="A1711">
        <f>SE(Gastos!A212="";"";Gastos!A212)</f>
        <v/>
      </c>
      <c r="B1711">
        <f>SE(Gastos!A212="";"";Gastos!B212&amp;" - "&amp;Gastos!C212)</f>
        <v/>
      </c>
      <c r="C1711">
        <f>SE(Gastos!A212="";"";0)</f>
        <v/>
      </c>
      <c r="D1711">
        <f>SE(Gastos!A212="";"";Gastos!F212)</f>
        <v/>
      </c>
    </row>
    <row r="1712">
      <c r="A1712">
        <f>SE(Gastos!A213="";"";Gastos!A213)</f>
        <v/>
      </c>
      <c r="B1712">
        <f>SE(Gastos!A213="";"";Gastos!B213&amp;" - "&amp;Gastos!C213)</f>
        <v/>
      </c>
      <c r="C1712">
        <f>SE(Gastos!A213="";"";0)</f>
        <v/>
      </c>
      <c r="D1712">
        <f>SE(Gastos!A213="";"";Gastos!F213)</f>
        <v/>
      </c>
    </row>
    <row r="1713">
      <c r="A1713">
        <f>SE(Gastos!A214="";"";Gastos!A214)</f>
        <v/>
      </c>
      <c r="B1713">
        <f>SE(Gastos!A214="";"";Gastos!B214&amp;" - "&amp;Gastos!C214)</f>
        <v/>
      </c>
      <c r="C1713">
        <f>SE(Gastos!A214="";"";0)</f>
        <v/>
      </c>
      <c r="D1713">
        <f>SE(Gastos!A214="";"";Gastos!F214)</f>
        <v/>
      </c>
    </row>
    <row r="1714">
      <c r="A1714">
        <f>SE(Gastos!A215="";"";Gastos!A215)</f>
        <v/>
      </c>
      <c r="B1714">
        <f>SE(Gastos!A215="";"";Gastos!B215&amp;" - "&amp;Gastos!C215)</f>
        <v/>
      </c>
      <c r="C1714">
        <f>SE(Gastos!A215="";"";0)</f>
        <v/>
      </c>
      <c r="D1714">
        <f>SE(Gastos!A215="";"";Gastos!F215)</f>
        <v/>
      </c>
    </row>
    <row r="1715">
      <c r="A1715">
        <f>SE(Gastos!A216="";"";Gastos!A216)</f>
        <v/>
      </c>
      <c r="B1715">
        <f>SE(Gastos!A216="";"";Gastos!B216&amp;" - "&amp;Gastos!C216)</f>
        <v/>
      </c>
      <c r="C1715">
        <f>SE(Gastos!A216="";"";0)</f>
        <v/>
      </c>
      <c r="D1715">
        <f>SE(Gastos!A216="";"";Gastos!F216)</f>
        <v/>
      </c>
    </row>
    <row r="1716">
      <c r="A1716">
        <f>SE(Gastos!A217="";"";Gastos!A217)</f>
        <v/>
      </c>
      <c r="B1716">
        <f>SE(Gastos!A217="";"";Gastos!B217&amp;" - "&amp;Gastos!C217)</f>
        <v/>
      </c>
      <c r="C1716">
        <f>SE(Gastos!A217="";"";0)</f>
        <v/>
      </c>
      <c r="D1716">
        <f>SE(Gastos!A217="";"";Gastos!F217)</f>
        <v/>
      </c>
    </row>
    <row r="1717">
      <c r="A1717">
        <f>SE(Gastos!A218="";"";Gastos!A218)</f>
        <v/>
      </c>
      <c r="B1717">
        <f>SE(Gastos!A218="";"";Gastos!B218&amp;" - "&amp;Gastos!C218)</f>
        <v/>
      </c>
      <c r="C1717">
        <f>SE(Gastos!A218="";"";0)</f>
        <v/>
      </c>
      <c r="D1717">
        <f>SE(Gastos!A218="";"";Gastos!F218)</f>
        <v/>
      </c>
    </row>
    <row r="1718">
      <c r="A1718">
        <f>SE(Gastos!A219="";"";Gastos!A219)</f>
        <v/>
      </c>
      <c r="B1718">
        <f>SE(Gastos!A219="";"";Gastos!B219&amp;" - "&amp;Gastos!C219)</f>
        <v/>
      </c>
      <c r="C1718">
        <f>SE(Gastos!A219="";"";0)</f>
        <v/>
      </c>
      <c r="D1718">
        <f>SE(Gastos!A219="";"";Gastos!F219)</f>
        <v/>
      </c>
    </row>
    <row r="1719">
      <c r="A1719">
        <f>SE(Gastos!A220="";"";Gastos!A220)</f>
        <v/>
      </c>
      <c r="B1719">
        <f>SE(Gastos!A220="";"";Gastos!B220&amp;" - "&amp;Gastos!C220)</f>
        <v/>
      </c>
      <c r="C1719">
        <f>SE(Gastos!A220="";"";0)</f>
        <v/>
      </c>
      <c r="D1719">
        <f>SE(Gastos!A220="";"";Gastos!F220)</f>
        <v/>
      </c>
    </row>
    <row r="1720">
      <c r="A1720">
        <f>SE(Gastos!A221="";"";Gastos!A221)</f>
        <v/>
      </c>
      <c r="B1720">
        <f>SE(Gastos!A221="";"";Gastos!B221&amp;" - "&amp;Gastos!C221)</f>
        <v/>
      </c>
      <c r="C1720">
        <f>SE(Gastos!A221="";"";0)</f>
        <v/>
      </c>
      <c r="D1720">
        <f>SE(Gastos!A221="";"";Gastos!F221)</f>
        <v/>
      </c>
    </row>
    <row r="1721">
      <c r="A1721">
        <f>SE(Gastos!A222="";"";Gastos!A222)</f>
        <v/>
      </c>
      <c r="B1721">
        <f>SE(Gastos!A222="";"";Gastos!B222&amp;" - "&amp;Gastos!C222)</f>
        <v/>
      </c>
      <c r="C1721">
        <f>SE(Gastos!A222="";"";0)</f>
        <v/>
      </c>
      <c r="D1721">
        <f>SE(Gastos!A222="";"";Gastos!F222)</f>
        <v/>
      </c>
    </row>
    <row r="1722">
      <c r="A1722">
        <f>SE(Gastos!A223="";"";Gastos!A223)</f>
        <v/>
      </c>
      <c r="B1722">
        <f>SE(Gastos!A223="";"";Gastos!B223&amp;" - "&amp;Gastos!C223)</f>
        <v/>
      </c>
      <c r="C1722">
        <f>SE(Gastos!A223="";"";0)</f>
        <v/>
      </c>
      <c r="D1722">
        <f>SE(Gastos!A223="";"";Gastos!F223)</f>
        <v/>
      </c>
    </row>
    <row r="1723">
      <c r="A1723">
        <f>SE(Gastos!A224="";"";Gastos!A224)</f>
        <v/>
      </c>
      <c r="B1723">
        <f>SE(Gastos!A224="";"";Gastos!B224&amp;" - "&amp;Gastos!C224)</f>
        <v/>
      </c>
      <c r="C1723">
        <f>SE(Gastos!A224="";"";0)</f>
        <v/>
      </c>
      <c r="D1723">
        <f>SE(Gastos!A224="";"";Gastos!F224)</f>
        <v/>
      </c>
    </row>
    <row r="1724">
      <c r="A1724">
        <f>SE(Gastos!A225="";"";Gastos!A225)</f>
        <v/>
      </c>
      <c r="B1724">
        <f>SE(Gastos!A225="";"";Gastos!B225&amp;" - "&amp;Gastos!C225)</f>
        <v/>
      </c>
      <c r="C1724">
        <f>SE(Gastos!A225="";"";0)</f>
        <v/>
      </c>
      <c r="D1724">
        <f>SE(Gastos!A225="";"";Gastos!F225)</f>
        <v/>
      </c>
    </row>
    <row r="1725">
      <c r="A1725">
        <f>SE(Gastos!A226="";"";Gastos!A226)</f>
        <v/>
      </c>
      <c r="B1725">
        <f>SE(Gastos!A226="";"";Gastos!B226&amp;" - "&amp;Gastos!C226)</f>
        <v/>
      </c>
      <c r="C1725">
        <f>SE(Gastos!A226="";"";0)</f>
        <v/>
      </c>
      <c r="D1725">
        <f>SE(Gastos!A226="";"";Gastos!F226)</f>
        <v/>
      </c>
    </row>
    <row r="1726">
      <c r="A1726">
        <f>SE(Gastos!A227="";"";Gastos!A227)</f>
        <v/>
      </c>
      <c r="B1726">
        <f>SE(Gastos!A227="";"";Gastos!B227&amp;" - "&amp;Gastos!C227)</f>
        <v/>
      </c>
      <c r="C1726">
        <f>SE(Gastos!A227="";"";0)</f>
        <v/>
      </c>
      <c r="D1726">
        <f>SE(Gastos!A227="";"";Gastos!F227)</f>
        <v/>
      </c>
    </row>
    <row r="1727">
      <c r="A1727">
        <f>SE(Gastos!A228="";"";Gastos!A228)</f>
        <v/>
      </c>
      <c r="B1727">
        <f>SE(Gastos!A228="";"";Gastos!B228&amp;" - "&amp;Gastos!C228)</f>
        <v/>
      </c>
      <c r="C1727">
        <f>SE(Gastos!A228="";"";0)</f>
        <v/>
      </c>
      <c r="D1727">
        <f>SE(Gastos!A228="";"";Gastos!F228)</f>
        <v/>
      </c>
    </row>
    <row r="1728">
      <c r="A1728">
        <f>SE(Gastos!A229="";"";Gastos!A229)</f>
        <v/>
      </c>
      <c r="B1728">
        <f>SE(Gastos!A229="";"";Gastos!B229&amp;" - "&amp;Gastos!C229)</f>
        <v/>
      </c>
      <c r="C1728">
        <f>SE(Gastos!A229="";"";0)</f>
        <v/>
      </c>
      <c r="D1728">
        <f>SE(Gastos!A229="";"";Gastos!F229)</f>
        <v/>
      </c>
    </row>
    <row r="1729">
      <c r="A1729">
        <f>SE(Gastos!A230="";"";Gastos!A230)</f>
        <v/>
      </c>
      <c r="B1729">
        <f>SE(Gastos!A230="";"";Gastos!B230&amp;" - "&amp;Gastos!C230)</f>
        <v/>
      </c>
      <c r="C1729">
        <f>SE(Gastos!A230="";"";0)</f>
        <v/>
      </c>
      <c r="D1729">
        <f>SE(Gastos!A230="";"";Gastos!F230)</f>
        <v/>
      </c>
    </row>
    <row r="1730">
      <c r="A1730">
        <f>SE(Gastos!A231="";"";Gastos!A231)</f>
        <v/>
      </c>
      <c r="B1730">
        <f>SE(Gastos!A231="";"";Gastos!B231&amp;" - "&amp;Gastos!C231)</f>
        <v/>
      </c>
      <c r="C1730">
        <f>SE(Gastos!A231="";"";0)</f>
        <v/>
      </c>
      <c r="D1730">
        <f>SE(Gastos!A231="";"";Gastos!F231)</f>
        <v/>
      </c>
    </row>
    <row r="1731">
      <c r="A1731">
        <f>SE(Gastos!A232="";"";Gastos!A232)</f>
        <v/>
      </c>
      <c r="B1731">
        <f>SE(Gastos!A232="";"";Gastos!B232&amp;" - "&amp;Gastos!C232)</f>
        <v/>
      </c>
      <c r="C1731">
        <f>SE(Gastos!A232="";"";0)</f>
        <v/>
      </c>
      <c r="D1731">
        <f>SE(Gastos!A232="";"";Gastos!F232)</f>
        <v/>
      </c>
    </row>
    <row r="1732">
      <c r="A1732">
        <f>SE(Gastos!A233="";"";Gastos!A233)</f>
        <v/>
      </c>
      <c r="B1732">
        <f>SE(Gastos!A233="";"";Gastos!B233&amp;" - "&amp;Gastos!C233)</f>
        <v/>
      </c>
      <c r="C1732">
        <f>SE(Gastos!A233="";"";0)</f>
        <v/>
      </c>
      <c r="D1732">
        <f>SE(Gastos!A233="";"";Gastos!F233)</f>
        <v/>
      </c>
    </row>
    <row r="1733">
      <c r="A1733">
        <f>SE(Gastos!A234="";"";Gastos!A234)</f>
        <v/>
      </c>
      <c r="B1733">
        <f>SE(Gastos!A234="";"";Gastos!B234&amp;" - "&amp;Gastos!C234)</f>
        <v/>
      </c>
      <c r="C1733">
        <f>SE(Gastos!A234="";"";0)</f>
        <v/>
      </c>
      <c r="D1733">
        <f>SE(Gastos!A234="";"";Gastos!F234)</f>
        <v/>
      </c>
    </row>
    <row r="1734">
      <c r="A1734">
        <f>SE(Gastos!A235="";"";Gastos!A235)</f>
        <v/>
      </c>
      <c r="B1734">
        <f>SE(Gastos!A235="";"";Gastos!B235&amp;" - "&amp;Gastos!C235)</f>
        <v/>
      </c>
      <c r="C1734">
        <f>SE(Gastos!A235="";"";0)</f>
        <v/>
      </c>
      <c r="D1734">
        <f>SE(Gastos!A235="";"";Gastos!F235)</f>
        <v/>
      </c>
    </row>
    <row r="1735">
      <c r="A1735">
        <f>SE(Gastos!A236="";"";Gastos!A236)</f>
        <v/>
      </c>
      <c r="B1735">
        <f>SE(Gastos!A236="";"";Gastos!B236&amp;" - "&amp;Gastos!C236)</f>
        <v/>
      </c>
      <c r="C1735">
        <f>SE(Gastos!A236="";"";0)</f>
        <v/>
      </c>
      <c r="D1735">
        <f>SE(Gastos!A236="";"";Gastos!F236)</f>
        <v/>
      </c>
    </row>
    <row r="1736">
      <c r="A1736">
        <f>SE(Gastos!A237="";"";Gastos!A237)</f>
        <v/>
      </c>
      <c r="B1736">
        <f>SE(Gastos!A237="";"";Gastos!B237&amp;" - "&amp;Gastos!C237)</f>
        <v/>
      </c>
      <c r="C1736">
        <f>SE(Gastos!A237="";"";0)</f>
        <v/>
      </c>
      <c r="D1736">
        <f>SE(Gastos!A237="";"";Gastos!F237)</f>
        <v/>
      </c>
    </row>
    <row r="1737">
      <c r="A1737">
        <f>SE(Gastos!A238="";"";Gastos!A238)</f>
        <v/>
      </c>
      <c r="B1737">
        <f>SE(Gastos!A238="";"";Gastos!B238&amp;" - "&amp;Gastos!C238)</f>
        <v/>
      </c>
      <c r="C1737">
        <f>SE(Gastos!A238="";"";0)</f>
        <v/>
      </c>
      <c r="D1737">
        <f>SE(Gastos!A238="";"";Gastos!F238)</f>
        <v/>
      </c>
    </row>
    <row r="1738">
      <c r="A1738">
        <f>SE(Gastos!A239="";"";Gastos!A239)</f>
        <v/>
      </c>
      <c r="B1738">
        <f>SE(Gastos!A239="";"";Gastos!B239&amp;" - "&amp;Gastos!C239)</f>
        <v/>
      </c>
      <c r="C1738">
        <f>SE(Gastos!A239="";"";0)</f>
        <v/>
      </c>
      <c r="D1738">
        <f>SE(Gastos!A239="";"";Gastos!F239)</f>
        <v/>
      </c>
    </row>
    <row r="1739">
      <c r="A1739">
        <f>SE(Gastos!A240="";"";Gastos!A240)</f>
        <v/>
      </c>
      <c r="B1739">
        <f>SE(Gastos!A240="";"";Gastos!B240&amp;" - "&amp;Gastos!C240)</f>
        <v/>
      </c>
      <c r="C1739">
        <f>SE(Gastos!A240="";"";0)</f>
        <v/>
      </c>
      <c r="D1739">
        <f>SE(Gastos!A240="";"";Gastos!F240)</f>
        <v/>
      </c>
    </row>
    <row r="1740">
      <c r="A1740">
        <f>SE(Gastos!A241="";"";Gastos!A241)</f>
        <v/>
      </c>
      <c r="B1740">
        <f>SE(Gastos!A241="";"";Gastos!B241&amp;" - "&amp;Gastos!C241)</f>
        <v/>
      </c>
      <c r="C1740">
        <f>SE(Gastos!A241="";"";0)</f>
        <v/>
      </c>
      <c r="D1740">
        <f>SE(Gastos!A241="";"";Gastos!F241)</f>
        <v/>
      </c>
    </row>
    <row r="1741">
      <c r="A1741">
        <f>SE(Gastos!A242="";"";Gastos!A242)</f>
        <v/>
      </c>
      <c r="B1741">
        <f>SE(Gastos!A242="";"";Gastos!B242&amp;" - "&amp;Gastos!C242)</f>
        <v/>
      </c>
      <c r="C1741">
        <f>SE(Gastos!A242="";"";0)</f>
        <v/>
      </c>
      <c r="D1741">
        <f>SE(Gastos!A242="";"";Gastos!F242)</f>
        <v/>
      </c>
    </row>
    <row r="1742">
      <c r="A1742">
        <f>SE(Gastos!A243="";"";Gastos!A243)</f>
        <v/>
      </c>
      <c r="B1742">
        <f>SE(Gastos!A243="";"";Gastos!B243&amp;" - "&amp;Gastos!C243)</f>
        <v/>
      </c>
      <c r="C1742">
        <f>SE(Gastos!A243="";"";0)</f>
        <v/>
      </c>
      <c r="D1742">
        <f>SE(Gastos!A243="";"";Gastos!F243)</f>
        <v/>
      </c>
    </row>
    <row r="1743">
      <c r="A1743">
        <f>SE(Gastos!A244="";"";Gastos!A244)</f>
        <v/>
      </c>
      <c r="B1743">
        <f>SE(Gastos!A244="";"";Gastos!B244&amp;" - "&amp;Gastos!C244)</f>
        <v/>
      </c>
      <c r="C1743">
        <f>SE(Gastos!A244="";"";0)</f>
        <v/>
      </c>
      <c r="D1743">
        <f>SE(Gastos!A244="";"";Gastos!F244)</f>
        <v/>
      </c>
    </row>
    <row r="1744">
      <c r="A1744">
        <f>SE(Gastos!A245="";"";Gastos!A245)</f>
        <v/>
      </c>
      <c r="B1744">
        <f>SE(Gastos!A245="";"";Gastos!B245&amp;" - "&amp;Gastos!C245)</f>
        <v/>
      </c>
      <c r="C1744">
        <f>SE(Gastos!A245="";"";0)</f>
        <v/>
      </c>
      <c r="D1744">
        <f>SE(Gastos!A245="";"";Gastos!F245)</f>
        <v/>
      </c>
    </row>
    <row r="1745">
      <c r="A1745">
        <f>SE(Gastos!A246="";"";Gastos!A246)</f>
        <v/>
      </c>
      <c r="B1745">
        <f>SE(Gastos!A246="";"";Gastos!B246&amp;" - "&amp;Gastos!C246)</f>
        <v/>
      </c>
      <c r="C1745">
        <f>SE(Gastos!A246="";"";0)</f>
        <v/>
      </c>
      <c r="D1745">
        <f>SE(Gastos!A246="";"";Gastos!F246)</f>
        <v/>
      </c>
    </row>
    <row r="1746">
      <c r="A1746">
        <f>SE(Gastos!A247="";"";Gastos!A247)</f>
        <v/>
      </c>
      <c r="B1746">
        <f>SE(Gastos!A247="";"";Gastos!B247&amp;" - "&amp;Gastos!C247)</f>
        <v/>
      </c>
      <c r="C1746">
        <f>SE(Gastos!A247="";"";0)</f>
        <v/>
      </c>
      <c r="D1746">
        <f>SE(Gastos!A247="";"";Gastos!F247)</f>
        <v/>
      </c>
    </row>
    <row r="1747">
      <c r="A1747">
        <f>SE(Gastos!A248="";"";Gastos!A248)</f>
        <v/>
      </c>
      <c r="B1747">
        <f>SE(Gastos!A248="";"";Gastos!B248&amp;" - "&amp;Gastos!C248)</f>
        <v/>
      </c>
      <c r="C1747">
        <f>SE(Gastos!A248="";"";0)</f>
        <v/>
      </c>
      <c r="D1747">
        <f>SE(Gastos!A248="";"";Gastos!F248)</f>
        <v/>
      </c>
    </row>
    <row r="1748">
      <c r="A1748">
        <f>SE(Gastos!A249="";"";Gastos!A249)</f>
        <v/>
      </c>
      <c r="B1748">
        <f>SE(Gastos!A249="";"";Gastos!B249&amp;" - "&amp;Gastos!C249)</f>
        <v/>
      </c>
      <c r="C1748">
        <f>SE(Gastos!A249="";"";0)</f>
        <v/>
      </c>
      <c r="D1748">
        <f>SE(Gastos!A249="";"";Gastos!F249)</f>
        <v/>
      </c>
    </row>
    <row r="1749">
      <c r="A1749">
        <f>SE(Gastos!A250="";"";Gastos!A250)</f>
        <v/>
      </c>
      <c r="B1749">
        <f>SE(Gastos!A250="";"";Gastos!B250&amp;" - "&amp;Gastos!C250)</f>
        <v/>
      </c>
      <c r="C1749">
        <f>SE(Gastos!A250="";"";0)</f>
        <v/>
      </c>
      <c r="D1749">
        <f>SE(Gastos!A250="";"";Gastos!F250)</f>
        <v/>
      </c>
    </row>
    <row r="1750">
      <c r="A1750">
        <f>SE(Gastos!A251="";"";Gastos!A251)</f>
        <v/>
      </c>
      <c r="B1750">
        <f>SE(Gastos!A251="";"";Gastos!B251&amp;" - "&amp;Gastos!C251)</f>
        <v/>
      </c>
      <c r="C1750">
        <f>SE(Gastos!A251="";"";0)</f>
        <v/>
      </c>
      <c r="D1750">
        <f>SE(Gastos!A251="";"";Gastos!F251)</f>
        <v/>
      </c>
    </row>
    <row r="1751">
      <c r="A1751">
        <f>SE(Gastos!A252="";"";Gastos!A252)</f>
        <v/>
      </c>
      <c r="B1751">
        <f>SE(Gastos!A252="";"";Gastos!B252&amp;" - "&amp;Gastos!C252)</f>
        <v/>
      </c>
      <c r="C1751">
        <f>SE(Gastos!A252="";"";0)</f>
        <v/>
      </c>
      <c r="D1751">
        <f>SE(Gastos!A252="";"";Gastos!F252)</f>
        <v/>
      </c>
    </row>
    <row r="1752">
      <c r="A1752">
        <f>SE(Gastos!A253="";"";Gastos!A253)</f>
        <v/>
      </c>
      <c r="B1752">
        <f>SE(Gastos!A253="";"";Gastos!B253&amp;" - "&amp;Gastos!C253)</f>
        <v/>
      </c>
      <c r="C1752">
        <f>SE(Gastos!A253="";"";0)</f>
        <v/>
      </c>
      <c r="D1752">
        <f>SE(Gastos!A253="";"";Gastos!F253)</f>
        <v/>
      </c>
    </row>
    <row r="1753">
      <c r="A1753">
        <f>SE(Gastos!A254="";"";Gastos!A254)</f>
        <v/>
      </c>
      <c r="B1753">
        <f>SE(Gastos!A254="";"";Gastos!B254&amp;" - "&amp;Gastos!C254)</f>
        <v/>
      </c>
      <c r="C1753">
        <f>SE(Gastos!A254="";"";0)</f>
        <v/>
      </c>
      <c r="D1753">
        <f>SE(Gastos!A254="";"";Gastos!F254)</f>
        <v/>
      </c>
    </row>
    <row r="1754">
      <c r="A1754">
        <f>SE(Gastos!A255="";"";Gastos!A255)</f>
        <v/>
      </c>
      <c r="B1754">
        <f>SE(Gastos!A255="";"";Gastos!B255&amp;" - "&amp;Gastos!C255)</f>
        <v/>
      </c>
      <c r="C1754">
        <f>SE(Gastos!A255="";"";0)</f>
        <v/>
      </c>
      <c r="D1754">
        <f>SE(Gastos!A255="";"";Gastos!F255)</f>
        <v/>
      </c>
    </row>
    <row r="1755">
      <c r="A1755">
        <f>SE(Gastos!A256="";"";Gastos!A256)</f>
        <v/>
      </c>
      <c r="B1755">
        <f>SE(Gastos!A256="";"";Gastos!B256&amp;" - "&amp;Gastos!C256)</f>
        <v/>
      </c>
      <c r="C1755">
        <f>SE(Gastos!A256="";"";0)</f>
        <v/>
      </c>
      <c r="D1755">
        <f>SE(Gastos!A256="";"";Gastos!F256)</f>
        <v/>
      </c>
    </row>
    <row r="1756">
      <c r="A1756">
        <f>SE(Gastos!A257="";"";Gastos!A257)</f>
        <v/>
      </c>
      <c r="B1756">
        <f>SE(Gastos!A257="";"";Gastos!B257&amp;" - "&amp;Gastos!C257)</f>
        <v/>
      </c>
      <c r="C1756">
        <f>SE(Gastos!A257="";"";0)</f>
        <v/>
      </c>
      <c r="D1756">
        <f>SE(Gastos!A257="";"";Gastos!F257)</f>
        <v/>
      </c>
    </row>
    <row r="1757">
      <c r="A1757">
        <f>SE(Gastos!A258="";"";Gastos!A258)</f>
        <v/>
      </c>
      <c r="B1757">
        <f>SE(Gastos!A258="";"";Gastos!B258&amp;" - "&amp;Gastos!C258)</f>
        <v/>
      </c>
      <c r="C1757">
        <f>SE(Gastos!A258="";"";0)</f>
        <v/>
      </c>
      <c r="D1757">
        <f>SE(Gastos!A258="";"";Gastos!F258)</f>
        <v/>
      </c>
    </row>
    <row r="1758">
      <c r="A1758">
        <f>SE(Gastos!A259="";"";Gastos!A259)</f>
        <v/>
      </c>
      <c r="B1758">
        <f>SE(Gastos!A259="";"";Gastos!B259&amp;" - "&amp;Gastos!C259)</f>
        <v/>
      </c>
      <c r="C1758">
        <f>SE(Gastos!A259="";"";0)</f>
        <v/>
      </c>
      <c r="D1758">
        <f>SE(Gastos!A259="";"";Gastos!F259)</f>
        <v/>
      </c>
    </row>
    <row r="1759">
      <c r="A1759">
        <f>SE(Gastos!A260="";"";Gastos!A260)</f>
        <v/>
      </c>
      <c r="B1759">
        <f>SE(Gastos!A260="";"";Gastos!B260&amp;" - "&amp;Gastos!C260)</f>
        <v/>
      </c>
      <c r="C1759">
        <f>SE(Gastos!A260="";"";0)</f>
        <v/>
      </c>
      <c r="D1759">
        <f>SE(Gastos!A260="";"";Gastos!F260)</f>
        <v/>
      </c>
    </row>
    <row r="1760">
      <c r="A1760">
        <f>SE(Gastos!A261="";"";Gastos!A261)</f>
        <v/>
      </c>
      <c r="B1760">
        <f>SE(Gastos!A261="";"";Gastos!B261&amp;" - "&amp;Gastos!C261)</f>
        <v/>
      </c>
      <c r="C1760">
        <f>SE(Gastos!A261="";"";0)</f>
        <v/>
      </c>
      <c r="D1760">
        <f>SE(Gastos!A261="";"";Gastos!F261)</f>
        <v/>
      </c>
    </row>
    <row r="1761">
      <c r="A1761">
        <f>SE(Gastos!A262="";"";Gastos!A262)</f>
        <v/>
      </c>
      <c r="B1761">
        <f>SE(Gastos!A262="";"";Gastos!B262&amp;" - "&amp;Gastos!C262)</f>
        <v/>
      </c>
      <c r="C1761">
        <f>SE(Gastos!A262="";"";0)</f>
        <v/>
      </c>
      <c r="D1761">
        <f>SE(Gastos!A262="";"";Gastos!F262)</f>
        <v/>
      </c>
    </row>
    <row r="1762">
      <c r="A1762">
        <f>SE(Gastos!A263="";"";Gastos!A263)</f>
        <v/>
      </c>
      <c r="B1762">
        <f>SE(Gastos!A263="";"";Gastos!B263&amp;" - "&amp;Gastos!C263)</f>
        <v/>
      </c>
      <c r="C1762">
        <f>SE(Gastos!A263="";"";0)</f>
        <v/>
      </c>
      <c r="D1762">
        <f>SE(Gastos!A263="";"";Gastos!F263)</f>
        <v/>
      </c>
    </row>
    <row r="1763">
      <c r="A1763">
        <f>SE(Gastos!A264="";"";Gastos!A264)</f>
        <v/>
      </c>
      <c r="B1763">
        <f>SE(Gastos!A264="";"";Gastos!B264&amp;" - "&amp;Gastos!C264)</f>
        <v/>
      </c>
      <c r="C1763">
        <f>SE(Gastos!A264="";"";0)</f>
        <v/>
      </c>
      <c r="D1763">
        <f>SE(Gastos!A264="";"";Gastos!F264)</f>
        <v/>
      </c>
    </row>
    <row r="1764">
      <c r="A1764">
        <f>SE(Gastos!A265="";"";Gastos!A265)</f>
        <v/>
      </c>
      <c r="B1764">
        <f>SE(Gastos!A265="";"";Gastos!B265&amp;" - "&amp;Gastos!C265)</f>
        <v/>
      </c>
      <c r="C1764">
        <f>SE(Gastos!A265="";"";0)</f>
        <v/>
      </c>
      <c r="D1764">
        <f>SE(Gastos!A265="";"";Gastos!F265)</f>
        <v/>
      </c>
    </row>
    <row r="1765">
      <c r="A1765">
        <f>SE(Gastos!A266="";"";Gastos!A266)</f>
        <v/>
      </c>
      <c r="B1765">
        <f>SE(Gastos!A266="";"";Gastos!B266&amp;" - "&amp;Gastos!C266)</f>
        <v/>
      </c>
      <c r="C1765">
        <f>SE(Gastos!A266="";"";0)</f>
        <v/>
      </c>
      <c r="D1765">
        <f>SE(Gastos!A266="";"";Gastos!F266)</f>
        <v/>
      </c>
    </row>
    <row r="1766">
      <c r="A1766">
        <f>SE(Gastos!A267="";"";Gastos!A267)</f>
        <v/>
      </c>
      <c r="B1766">
        <f>SE(Gastos!A267="";"";Gastos!B267&amp;" - "&amp;Gastos!C267)</f>
        <v/>
      </c>
      <c r="C1766">
        <f>SE(Gastos!A267="";"";0)</f>
        <v/>
      </c>
      <c r="D1766">
        <f>SE(Gastos!A267="";"";Gastos!F267)</f>
        <v/>
      </c>
    </row>
    <row r="1767">
      <c r="A1767">
        <f>SE(Gastos!A268="";"";Gastos!A268)</f>
        <v/>
      </c>
      <c r="B1767">
        <f>SE(Gastos!A268="";"";Gastos!B268&amp;" - "&amp;Gastos!C268)</f>
        <v/>
      </c>
      <c r="C1767">
        <f>SE(Gastos!A268="";"";0)</f>
        <v/>
      </c>
      <c r="D1767">
        <f>SE(Gastos!A268="";"";Gastos!F268)</f>
        <v/>
      </c>
    </row>
    <row r="1768">
      <c r="A1768">
        <f>SE(Gastos!A269="";"";Gastos!A269)</f>
        <v/>
      </c>
      <c r="B1768">
        <f>SE(Gastos!A269="";"";Gastos!B269&amp;" - "&amp;Gastos!C269)</f>
        <v/>
      </c>
      <c r="C1768">
        <f>SE(Gastos!A269="";"";0)</f>
        <v/>
      </c>
      <c r="D1768">
        <f>SE(Gastos!A269="";"";Gastos!F269)</f>
        <v/>
      </c>
    </row>
    <row r="1769">
      <c r="A1769">
        <f>SE(Gastos!A270="";"";Gastos!A270)</f>
        <v/>
      </c>
      <c r="B1769">
        <f>SE(Gastos!A270="";"";Gastos!B270&amp;" - "&amp;Gastos!C270)</f>
        <v/>
      </c>
      <c r="C1769">
        <f>SE(Gastos!A270="";"";0)</f>
        <v/>
      </c>
      <c r="D1769">
        <f>SE(Gastos!A270="";"";Gastos!F270)</f>
        <v/>
      </c>
    </row>
    <row r="1770">
      <c r="A1770">
        <f>SE(Gastos!A271="";"";Gastos!A271)</f>
        <v/>
      </c>
      <c r="B1770">
        <f>SE(Gastos!A271="";"";Gastos!B271&amp;" - "&amp;Gastos!C271)</f>
        <v/>
      </c>
      <c r="C1770">
        <f>SE(Gastos!A271="";"";0)</f>
        <v/>
      </c>
      <c r="D1770">
        <f>SE(Gastos!A271="";"";Gastos!F271)</f>
        <v/>
      </c>
    </row>
    <row r="1771">
      <c r="A1771">
        <f>SE(Gastos!A272="";"";Gastos!A272)</f>
        <v/>
      </c>
      <c r="B1771">
        <f>SE(Gastos!A272="";"";Gastos!B272&amp;" - "&amp;Gastos!C272)</f>
        <v/>
      </c>
      <c r="C1771">
        <f>SE(Gastos!A272="";"";0)</f>
        <v/>
      </c>
      <c r="D1771">
        <f>SE(Gastos!A272="";"";Gastos!F272)</f>
        <v/>
      </c>
    </row>
    <row r="1772">
      <c r="A1772">
        <f>SE(Gastos!A273="";"";Gastos!A273)</f>
        <v/>
      </c>
      <c r="B1772">
        <f>SE(Gastos!A273="";"";Gastos!B273&amp;" - "&amp;Gastos!C273)</f>
        <v/>
      </c>
      <c r="C1772">
        <f>SE(Gastos!A273="";"";0)</f>
        <v/>
      </c>
      <c r="D1772">
        <f>SE(Gastos!A273="";"";Gastos!F273)</f>
        <v/>
      </c>
    </row>
    <row r="1773">
      <c r="A1773">
        <f>SE(Gastos!A274="";"";Gastos!A274)</f>
        <v/>
      </c>
      <c r="B1773">
        <f>SE(Gastos!A274="";"";Gastos!B274&amp;" - "&amp;Gastos!C274)</f>
        <v/>
      </c>
      <c r="C1773">
        <f>SE(Gastos!A274="";"";0)</f>
        <v/>
      </c>
      <c r="D1773">
        <f>SE(Gastos!A274="";"";Gastos!F274)</f>
        <v/>
      </c>
    </row>
    <row r="1774">
      <c r="A1774">
        <f>SE(Gastos!A275="";"";Gastos!A275)</f>
        <v/>
      </c>
      <c r="B1774">
        <f>SE(Gastos!A275="";"";Gastos!B275&amp;" - "&amp;Gastos!C275)</f>
        <v/>
      </c>
      <c r="C1774">
        <f>SE(Gastos!A275="";"";0)</f>
        <v/>
      </c>
      <c r="D1774">
        <f>SE(Gastos!A275="";"";Gastos!F275)</f>
        <v/>
      </c>
    </row>
    <row r="1775">
      <c r="A1775">
        <f>SE(Gastos!A276="";"";Gastos!A276)</f>
        <v/>
      </c>
      <c r="B1775">
        <f>SE(Gastos!A276="";"";Gastos!B276&amp;" - "&amp;Gastos!C276)</f>
        <v/>
      </c>
      <c r="C1775">
        <f>SE(Gastos!A276="";"";0)</f>
        <v/>
      </c>
      <c r="D1775">
        <f>SE(Gastos!A276="";"";Gastos!F276)</f>
        <v/>
      </c>
    </row>
    <row r="1776">
      <c r="A1776">
        <f>SE(Gastos!A277="";"";Gastos!A277)</f>
        <v/>
      </c>
      <c r="B1776">
        <f>SE(Gastos!A277="";"";Gastos!B277&amp;" - "&amp;Gastos!C277)</f>
        <v/>
      </c>
      <c r="C1776">
        <f>SE(Gastos!A277="";"";0)</f>
        <v/>
      </c>
      <c r="D1776">
        <f>SE(Gastos!A277="";"";Gastos!F277)</f>
        <v/>
      </c>
    </row>
    <row r="1777">
      <c r="A1777">
        <f>SE(Gastos!A278="";"";Gastos!A278)</f>
        <v/>
      </c>
      <c r="B1777">
        <f>SE(Gastos!A278="";"";Gastos!B278&amp;" - "&amp;Gastos!C278)</f>
        <v/>
      </c>
      <c r="C1777">
        <f>SE(Gastos!A278="";"";0)</f>
        <v/>
      </c>
      <c r="D1777">
        <f>SE(Gastos!A278="";"";Gastos!F278)</f>
        <v/>
      </c>
    </row>
    <row r="1778">
      <c r="A1778">
        <f>SE(Gastos!A279="";"";Gastos!A279)</f>
        <v/>
      </c>
      <c r="B1778">
        <f>SE(Gastos!A279="";"";Gastos!B279&amp;" - "&amp;Gastos!C279)</f>
        <v/>
      </c>
      <c r="C1778">
        <f>SE(Gastos!A279="";"";0)</f>
        <v/>
      </c>
      <c r="D1778">
        <f>SE(Gastos!A279="";"";Gastos!F279)</f>
        <v/>
      </c>
    </row>
    <row r="1779">
      <c r="A1779">
        <f>SE(Gastos!A280="";"";Gastos!A280)</f>
        <v/>
      </c>
      <c r="B1779">
        <f>SE(Gastos!A280="";"";Gastos!B280&amp;" - "&amp;Gastos!C280)</f>
        <v/>
      </c>
      <c r="C1779">
        <f>SE(Gastos!A280="";"";0)</f>
        <v/>
      </c>
      <c r="D1779">
        <f>SE(Gastos!A280="";"";Gastos!F280)</f>
        <v/>
      </c>
    </row>
    <row r="1780">
      <c r="A1780">
        <f>SE(Gastos!A281="";"";Gastos!A281)</f>
        <v/>
      </c>
      <c r="B1780">
        <f>SE(Gastos!A281="";"";Gastos!B281&amp;" - "&amp;Gastos!C281)</f>
        <v/>
      </c>
      <c r="C1780">
        <f>SE(Gastos!A281="";"";0)</f>
        <v/>
      </c>
      <c r="D1780">
        <f>SE(Gastos!A281="";"";Gastos!F281)</f>
        <v/>
      </c>
    </row>
    <row r="1781">
      <c r="A1781">
        <f>SE(Gastos!A282="";"";Gastos!A282)</f>
        <v/>
      </c>
      <c r="B1781">
        <f>SE(Gastos!A282="";"";Gastos!B282&amp;" - "&amp;Gastos!C282)</f>
        <v/>
      </c>
      <c r="C1781">
        <f>SE(Gastos!A282="";"";0)</f>
        <v/>
      </c>
      <c r="D1781">
        <f>SE(Gastos!A282="";"";Gastos!F282)</f>
        <v/>
      </c>
    </row>
    <row r="1782">
      <c r="A1782">
        <f>SE(Gastos!A283="";"";Gastos!A283)</f>
        <v/>
      </c>
      <c r="B1782">
        <f>SE(Gastos!A283="";"";Gastos!B283&amp;" - "&amp;Gastos!C283)</f>
        <v/>
      </c>
      <c r="C1782">
        <f>SE(Gastos!A283="";"";0)</f>
        <v/>
      </c>
      <c r="D1782">
        <f>SE(Gastos!A283="";"";Gastos!F283)</f>
        <v/>
      </c>
    </row>
    <row r="1783">
      <c r="A1783">
        <f>SE(Gastos!A284="";"";Gastos!A284)</f>
        <v/>
      </c>
      <c r="B1783">
        <f>SE(Gastos!A284="";"";Gastos!B284&amp;" - "&amp;Gastos!C284)</f>
        <v/>
      </c>
      <c r="C1783">
        <f>SE(Gastos!A284="";"";0)</f>
        <v/>
      </c>
      <c r="D1783">
        <f>SE(Gastos!A284="";"";Gastos!F284)</f>
        <v/>
      </c>
    </row>
    <row r="1784">
      <c r="A1784">
        <f>SE(Gastos!A285="";"";Gastos!A285)</f>
        <v/>
      </c>
      <c r="B1784">
        <f>SE(Gastos!A285="";"";Gastos!B285&amp;" - "&amp;Gastos!C285)</f>
        <v/>
      </c>
      <c r="C1784">
        <f>SE(Gastos!A285="";"";0)</f>
        <v/>
      </c>
      <c r="D1784">
        <f>SE(Gastos!A285="";"";Gastos!F285)</f>
        <v/>
      </c>
    </row>
    <row r="1785">
      <c r="A1785">
        <f>SE(Gastos!A286="";"";Gastos!A286)</f>
        <v/>
      </c>
      <c r="B1785">
        <f>SE(Gastos!A286="";"";Gastos!B286&amp;" - "&amp;Gastos!C286)</f>
        <v/>
      </c>
      <c r="C1785">
        <f>SE(Gastos!A286="";"";0)</f>
        <v/>
      </c>
      <c r="D1785">
        <f>SE(Gastos!A286="";"";Gastos!F286)</f>
        <v/>
      </c>
    </row>
    <row r="1786">
      <c r="A1786">
        <f>SE(Gastos!A287="";"";Gastos!A287)</f>
        <v/>
      </c>
      <c r="B1786">
        <f>SE(Gastos!A287="";"";Gastos!B287&amp;" - "&amp;Gastos!C287)</f>
        <v/>
      </c>
      <c r="C1786">
        <f>SE(Gastos!A287="";"";0)</f>
        <v/>
      </c>
      <c r="D1786">
        <f>SE(Gastos!A287="";"";Gastos!F287)</f>
        <v/>
      </c>
    </row>
    <row r="1787">
      <c r="A1787">
        <f>SE(Gastos!A288="";"";Gastos!A288)</f>
        <v/>
      </c>
      <c r="B1787">
        <f>SE(Gastos!A288="";"";Gastos!B288&amp;" - "&amp;Gastos!C288)</f>
        <v/>
      </c>
      <c r="C1787">
        <f>SE(Gastos!A288="";"";0)</f>
        <v/>
      </c>
      <c r="D1787">
        <f>SE(Gastos!A288="";"";Gastos!F288)</f>
        <v/>
      </c>
    </row>
    <row r="1788">
      <c r="A1788">
        <f>SE(Gastos!A289="";"";Gastos!A289)</f>
        <v/>
      </c>
      <c r="B1788">
        <f>SE(Gastos!A289="";"";Gastos!B289&amp;" - "&amp;Gastos!C289)</f>
        <v/>
      </c>
      <c r="C1788">
        <f>SE(Gastos!A289="";"";0)</f>
        <v/>
      </c>
      <c r="D1788">
        <f>SE(Gastos!A289="";"";Gastos!F289)</f>
        <v/>
      </c>
    </row>
    <row r="1789">
      <c r="A1789">
        <f>SE(Gastos!A290="";"";Gastos!A290)</f>
        <v/>
      </c>
      <c r="B1789">
        <f>SE(Gastos!A290="";"";Gastos!B290&amp;" - "&amp;Gastos!C290)</f>
        <v/>
      </c>
      <c r="C1789">
        <f>SE(Gastos!A290="";"";0)</f>
        <v/>
      </c>
      <c r="D1789">
        <f>SE(Gastos!A290="";"";Gastos!F290)</f>
        <v/>
      </c>
    </row>
    <row r="1790">
      <c r="A1790">
        <f>SE(Gastos!A291="";"";Gastos!A291)</f>
        <v/>
      </c>
      <c r="B1790">
        <f>SE(Gastos!A291="";"";Gastos!B291&amp;" - "&amp;Gastos!C291)</f>
        <v/>
      </c>
      <c r="C1790">
        <f>SE(Gastos!A291="";"";0)</f>
        <v/>
      </c>
      <c r="D1790">
        <f>SE(Gastos!A291="";"";Gastos!F291)</f>
        <v/>
      </c>
    </row>
    <row r="1791">
      <c r="A1791">
        <f>SE(Gastos!A292="";"";Gastos!A292)</f>
        <v/>
      </c>
      <c r="B1791">
        <f>SE(Gastos!A292="";"";Gastos!B292&amp;" - "&amp;Gastos!C292)</f>
        <v/>
      </c>
      <c r="C1791">
        <f>SE(Gastos!A292="";"";0)</f>
        <v/>
      </c>
      <c r="D1791">
        <f>SE(Gastos!A292="";"";Gastos!F292)</f>
        <v/>
      </c>
    </row>
    <row r="1792">
      <c r="A1792">
        <f>SE(Gastos!A293="";"";Gastos!A293)</f>
        <v/>
      </c>
      <c r="B1792">
        <f>SE(Gastos!A293="";"";Gastos!B293&amp;" - "&amp;Gastos!C293)</f>
        <v/>
      </c>
      <c r="C1792">
        <f>SE(Gastos!A293="";"";0)</f>
        <v/>
      </c>
      <c r="D1792">
        <f>SE(Gastos!A293="";"";Gastos!F293)</f>
        <v/>
      </c>
    </row>
    <row r="1793">
      <c r="A1793">
        <f>SE(Gastos!A294="";"";Gastos!A294)</f>
        <v/>
      </c>
      <c r="B1793">
        <f>SE(Gastos!A294="";"";Gastos!B294&amp;" - "&amp;Gastos!C294)</f>
        <v/>
      </c>
      <c r="C1793">
        <f>SE(Gastos!A294="";"";0)</f>
        <v/>
      </c>
      <c r="D1793">
        <f>SE(Gastos!A294="";"";Gastos!F294)</f>
        <v/>
      </c>
    </row>
    <row r="1794">
      <c r="A1794">
        <f>SE(Gastos!A295="";"";Gastos!A295)</f>
        <v/>
      </c>
      <c r="B1794">
        <f>SE(Gastos!A295="";"";Gastos!B295&amp;" - "&amp;Gastos!C295)</f>
        <v/>
      </c>
      <c r="C1794">
        <f>SE(Gastos!A295="";"";0)</f>
        <v/>
      </c>
      <c r="D1794">
        <f>SE(Gastos!A295="";"";Gastos!F295)</f>
        <v/>
      </c>
    </row>
    <row r="1795">
      <c r="A1795">
        <f>SE(Gastos!A296="";"";Gastos!A296)</f>
        <v/>
      </c>
      <c r="B1795">
        <f>SE(Gastos!A296="";"";Gastos!B296&amp;" - "&amp;Gastos!C296)</f>
        <v/>
      </c>
      <c r="C1795">
        <f>SE(Gastos!A296="";"";0)</f>
        <v/>
      </c>
      <c r="D1795">
        <f>SE(Gastos!A296="";"";Gastos!F296)</f>
        <v/>
      </c>
    </row>
    <row r="1796">
      <c r="A1796">
        <f>SE(Gastos!A297="";"";Gastos!A297)</f>
        <v/>
      </c>
      <c r="B1796">
        <f>SE(Gastos!A297="";"";Gastos!B297&amp;" - "&amp;Gastos!C297)</f>
        <v/>
      </c>
      <c r="C1796">
        <f>SE(Gastos!A297="";"";0)</f>
        <v/>
      </c>
      <c r="D1796">
        <f>SE(Gastos!A297="";"";Gastos!F297)</f>
        <v/>
      </c>
    </row>
    <row r="1797">
      <c r="A1797">
        <f>SE(Gastos!A298="";"";Gastos!A298)</f>
        <v/>
      </c>
      <c r="B1797">
        <f>SE(Gastos!A298="";"";Gastos!B298&amp;" - "&amp;Gastos!C298)</f>
        <v/>
      </c>
      <c r="C1797">
        <f>SE(Gastos!A298="";"";0)</f>
        <v/>
      </c>
      <c r="D1797">
        <f>SE(Gastos!A298="";"";Gastos!F298)</f>
        <v/>
      </c>
    </row>
    <row r="1798">
      <c r="A1798">
        <f>SE(Gastos!A299="";"";Gastos!A299)</f>
        <v/>
      </c>
      <c r="B1798">
        <f>SE(Gastos!A299="";"";Gastos!B299&amp;" - "&amp;Gastos!C299)</f>
        <v/>
      </c>
      <c r="C1798">
        <f>SE(Gastos!A299="";"";0)</f>
        <v/>
      </c>
      <c r="D1798">
        <f>SE(Gastos!A299="";"";Gastos!F299)</f>
        <v/>
      </c>
    </row>
    <row r="1799">
      <c r="A1799">
        <f>SE(Gastos!A300="";"";Gastos!A300)</f>
        <v/>
      </c>
      <c r="B1799">
        <f>SE(Gastos!A300="";"";Gastos!B300&amp;" - "&amp;Gastos!C300)</f>
        <v/>
      </c>
      <c r="C1799">
        <f>SE(Gastos!A300="";"";0)</f>
        <v/>
      </c>
      <c r="D1799">
        <f>SE(Gastos!A300="";"";Gastos!F300)</f>
        <v/>
      </c>
    </row>
    <row r="1800">
      <c r="A1800">
        <f>SE(Gastos!A301="";"";Gastos!A301)</f>
        <v/>
      </c>
      <c r="B1800">
        <f>SE(Gastos!A301="";"";Gastos!B301&amp;" - "&amp;Gastos!C301)</f>
        <v/>
      </c>
      <c r="C1800">
        <f>SE(Gastos!A301="";"";0)</f>
        <v/>
      </c>
      <c r="D1800">
        <f>SE(Gastos!A301="";"";Gastos!F301)</f>
        <v/>
      </c>
    </row>
    <row r="1801">
      <c r="A1801">
        <f>SE(Gastos!A302="";"";Gastos!A302)</f>
        <v/>
      </c>
      <c r="B1801">
        <f>SE(Gastos!A302="";"";Gastos!B302&amp;" - "&amp;Gastos!C302)</f>
        <v/>
      </c>
      <c r="C1801">
        <f>SE(Gastos!A302="";"";0)</f>
        <v/>
      </c>
      <c r="D1801">
        <f>SE(Gastos!A302="";"";Gastos!F302)</f>
        <v/>
      </c>
    </row>
    <row r="1802">
      <c r="A1802">
        <f>SE(Gastos!A303="";"";Gastos!A303)</f>
        <v/>
      </c>
      <c r="B1802">
        <f>SE(Gastos!A303="";"";Gastos!B303&amp;" - "&amp;Gastos!C303)</f>
        <v/>
      </c>
      <c r="C1802">
        <f>SE(Gastos!A303="";"";0)</f>
        <v/>
      </c>
      <c r="D1802">
        <f>SE(Gastos!A303="";"";Gastos!F303)</f>
        <v/>
      </c>
    </row>
    <row r="1803">
      <c r="A1803">
        <f>SE(Gastos!A304="";"";Gastos!A304)</f>
        <v/>
      </c>
      <c r="B1803">
        <f>SE(Gastos!A304="";"";Gastos!B304&amp;" - "&amp;Gastos!C304)</f>
        <v/>
      </c>
      <c r="C1803">
        <f>SE(Gastos!A304="";"";0)</f>
        <v/>
      </c>
      <c r="D1803">
        <f>SE(Gastos!A304="";"";Gastos!F304)</f>
        <v/>
      </c>
    </row>
    <row r="1804">
      <c r="A1804">
        <f>SE(Gastos!A305="";"";Gastos!A305)</f>
        <v/>
      </c>
      <c r="B1804">
        <f>SE(Gastos!A305="";"";Gastos!B305&amp;" - "&amp;Gastos!C305)</f>
        <v/>
      </c>
      <c r="C1804">
        <f>SE(Gastos!A305="";"";0)</f>
        <v/>
      </c>
      <c r="D1804">
        <f>SE(Gastos!A305="";"";Gastos!F305)</f>
        <v/>
      </c>
    </row>
    <row r="1805">
      <c r="A1805">
        <f>SE(Gastos!A306="";"";Gastos!A306)</f>
        <v/>
      </c>
      <c r="B1805">
        <f>SE(Gastos!A306="";"";Gastos!B306&amp;" - "&amp;Gastos!C306)</f>
        <v/>
      </c>
      <c r="C1805">
        <f>SE(Gastos!A306="";"";0)</f>
        <v/>
      </c>
      <c r="D1805">
        <f>SE(Gastos!A306="";"";Gastos!F306)</f>
        <v/>
      </c>
    </row>
    <row r="1806">
      <c r="A1806">
        <f>SE(Gastos!A307="";"";Gastos!A307)</f>
        <v/>
      </c>
      <c r="B1806">
        <f>SE(Gastos!A307="";"";Gastos!B307&amp;" - "&amp;Gastos!C307)</f>
        <v/>
      </c>
      <c r="C1806">
        <f>SE(Gastos!A307="";"";0)</f>
        <v/>
      </c>
      <c r="D1806">
        <f>SE(Gastos!A307="";"";Gastos!F307)</f>
        <v/>
      </c>
    </row>
    <row r="1807">
      <c r="A1807">
        <f>SE(Gastos!A308="";"";Gastos!A308)</f>
        <v/>
      </c>
      <c r="B1807">
        <f>SE(Gastos!A308="";"";Gastos!B308&amp;" - "&amp;Gastos!C308)</f>
        <v/>
      </c>
      <c r="C1807">
        <f>SE(Gastos!A308="";"";0)</f>
        <v/>
      </c>
      <c r="D1807">
        <f>SE(Gastos!A308="";"";Gastos!F308)</f>
        <v/>
      </c>
    </row>
    <row r="1808">
      <c r="A1808">
        <f>SE(Gastos!A309="";"";Gastos!A309)</f>
        <v/>
      </c>
      <c r="B1808">
        <f>SE(Gastos!A309="";"";Gastos!B309&amp;" - "&amp;Gastos!C309)</f>
        <v/>
      </c>
      <c r="C1808">
        <f>SE(Gastos!A309="";"";0)</f>
        <v/>
      </c>
      <c r="D1808">
        <f>SE(Gastos!A309="";"";Gastos!F309)</f>
        <v/>
      </c>
    </row>
    <row r="1809">
      <c r="A1809">
        <f>SE(Gastos!A310="";"";Gastos!A310)</f>
        <v/>
      </c>
      <c r="B1809">
        <f>SE(Gastos!A310="";"";Gastos!B310&amp;" - "&amp;Gastos!C310)</f>
        <v/>
      </c>
      <c r="C1809">
        <f>SE(Gastos!A310="";"";0)</f>
        <v/>
      </c>
      <c r="D1809">
        <f>SE(Gastos!A310="";"";Gastos!F310)</f>
        <v/>
      </c>
    </row>
    <row r="1810">
      <c r="A1810">
        <f>SE(Gastos!A311="";"";Gastos!A311)</f>
        <v/>
      </c>
      <c r="B1810">
        <f>SE(Gastos!A311="";"";Gastos!B311&amp;" - "&amp;Gastos!C311)</f>
        <v/>
      </c>
      <c r="C1810">
        <f>SE(Gastos!A311="";"";0)</f>
        <v/>
      </c>
      <c r="D1810">
        <f>SE(Gastos!A311="";"";Gastos!F311)</f>
        <v/>
      </c>
    </row>
    <row r="1811">
      <c r="A1811">
        <f>SE(Gastos!A312="";"";Gastos!A312)</f>
        <v/>
      </c>
      <c r="B1811">
        <f>SE(Gastos!A312="";"";Gastos!B312&amp;" - "&amp;Gastos!C312)</f>
        <v/>
      </c>
      <c r="C1811">
        <f>SE(Gastos!A312="";"";0)</f>
        <v/>
      </c>
      <c r="D1811">
        <f>SE(Gastos!A312="";"";Gastos!F312)</f>
        <v/>
      </c>
    </row>
    <row r="1812">
      <c r="A1812">
        <f>SE(Gastos!A313="";"";Gastos!A313)</f>
        <v/>
      </c>
      <c r="B1812">
        <f>SE(Gastos!A313="";"";Gastos!B313&amp;" - "&amp;Gastos!C313)</f>
        <v/>
      </c>
      <c r="C1812">
        <f>SE(Gastos!A313="";"";0)</f>
        <v/>
      </c>
      <c r="D1812">
        <f>SE(Gastos!A313="";"";Gastos!F313)</f>
        <v/>
      </c>
    </row>
    <row r="1813">
      <c r="A1813">
        <f>SE(Gastos!A314="";"";Gastos!A314)</f>
        <v/>
      </c>
      <c r="B1813">
        <f>SE(Gastos!A314="";"";Gastos!B314&amp;" - "&amp;Gastos!C314)</f>
        <v/>
      </c>
      <c r="C1813">
        <f>SE(Gastos!A314="";"";0)</f>
        <v/>
      </c>
      <c r="D1813">
        <f>SE(Gastos!A314="";"";Gastos!F314)</f>
        <v/>
      </c>
    </row>
    <row r="1814">
      <c r="A1814">
        <f>SE(Gastos!A315="";"";Gastos!A315)</f>
        <v/>
      </c>
      <c r="B1814">
        <f>SE(Gastos!A315="";"";Gastos!B315&amp;" - "&amp;Gastos!C315)</f>
        <v/>
      </c>
      <c r="C1814">
        <f>SE(Gastos!A315="";"";0)</f>
        <v/>
      </c>
      <c r="D1814">
        <f>SE(Gastos!A315="";"";Gastos!F315)</f>
        <v/>
      </c>
    </row>
    <row r="1815">
      <c r="A1815">
        <f>SE(Gastos!A316="";"";Gastos!A316)</f>
        <v/>
      </c>
      <c r="B1815">
        <f>SE(Gastos!A316="";"";Gastos!B316&amp;" - "&amp;Gastos!C316)</f>
        <v/>
      </c>
      <c r="C1815">
        <f>SE(Gastos!A316="";"";0)</f>
        <v/>
      </c>
      <c r="D1815">
        <f>SE(Gastos!A316="";"";Gastos!F316)</f>
        <v/>
      </c>
    </row>
    <row r="1816">
      <c r="A1816">
        <f>SE(Gastos!A317="";"";Gastos!A317)</f>
        <v/>
      </c>
      <c r="B1816">
        <f>SE(Gastos!A317="";"";Gastos!B317&amp;" - "&amp;Gastos!C317)</f>
        <v/>
      </c>
      <c r="C1816">
        <f>SE(Gastos!A317="";"";0)</f>
        <v/>
      </c>
      <c r="D1816">
        <f>SE(Gastos!A317="";"";Gastos!F317)</f>
        <v/>
      </c>
    </row>
    <row r="1817">
      <c r="A1817">
        <f>SE(Gastos!A318="";"";Gastos!A318)</f>
        <v/>
      </c>
      <c r="B1817">
        <f>SE(Gastos!A318="";"";Gastos!B318&amp;" - "&amp;Gastos!C318)</f>
        <v/>
      </c>
      <c r="C1817">
        <f>SE(Gastos!A318="";"";0)</f>
        <v/>
      </c>
      <c r="D1817">
        <f>SE(Gastos!A318="";"";Gastos!F318)</f>
        <v/>
      </c>
    </row>
    <row r="1818">
      <c r="A1818">
        <f>SE(Gastos!A319="";"";Gastos!A319)</f>
        <v/>
      </c>
      <c r="B1818">
        <f>SE(Gastos!A319="";"";Gastos!B319&amp;" - "&amp;Gastos!C319)</f>
        <v/>
      </c>
      <c r="C1818">
        <f>SE(Gastos!A319="";"";0)</f>
        <v/>
      </c>
      <c r="D1818">
        <f>SE(Gastos!A319="";"";Gastos!F319)</f>
        <v/>
      </c>
    </row>
    <row r="1819">
      <c r="A1819">
        <f>SE(Gastos!A320="";"";Gastos!A320)</f>
        <v/>
      </c>
      <c r="B1819">
        <f>SE(Gastos!A320="";"";Gastos!B320&amp;" - "&amp;Gastos!C320)</f>
        <v/>
      </c>
      <c r="C1819">
        <f>SE(Gastos!A320="";"";0)</f>
        <v/>
      </c>
      <c r="D1819">
        <f>SE(Gastos!A320="";"";Gastos!F320)</f>
        <v/>
      </c>
    </row>
    <row r="1820">
      <c r="A1820">
        <f>SE(Gastos!A321="";"";Gastos!A321)</f>
        <v/>
      </c>
      <c r="B1820">
        <f>SE(Gastos!A321="";"";Gastos!B321&amp;" - "&amp;Gastos!C321)</f>
        <v/>
      </c>
      <c r="C1820">
        <f>SE(Gastos!A321="";"";0)</f>
        <v/>
      </c>
      <c r="D1820">
        <f>SE(Gastos!A321="";"";Gastos!F321)</f>
        <v/>
      </c>
    </row>
    <row r="1821">
      <c r="A1821">
        <f>SE(Gastos!A322="";"";Gastos!A322)</f>
        <v/>
      </c>
      <c r="B1821">
        <f>SE(Gastos!A322="";"";Gastos!B322&amp;" - "&amp;Gastos!C322)</f>
        <v/>
      </c>
      <c r="C1821">
        <f>SE(Gastos!A322="";"";0)</f>
        <v/>
      </c>
      <c r="D1821">
        <f>SE(Gastos!A322="";"";Gastos!F322)</f>
        <v/>
      </c>
    </row>
    <row r="1822">
      <c r="A1822">
        <f>SE(Gastos!A323="";"";Gastos!A323)</f>
        <v/>
      </c>
      <c r="B1822">
        <f>SE(Gastos!A323="";"";Gastos!B323&amp;" - "&amp;Gastos!C323)</f>
        <v/>
      </c>
      <c r="C1822">
        <f>SE(Gastos!A323="";"";0)</f>
        <v/>
      </c>
      <c r="D1822">
        <f>SE(Gastos!A323="";"";Gastos!F323)</f>
        <v/>
      </c>
    </row>
    <row r="1823">
      <c r="A1823">
        <f>SE(Gastos!A324="";"";Gastos!A324)</f>
        <v/>
      </c>
      <c r="B1823">
        <f>SE(Gastos!A324="";"";Gastos!B324&amp;" - "&amp;Gastos!C324)</f>
        <v/>
      </c>
      <c r="C1823">
        <f>SE(Gastos!A324="";"";0)</f>
        <v/>
      </c>
      <c r="D1823">
        <f>SE(Gastos!A324="";"";Gastos!F324)</f>
        <v/>
      </c>
    </row>
    <row r="1824">
      <c r="A1824">
        <f>SE(Gastos!A325="";"";Gastos!A325)</f>
        <v/>
      </c>
      <c r="B1824">
        <f>SE(Gastos!A325="";"";Gastos!B325&amp;" - "&amp;Gastos!C325)</f>
        <v/>
      </c>
      <c r="C1824">
        <f>SE(Gastos!A325="";"";0)</f>
        <v/>
      </c>
      <c r="D1824">
        <f>SE(Gastos!A325="";"";Gastos!F325)</f>
        <v/>
      </c>
    </row>
    <row r="1825">
      <c r="A1825">
        <f>SE(Gastos!A326="";"";Gastos!A326)</f>
        <v/>
      </c>
      <c r="B1825">
        <f>SE(Gastos!A326="";"";Gastos!B326&amp;" - "&amp;Gastos!C326)</f>
        <v/>
      </c>
      <c r="C1825">
        <f>SE(Gastos!A326="";"";0)</f>
        <v/>
      </c>
      <c r="D1825">
        <f>SE(Gastos!A326="";"";Gastos!F326)</f>
        <v/>
      </c>
    </row>
    <row r="1826">
      <c r="A1826">
        <f>SE(Gastos!A327="";"";Gastos!A327)</f>
        <v/>
      </c>
      <c r="B1826">
        <f>SE(Gastos!A327="";"";Gastos!B327&amp;" - "&amp;Gastos!C327)</f>
        <v/>
      </c>
      <c r="C1826">
        <f>SE(Gastos!A327="";"";0)</f>
        <v/>
      </c>
      <c r="D1826">
        <f>SE(Gastos!A327="";"";Gastos!F327)</f>
        <v/>
      </c>
    </row>
    <row r="1827">
      <c r="A1827">
        <f>SE(Gastos!A328="";"";Gastos!A328)</f>
        <v/>
      </c>
      <c r="B1827">
        <f>SE(Gastos!A328="";"";Gastos!B328&amp;" - "&amp;Gastos!C328)</f>
        <v/>
      </c>
      <c r="C1827">
        <f>SE(Gastos!A328="";"";0)</f>
        <v/>
      </c>
      <c r="D1827">
        <f>SE(Gastos!A328="";"";Gastos!F328)</f>
        <v/>
      </c>
    </row>
    <row r="1828">
      <c r="A1828">
        <f>SE(Gastos!A329="";"";Gastos!A329)</f>
        <v/>
      </c>
      <c r="B1828">
        <f>SE(Gastos!A329="";"";Gastos!B329&amp;" - "&amp;Gastos!C329)</f>
        <v/>
      </c>
      <c r="C1828">
        <f>SE(Gastos!A329="";"";0)</f>
        <v/>
      </c>
      <c r="D1828">
        <f>SE(Gastos!A329="";"";Gastos!F329)</f>
        <v/>
      </c>
    </row>
    <row r="1829">
      <c r="A1829">
        <f>SE(Gastos!A330="";"";Gastos!A330)</f>
        <v/>
      </c>
      <c r="B1829">
        <f>SE(Gastos!A330="";"";Gastos!B330&amp;" - "&amp;Gastos!C330)</f>
        <v/>
      </c>
      <c r="C1829">
        <f>SE(Gastos!A330="";"";0)</f>
        <v/>
      </c>
      <c r="D1829">
        <f>SE(Gastos!A330="";"";Gastos!F330)</f>
        <v/>
      </c>
    </row>
    <row r="1830">
      <c r="A1830">
        <f>SE(Gastos!A331="";"";Gastos!A331)</f>
        <v/>
      </c>
      <c r="B1830">
        <f>SE(Gastos!A331="";"";Gastos!B331&amp;" - "&amp;Gastos!C331)</f>
        <v/>
      </c>
      <c r="C1830">
        <f>SE(Gastos!A331="";"";0)</f>
        <v/>
      </c>
      <c r="D1830">
        <f>SE(Gastos!A331="";"";Gastos!F331)</f>
        <v/>
      </c>
    </row>
    <row r="1831">
      <c r="A1831">
        <f>SE(Gastos!A332="";"";Gastos!A332)</f>
        <v/>
      </c>
      <c r="B1831">
        <f>SE(Gastos!A332="";"";Gastos!B332&amp;" - "&amp;Gastos!C332)</f>
        <v/>
      </c>
      <c r="C1831">
        <f>SE(Gastos!A332="";"";0)</f>
        <v/>
      </c>
      <c r="D1831">
        <f>SE(Gastos!A332="";"";Gastos!F332)</f>
        <v/>
      </c>
    </row>
    <row r="1832">
      <c r="A1832">
        <f>SE(Gastos!A333="";"";Gastos!A333)</f>
        <v/>
      </c>
      <c r="B1832">
        <f>SE(Gastos!A333="";"";Gastos!B333&amp;" - "&amp;Gastos!C333)</f>
        <v/>
      </c>
      <c r="C1832">
        <f>SE(Gastos!A333="";"";0)</f>
        <v/>
      </c>
      <c r="D1832">
        <f>SE(Gastos!A333="";"";Gastos!F333)</f>
        <v/>
      </c>
    </row>
    <row r="1833">
      <c r="A1833">
        <f>SE(Gastos!A334="";"";Gastos!A334)</f>
        <v/>
      </c>
      <c r="B1833">
        <f>SE(Gastos!A334="";"";Gastos!B334&amp;" - "&amp;Gastos!C334)</f>
        <v/>
      </c>
      <c r="C1833">
        <f>SE(Gastos!A334="";"";0)</f>
        <v/>
      </c>
      <c r="D1833">
        <f>SE(Gastos!A334="";"";Gastos!F334)</f>
        <v/>
      </c>
    </row>
    <row r="1834">
      <c r="A1834">
        <f>SE(Gastos!A335="";"";Gastos!A335)</f>
        <v/>
      </c>
      <c r="B1834">
        <f>SE(Gastos!A335="";"";Gastos!B335&amp;" - "&amp;Gastos!C335)</f>
        <v/>
      </c>
      <c r="C1834">
        <f>SE(Gastos!A335="";"";0)</f>
        <v/>
      </c>
      <c r="D1834">
        <f>SE(Gastos!A335="";"";Gastos!F335)</f>
        <v/>
      </c>
    </row>
    <row r="1835">
      <c r="A1835">
        <f>SE(Gastos!A336="";"";Gastos!A336)</f>
        <v/>
      </c>
      <c r="B1835">
        <f>SE(Gastos!A336="";"";Gastos!B336&amp;" - "&amp;Gastos!C336)</f>
        <v/>
      </c>
      <c r="C1835">
        <f>SE(Gastos!A336="";"";0)</f>
        <v/>
      </c>
      <c r="D1835">
        <f>SE(Gastos!A336="";"";Gastos!F336)</f>
        <v/>
      </c>
    </row>
    <row r="1836">
      <c r="A1836">
        <f>SE(Gastos!A337="";"";Gastos!A337)</f>
        <v/>
      </c>
      <c r="B1836">
        <f>SE(Gastos!A337="";"";Gastos!B337&amp;" - "&amp;Gastos!C337)</f>
        <v/>
      </c>
      <c r="C1836">
        <f>SE(Gastos!A337="";"";0)</f>
        <v/>
      </c>
      <c r="D1836">
        <f>SE(Gastos!A337="";"";Gastos!F337)</f>
        <v/>
      </c>
    </row>
    <row r="1837">
      <c r="A1837">
        <f>SE(Gastos!A338="";"";Gastos!A338)</f>
        <v/>
      </c>
      <c r="B1837">
        <f>SE(Gastos!A338="";"";Gastos!B338&amp;" - "&amp;Gastos!C338)</f>
        <v/>
      </c>
      <c r="C1837">
        <f>SE(Gastos!A338="";"";0)</f>
        <v/>
      </c>
      <c r="D1837">
        <f>SE(Gastos!A338="";"";Gastos!F338)</f>
        <v/>
      </c>
    </row>
    <row r="1838">
      <c r="A1838">
        <f>SE(Gastos!A339="";"";Gastos!A339)</f>
        <v/>
      </c>
      <c r="B1838">
        <f>SE(Gastos!A339="";"";Gastos!B339&amp;" - "&amp;Gastos!C339)</f>
        <v/>
      </c>
      <c r="C1838">
        <f>SE(Gastos!A339="";"";0)</f>
        <v/>
      </c>
      <c r="D1838">
        <f>SE(Gastos!A339="";"";Gastos!F339)</f>
        <v/>
      </c>
    </row>
    <row r="1839">
      <c r="A1839">
        <f>SE(Gastos!A340="";"";Gastos!A340)</f>
        <v/>
      </c>
      <c r="B1839">
        <f>SE(Gastos!A340="";"";Gastos!B340&amp;" - "&amp;Gastos!C340)</f>
        <v/>
      </c>
      <c r="C1839">
        <f>SE(Gastos!A340="";"";0)</f>
        <v/>
      </c>
      <c r="D1839">
        <f>SE(Gastos!A340="";"";Gastos!F340)</f>
        <v/>
      </c>
    </row>
    <row r="1840">
      <c r="A1840">
        <f>SE(Gastos!A341="";"";Gastos!A341)</f>
        <v/>
      </c>
      <c r="B1840">
        <f>SE(Gastos!A341="";"";Gastos!B341&amp;" - "&amp;Gastos!C341)</f>
        <v/>
      </c>
      <c r="C1840">
        <f>SE(Gastos!A341="";"";0)</f>
        <v/>
      </c>
      <c r="D1840">
        <f>SE(Gastos!A341="";"";Gastos!F341)</f>
        <v/>
      </c>
    </row>
    <row r="1841">
      <c r="A1841">
        <f>SE(Gastos!A342="";"";Gastos!A342)</f>
        <v/>
      </c>
      <c r="B1841">
        <f>SE(Gastos!A342="";"";Gastos!B342&amp;" - "&amp;Gastos!C342)</f>
        <v/>
      </c>
      <c r="C1841">
        <f>SE(Gastos!A342="";"";0)</f>
        <v/>
      </c>
      <c r="D1841">
        <f>SE(Gastos!A342="";"";Gastos!F342)</f>
        <v/>
      </c>
    </row>
    <row r="1842">
      <c r="A1842">
        <f>SE(Gastos!A343="";"";Gastos!A343)</f>
        <v/>
      </c>
      <c r="B1842">
        <f>SE(Gastos!A343="";"";Gastos!B343&amp;" - "&amp;Gastos!C343)</f>
        <v/>
      </c>
      <c r="C1842">
        <f>SE(Gastos!A343="";"";0)</f>
        <v/>
      </c>
      <c r="D1842">
        <f>SE(Gastos!A343="";"";Gastos!F343)</f>
        <v/>
      </c>
    </row>
    <row r="1843">
      <c r="A1843">
        <f>SE(Gastos!A344="";"";Gastos!A344)</f>
        <v/>
      </c>
      <c r="B1843">
        <f>SE(Gastos!A344="";"";Gastos!B344&amp;" - "&amp;Gastos!C344)</f>
        <v/>
      </c>
      <c r="C1843">
        <f>SE(Gastos!A344="";"";0)</f>
        <v/>
      </c>
      <c r="D1843">
        <f>SE(Gastos!A344="";"";Gastos!F344)</f>
        <v/>
      </c>
    </row>
    <row r="1844">
      <c r="A1844">
        <f>SE(Gastos!A345="";"";Gastos!A345)</f>
        <v/>
      </c>
      <c r="B1844">
        <f>SE(Gastos!A345="";"";Gastos!B345&amp;" - "&amp;Gastos!C345)</f>
        <v/>
      </c>
      <c r="C1844">
        <f>SE(Gastos!A345="";"";0)</f>
        <v/>
      </c>
      <c r="D1844">
        <f>SE(Gastos!A345="";"";Gastos!F345)</f>
        <v/>
      </c>
    </row>
    <row r="1845">
      <c r="A1845">
        <f>SE(Gastos!A346="";"";Gastos!A346)</f>
        <v/>
      </c>
      <c r="B1845">
        <f>SE(Gastos!A346="";"";Gastos!B346&amp;" - "&amp;Gastos!C346)</f>
        <v/>
      </c>
      <c r="C1845">
        <f>SE(Gastos!A346="";"";0)</f>
        <v/>
      </c>
      <c r="D1845">
        <f>SE(Gastos!A346="";"";Gastos!F346)</f>
        <v/>
      </c>
    </row>
    <row r="1846">
      <c r="A1846">
        <f>SE(Gastos!A347="";"";Gastos!A347)</f>
        <v/>
      </c>
      <c r="B1846">
        <f>SE(Gastos!A347="";"";Gastos!B347&amp;" - "&amp;Gastos!C347)</f>
        <v/>
      </c>
      <c r="C1846">
        <f>SE(Gastos!A347="";"";0)</f>
        <v/>
      </c>
      <c r="D1846">
        <f>SE(Gastos!A347="";"";Gastos!F347)</f>
        <v/>
      </c>
    </row>
    <row r="1847">
      <c r="A1847">
        <f>SE(Gastos!A348="";"";Gastos!A348)</f>
        <v/>
      </c>
      <c r="B1847">
        <f>SE(Gastos!A348="";"";Gastos!B348&amp;" - "&amp;Gastos!C348)</f>
        <v/>
      </c>
      <c r="C1847">
        <f>SE(Gastos!A348="";"";0)</f>
        <v/>
      </c>
      <c r="D1847">
        <f>SE(Gastos!A348="";"";Gastos!F348)</f>
        <v/>
      </c>
    </row>
    <row r="1848">
      <c r="A1848">
        <f>SE(Gastos!A349="";"";Gastos!A349)</f>
        <v/>
      </c>
      <c r="B1848">
        <f>SE(Gastos!A349="";"";Gastos!B349&amp;" - "&amp;Gastos!C349)</f>
        <v/>
      </c>
      <c r="C1848">
        <f>SE(Gastos!A349="";"";0)</f>
        <v/>
      </c>
      <c r="D1848">
        <f>SE(Gastos!A349="";"";Gastos!F349)</f>
        <v/>
      </c>
    </row>
    <row r="1849">
      <c r="A1849">
        <f>SE(Gastos!A350="";"";Gastos!A350)</f>
        <v/>
      </c>
      <c r="B1849">
        <f>SE(Gastos!A350="";"";Gastos!B350&amp;" - "&amp;Gastos!C350)</f>
        <v/>
      </c>
      <c r="C1849">
        <f>SE(Gastos!A350="";"";0)</f>
        <v/>
      </c>
      <c r="D1849">
        <f>SE(Gastos!A350="";"";Gastos!F350)</f>
        <v/>
      </c>
    </row>
    <row r="1850">
      <c r="A1850">
        <f>SE(Gastos!A351="";"";Gastos!A351)</f>
        <v/>
      </c>
      <c r="B1850">
        <f>SE(Gastos!A351="";"";Gastos!B351&amp;" - "&amp;Gastos!C351)</f>
        <v/>
      </c>
      <c r="C1850">
        <f>SE(Gastos!A351="";"";0)</f>
        <v/>
      </c>
      <c r="D1850">
        <f>SE(Gastos!A351="";"";Gastos!F351)</f>
        <v/>
      </c>
    </row>
    <row r="1851">
      <c r="A1851">
        <f>SE(Gastos!A352="";"";Gastos!A352)</f>
        <v/>
      </c>
      <c r="B1851">
        <f>SE(Gastos!A352="";"";Gastos!B352&amp;" - "&amp;Gastos!C352)</f>
        <v/>
      </c>
      <c r="C1851">
        <f>SE(Gastos!A352="";"";0)</f>
        <v/>
      </c>
      <c r="D1851">
        <f>SE(Gastos!A352="";"";Gastos!F352)</f>
        <v/>
      </c>
    </row>
    <row r="1852">
      <c r="A1852">
        <f>SE(Gastos!A353="";"";Gastos!A353)</f>
        <v/>
      </c>
      <c r="B1852">
        <f>SE(Gastos!A353="";"";Gastos!B353&amp;" - "&amp;Gastos!C353)</f>
        <v/>
      </c>
      <c r="C1852">
        <f>SE(Gastos!A353="";"";0)</f>
        <v/>
      </c>
      <c r="D1852">
        <f>SE(Gastos!A353="";"";Gastos!F353)</f>
        <v/>
      </c>
    </row>
    <row r="1853">
      <c r="A1853">
        <f>SE(Gastos!A354="";"";Gastos!A354)</f>
        <v/>
      </c>
      <c r="B1853">
        <f>SE(Gastos!A354="";"";Gastos!B354&amp;" - "&amp;Gastos!C354)</f>
        <v/>
      </c>
      <c r="C1853">
        <f>SE(Gastos!A354="";"";0)</f>
        <v/>
      </c>
      <c r="D1853">
        <f>SE(Gastos!A354="";"";Gastos!F354)</f>
        <v/>
      </c>
    </row>
    <row r="1854">
      <c r="A1854">
        <f>SE(Gastos!A355="";"";Gastos!A355)</f>
        <v/>
      </c>
      <c r="B1854">
        <f>SE(Gastos!A355="";"";Gastos!B355&amp;" - "&amp;Gastos!C355)</f>
        <v/>
      </c>
      <c r="C1854">
        <f>SE(Gastos!A355="";"";0)</f>
        <v/>
      </c>
      <c r="D1854">
        <f>SE(Gastos!A355="";"";Gastos!F355)</f>
        <v/>
      </c>
    </row>
    <row r="1855">
      <c r="A1855">
        <f>SE(Gastos!A356="";"";Gastos!A356)</f>
        <v/>
      </c>
      <c r="B1855">
        <f>SE(Gastos!A356="";"";Gastos!B356&amp;" - "&amp;Gastos!C356)</f>
        <v/>
      </c>
      <c r="C1855">
        <f>SE(Gastos!A356="";"";0)</f>
        <v/>
      </c>
      <c r="D1855">
        <f>SE(Gastos!A356="";"";Gastos!F356)</f>
        <v/>
      </c>
    </row>
    <row r="1856">
      <c r="A1856">
        <f>SE(Gastos!A357="";"";Gastos!A357)</f>
        <v/>
      </c>
      <c r="B1856">
        <f>SE(Gastos!A357="";"";Gastos!B357&amp;" - "&amp;Gastos!C357)</f>
        <v/>
      </c>
      <c r="C1856">
        <f>SE(Gastos!A357="";"";0)</f>
        <v/>
      </c>
      <c r="D1856">
        <f>SE(Gastos!A357="";"";Gastos!F357)</f>
        <v/>
      </c>
    </row>
    <row r="1857">
      <c r="A1857">
        <f>SE(Gastos!A358="";"";Gastos!A358)</f>
        <v/>
      </c>
      <c r="B1857">
        <f>SE(Gastos!A358="";"";Gastos!B358&amp;" - "&amp;Gastos!C358)</f>
        <v/>
      </c>
      <c r="C1857">
        <f>SE(Gastos!A358="";"";0)</f>
        <v/>
      </c>
      <c r="D1857">
        <f>SE(Gastos!A358="";"";Gastos!F358)</f>
        <v/>
      </c>
    </row>
    <row r="1858">
      <c r="A1858">
        <f>SE(Gastos!A359="";"";Gastos!A359)</f>
        <v/>
      </c>
      <c r="B1858">
        <f>SE(Gastos!A359="";"";Gastos!B359&amp;" - "&amp;Gastos!C359)</f>
        <v/>
      </c>
      <c r="C1858">
        <f>SE(Gastos!A359="";"";0)</f>
        <v/>
      </c>
      <c r="D1858">
        <f>SE(Gastos!A359="";"";Gastos!F359)</f>
        <v/>
      </c>
    </row>
    <row r="1859">
      <c r="A1859">
        <f>SE(Gastos!A360="";"";Gastos!A360)</f>
        <v/>
      </c>
      <c r="B1859">
        <f>SE(Gastos!A360="";"";Gastos!B360&amp;" - "&amp;Gastos!C360)</f>
        <v/>
      </c>
      <c r="C1859">
        <f>SE(Gastos!A360="";"";0)</f>
        <v/>
      </c>
      <c r="D1859">
        <f>SE(Gastos!A360="";"";Gastos!F360)</f>
        <v/>
      </c>
    </row>
    <row r="1860">
      <c r="A1860">
        <f>SE(Gastos!A361="";"";Gastos!A361)</f>
        <v/>
      </c>
      <c r="B1860">
        <f>SE(Gastos!A361="";"";Gastos!B361&amp;" - "&amp;Gastos!C361)</f>
        <v/>
      </c>
      <c r="C1860">
        <f>SE(Gastos!A361="";"";0)</f>
        <v/>
      </c>
      <c r="D1860">
        <f>SE(Gastos!A361="";"";Gastos!F361)</f>
        <v/>
      </c>
    </row>
    <row r="1861">
      <c r="A1861">
        <f>SE(Gastos!A362="";"";Gastos!A362)</f>
        <v/>
      </c>
      <c r="B1861">
        <f>SE(Gastos!A362="";"";Gastos!B362&amp;" - "&amp;Gastos!C362)</f>
        <v/>
      </c>
      <c r="C1861">
        <f>SE(Gastos!A362="";"";0)</f>
        <v/>
      </c>
      <c r="D1861">
        <f>SE(Gastos!A362="";"";Gastos!F362)</f>
        <v/>
      </c>
    </row>
    <row r="1862">
      <c r="A1862">
        <f>SE(Gastos!A363="";"";Gastos!A363)</f>
        <v/>
      </c>
      <c r="B1862">
        <f>SE(Gastos!A363="";"";Gastos!B363&amp;" - "&amp;Gastos!C363)</f>
        <v/>
      </c>
      <c r="C1862">
        <f>SE(Gastos!A363="";"";0)</f>
        <v/>
      </c>
      <c r="D1862">
        <f>SE(Gastos!A363="";"";Gastos!F363)</f>
        <v/>
      </c>
    </row>
    <row r="1863">
      <c r="A1863">
        <f>SE(Gastos!A364="";"";Gastos!A364)</f>
        <v/>
      </c>
      <c r="B1863">
        <f>SE(Gastos!A364="";"";Gastos!B364&amp;" - "&amp;Gastos!C364)</f>
        <v/>
      </c>
      <c r="C1863">
        <f>SE(Gastos!A364="";"";0)</f>
        <v/>
      </c>
      <c r="D1863">
        <f>SE(Gastos!A364="";"";Gastos!F364)</f>
        <v/>
      </c>
    </row>
    <row r="1864">
      <c r="A1864">
        <f>SE(Gastos!A365="";"";Gastos!A365)</f>
        <v/>
      </c>
      <c r="B1864">
        <f>SE(Gastos!A365="";"";Gastos!B365&amp;" - "&amp;Gastos!C365)</f>
        <v/>
      </c>
      <c r="C1864">
        <f>SE(Gastos!A365="";"";0)</f>
        <v/>
      </c>
      <c r="D1864">
        <f>SE(Gastos!A365="";"";Gastos!F365)</f>
        <v/>
      </c>
    </row>
    <row r="1865">
      <c r="A1865">
        <f>SE(Gastos!A366="";"";Gastos!A366)</f>
        <v/>
      </c>
      <c r="B1865">
        <f>SE(Gastos!A366="";"";Gastos!B366&amp;" - "&amp;Gastos!C366)</f>
        <v/>
      </c>
      <c r="C1865">
        <f>SE(Gastos!A366="";"";0)</f>
        <v/>
      </c>
      <c r="D1865">
        <f>SE(Gastos!A366="";"";Gastos!F366)</f>
        <v/>
      </c>
    </row>
    <row r="1866">
      <c r="A1866">
        <f>SE(Gastos!A367="";"";Gastos!A367)</f>
        <v/>
      </c>
      <c r="B1866">
        <f>SE(Gastos!A367="";"";Gastos!B367&amp;" - "&amp;Gastos!C367)</f>
        <v/>
      </c>
      <c r="C1866">
        <f>SE(Gastos!A367="";"";0)</f>
        <v/>
      </c>
      <c r="D1866">
        <f>SE(Gastos!A367="";"";Gastos!F367)</f>
        <v/>
      </c>
    </row>
    <row r="1867">
      <c r="A1867">
        <f>SE(Gastos!A368="";"";Gastos!A368)</f>
        <v/>
      </c>
      <c r="B1867">
        <f>SE(Gastos!A368="";"";Gastos!B368&amp;" - "&amp;Gastos!C368)</f>
        <v/>
      </c>
      <c r="C1867">
        <f>SE(Gastos!A368="";"";0)</f>
        <v/>
      </c>
      <c r="D1867">
        <f>SE(Gastos!A368="";"";Gastos!F368)</f>
        <v/>
      </c>
    </row>
    <row r="1868">
      <c r="A1868">
        <f>SE(Gastos!A369="";"";Gastos!A369)</f>
        <v/>
      </c>
      <c r="B1868">
        <f>SE(Gastos!A369="";"";Gastos!B369&amp;" - "&amp;Gastos!C369)</f>
        <v/>
      </c>
      <c r="C1868">
        <f>SE(Gastos!A369="";"";0)</f>
        <v/>
      </c>
      <c r="D1868">
        <f>SE(Gastos!A369="";"";Gastos!F369)</f>
        <v/>
      </c>
    </row>
    <row r="1869">
      <c r="A1869">
        <f>SE(Gastos!A370="";"";Gastos!A370)</f>
        <v/>
      </c>
      <c r="B1869">
        <f>SE(Gastos!A370="";"";Gastos!B370&amp;" - "&amp;Gastos!C370)</f>
        <v/>
      </c>
      <c r="C1869">
        <f>SE(Gastos!A370="";"";0)</f>
        <v/>
      </c>
      <c r="D1869">
        <f>SE(Gastos!A370="";"";Gastos!F370)</f>
        <v/>
      </c>
    </row>
    <row r="1870">
      <c r="A1870">
        <f>SE(Gastos!A371="";"";Gastos!A371)</f>
        <v/>
      </c>
      <c r="B1870">
        <f>SE(Gastos!A371="";"";Gastos!B371&amp;" - "&amp;Gastos!C371)</f>
        <v/>
      </c>
      <c r="C1870">
        <f>SE(Gastos!A371="";"";0)</f>
        <v/>
      </c>
      <c r="D1870">
        <f>SE(Gastos!A371="";"";Gastos!F371)</f>
        <v/>
      </c>
    </row>
    <row r="1871">
      <c r="A1871">
        <f>SE(Gastos!A372="";"";Gastos!A372)</f>
        <v/>
      </c>
      <c r="B1871">
        <f>SE(Gastos!A372="";"";Gastos!B372&amp;" - "&amp;Gastos!C372)</f>
        <v/>
      </c>
      <c r="C1871">
        <f>SE(Gastos!A372="";"";0)</f>
        <v/>
      </c>
      <c r="D1871">
        <f>SE(Gastos!A372="";"";Gastos!F372)</f>
        <v/>
      </c>
    </row>
    <row r="1872">
      <c r="A1872">
        <f>SE(Gastos!A373="";"";Gastos!A373)</f>
        <v/>
      </c>
      <c r="B1872">
        <f>SE(Gastos!A373="";"";Gastos!B373&amp;" - "&amp;Gastos!C373)</f>
        <v/>
      </c>
      <c r="C1872">
        <f>SE(Gastos!A373="";"";0)</f>
        <v/>
      </c>
      <c r="D1872">
        <f>SE(Gastos!A373="";"";Gastos!F373)</f>
        <v/>
      </c>
    </row>
    <row r="1873">
      <c r="A1873">
        <f>SE(Gastos!A374="";"";Gastos!A374)</f>
        <v/>
      </c>
      <c r="B1873">
        <f>SE(Gastos!A374="";"";Gastos!B374&amp;" - "&amp;Gastos!C374)</f>
        <v/>
      </c>
      <c r="C1873">
        <f>SE(Gastos!A374="";"";0)</f>
        <v/>
      </c>
      <c r="D1873">
        <f>SE(Gastos!A374="";"";Gastos!F374)</f>
        <v/>
      </c>
    </row>
    <row r="1874">
      <c r="A1874">
        <f>SE(Gastos!A375="";"";Gastos!A375)</f>
        <v/>
      </c>
      <c r="B1874">
        <f>SE(Gastos!A375="";"";Gastos!B375&amp;" - "&amp;Gastos!C375)</f>
        <v/>
      </c>
      <c r="C1874">
        <f>SE(Gastos!A375="";"";0)</f>
        <v/>
      </c>
      <c r="D1874">
        <f>SE(Gastos!A375="";"";Gastos!F375)</f>
        <v/>
      </c>
    </row>
    <row r="1875">
      <c r="A1875">
        <f>SE(Gastos!A376="";"";Gastos!A376)</f>
        <v/>
      </c>
      <c r="B1875">
        <f>SE(Gastos!A376="";"";Gastos!B376&amp;" - "&amp;Gastos!C376)</f>
        <v/>
      </c>
      <c r="C1875">
        <f>SE(Gastos!A376="";"";0)</f>
        <v/>
      </c>
      <c r="D1875">
        <f>SE(Gastos!A376="";"";Gastos!F376)</f>
        <v/>
      </c>
    </row>
    <row r="1876">
      <c r="A1876">
        <f>SE(Gastos!A377="";"";Gastos!A377)</f>
        <v/>
      </c>
      <c r="B1876">
        <f>SE(Gastos!A377="";"";Gastos!B377&amp;" - "&amp;Gastos!C377)</f>
        <v/>
      </c>
      <c r="C1876">
        <f>SE(Gastos!A377="";"";0)</f>
        <v/>
      </c>
      <c r="D1876">
        <f>SE(Gastos!A377="";"";Gastos!F377)</f>
        <v/>
      </c>
    </row>
    <row r="1877">
      <c r="A1877">
        <f>SE(Gastos!A378="";"";Gastos!A378)</f>
        <v/>
      </c>
      <c r="B1877">
        <f>SE(Gastos!A378="";"";Gastos!B378&amp;" - "&amp;Gastos!C378)</f>
        <v/>
      </c>
      <c r="C1877">
        <f>SE(Gastos!A378="";"";0)</f>
        <v/>
      </c>
      <c r="D1877">
        <f>SE(Gastos!A378="";"";Gastos!F378)</f>
        <v/>
      </c>
    </row>
    <row r="1878">
      <c r="A1878">
        <f>SE(Gastos!A379="";"";Gastos!A379)</f>
        <v/>
      </c>
      <c r="B1878">
        <f>SE(Gastos!A379="";"";Gastos!B379&amp;" - "&amp;Gastos!C379)</f>
        <v/>
      </c>
      <c r="C1878">
        <f>SE(Gastos!A379="";"";0)</f>
        <v/>
      </c>
      <c r="D1878">
        <f>SE(Gastos!A379="";"";Gastos!F379)</f>
        <v/>
      </c>
    </row>
    <row r="1879">
      <c r="A1879">
        <f>SE(Gastos!A380="";"";Gastos!A380)</f>
        <v/>
      </c>
      <c r="B1879">
        <f>SE(Gastos!A380="";"";Gastos!B380&amp;" - "&amp;Gastos!C380)</f>
        <v/>
      </c>
      <c r="C1879">
        <f>SE(Gastos!A380="";"";0)</f>
        <v/>
      </c>
      <c r="D1879">
        <f>SE(Gastos!A380="";"";Gastos!F380)</f>
        <v/>
      </c>
    </row>
    <row r="1880">
      <c r="A1880">
        <f>SE(Gastos!A381="";"";Gastos!A381)</f>
        <v/>
      </c>
      <c r="B1880">
        <f>SE(Gastos!A381="";"";Gastos!B381&amp;" - "&amp;Gastos!C381)</f>
        <v/>
      </c>
      <c r="C1880">
        <f>SE(Gastos!A381="";"";0)</f>
        <v/>
      </c>
      <c r="D1880">
        <f>SE(Gastos!A381="";"";Gastos!F381)</f>
        <v/>
      </c>
    </row>
    <row r="1881">
      <c r="A1881">
        <f>SE(Gastos!A382="";"";Gastos!A382)</f>
        <v/>
      </c>
      <c r="B1881">
        <f>SE(Gastos!A382="";"";Gastos!B382&amp;" - "&amp;Gastos!C382)</f>
        <v/>
      </c>
      <c r="C1881">
        <f>SE(Gastos!A382="";"";0)</f>
        <v/>
      </c>
      <c r="D1881">
        <f>SE(Gastos!A382="";"";Gastos!F382)</f>
        <v/>
      </c>
    </row>
    <row r="1882">
      <c r="A1882">
        <f>SE(Gastos!A383="";"";Gastos!A383)</f>
        <v/>
      </c>
      <c r="B1882">
        <f>SE(Gastos!A383="";"";Gastos!B383&amp;" - "&amp;Gastos!C383)</f>
        <v/>
      </c>
      <c r="C1882">
        <f>SE(Gastos!A383="";"";0)</f>
        <v/>
      </c>
      <c r="D1882">
        <f>SE(Gastos!A383="";"";Gastos!F383)</f>
        <v/>
      </c>
    </row>
    <row r="1883">
      <c r="A1883">
        <f>SE(Gastos!A384="";"";Gastos!A384)</f>
        <v/>
      </c>
      <c r="B1883">
        <f>SE(Gastos!A384="";"";Gastos!B384&amp;" - "&amp;Gastos!C384)</f>
        <v/>
      </c>
      <c r="C1883">
        <f>SE(Gastos!A384="";"";0)</f>
        <v/>
      </c>
      <c r="D1883">
        <f>SE(Gastos!A384="";"";Gastos!F384)</f>
        <v/>
      </c>
    </row>
    <row r="1884">
      <c r="A1884">
        <f>SE(Gastos!A385="";"";Gastos!A385)</f>
        <v/>
      </c>
      <c r="B1884">
        <f>SE(Gastos!A385="";"";Gastos!B385&amp;" - "&amp;Gastos!C385)</f>
        <v/>
      </c>
      <c r="C1884">
        <f>SE(Gastos!A385="";"";0)</f>
        <v/>
      </c>
      <c r="D1884">
        <f>SE(Gastos!A385="";"";Gastos!F385)</f>
        <v/>
      </c>
    </row>
    <row r="1885">
      <c r="A1885">
        <f>SE(Gastos!A386="";"";Gastos!A386)</f>
        <v/>
      </c>
      <c r="B1885">
        <f>SE(Gastos!A386="";"";Gastos!B386&amp;" - "&amp;Gastos!C386)</f>
        <v/>
      </c>
      <c r="C1885">
        <f>SE(Gastos!A386="";"";0)</f>
        <v/>
      </c>
      <c r="D1885">
        <f>SE(Gastos!A386="";"";Gastos!F386)</f>
        <v/>
      </c>
    </row>
    <row r="1886">
      <c r="A1886">
        <f>SE(Gastos!A387="";"";Gastos!A387)</f>
        <v/>
      </c>
      <c r="B1886">
        <f>SE(Gastos!A387="";"";Gastos!B387&amp;" - "&amp;Gastos!C387)</f>
        <v/>
      </c>
      <c r="C1886">
        <f>SE(Gastos!A387="";"";0)</f>
        <v/>
      </c>
      <c r="D1886">
        <f>SE(Gastos!A387="";"";Gastos!F387)</f>
        <v/>
      </c>
    </row>
    <row r="1887">
      <c r="A1887">
        <f>SE(Gastos!A388="";"";Gastos!A388)</f>
        <v/>
      </c>
      <c r="B1887">
        <f>SE(Gastos!A388="";"";Gastos!B388&amp;" - "&amp;Gastos!C388)</f>
        <v/>
      </c>
      <c r="C1887">
        <f>SE(Gastos!A388="";"";0)</f>
        <v/>
      </c>
      <c r="D1887">
        <f>SE(Gastos!A388="";"";Gastos!F388)</f>
        <v/>
      </c>
    </row>
    <row r="1888">
      <c r="A1888">
        <f>SE(Gastos!A389="";"";Gastos!A389)</f>
        <v/>
      </c>
      <c r="B1888">
        <f>SE(Gastos!A389="";"";Gastos!B389&amp;" - "&amp;Gastos!C389)</f>
        <v/>
      </c>
      <c r="C1888">
        <f>SE(Gastos!A389="";"";0)</f>
        <v/>
      </c>
      <c r="D1888">
        <f>SE(Gastos!A389="";"";Gastos!F389)</f>
        <v/>
      </c>
    </row>
    <row r="1889">
      <c r="A1889">
        <f>SE(Gastos!A390="";"";Gastos!A390)</f>
        <v/>
      </c>
      <c r="B1889">
        <f>SE(Gastos!A390="";"";Gastos!B390&amp;" - "&amp;Gastos!C390)</f>
        <v/>
      </c>
      <c r="C1889">
        <f>SE(Gastos!A390="";"";0)</f>
        <v/>
      </c>
      <c r="D1889">
        <f>SE(Gastos!A390="";"";Gastos!F390)</f>
        <v/>
      </c>
    </row>
    <row r="1890">
      <c r="A1890">
        <f>SE(Gastos!A391="";"";Gastos!A391)</f>
        <v/>
      </c>
      <c r="B1890">
        <f>SE(Gastos!A391="";"";Gastos!B391&amp;" - "&amp;Gastos!C391)</f>
        <v/>
      </c>
      <c r="C1890">
        <f>SE(Gastos!A391="";"";0)</f>
        <v/>
      </c>
      <c r="D1890">
        <f>SE(Gastos!A391="";"";Gastos!F391)</f>
        <v/>
      </c>
    </row>
    <row r="1891">
      <c r="A1891">
        <f>SE(Gastos!A392="";"";Gastos!A392)</f>
        <v/>
      </c>
      <c r="B1891">
        <f>SE(Gastos!A392="";"";Gastos!B392&amp;" - "&amp;Gastos!C392)</f>
        <v/>
      </c>
      <c r="C1891">
        <f>SE(Gastos!A392="";"";0)</f>
        <v/>
      </c>
      <c r="D1891">
        <f>SE(Gastos!A392="";"";Gastos!F392)</f>
        <v/>
      </c>
    </row>
    <row r="1892">
      <c r="A1892">
        <f>SE(Gastos!A393="";"";Gastos!A393)</f>
        <v/>
      </c>
      <c r="B1892">
        <f>SE(Gastos!A393="";"";Gastos!B393&amp;" - "&amp;Gastos!C393)</f>
        <v/>
      </c>
      <c r="C1892">
        <f>SE(Gastos!A393="";"";0)</f>
        <v/>
      </c>
      <c r="D1892">
        <f>SE(Gastos!A393="";"";Gastos!F393)</f>
        <v/>
      </c>
    </row>
    <row r="1893">
      <c r="A1893">
        <f>SE(Gastos!A394="";"";Gastos!A394)</f>
        <v/>
      </c>
      <c r="B1893">
        <f>SE(Gastos!A394="";"";Gastos!B394&amp;" - "&amp;Gastos!C394)</f>
        <v/>
      </c>
      <c r="C1893">
        <f>SE(Gastos!A394="";"";0)</f>
        <v/>
      </c>
      <c r="D1893">
        <f>SE(Gastos!A394="";"";Gastos!F394)</f>
        <v/>
      </c>
    </row>
    <row r="1894">
      <c r="A1894">
        <f>SE(Gastos!A395="";"";Gastos!A395)</f>
        <v/>
      </c>
      <c r="B1894">
        <f>SE(Gastos!A395="";"";Gastos!B395&amp;" - "&amp;Gastos!C395)</f>
        <v/>
      </c>
      <c r="C1894">
        <f>SE(Gastos!A395="";"";0)</f>
        <v/>
      </c>
      <c r="D1894">
        <f>SE(Gastos!A395="";"";Gastos!F395)</f>
        <v/>
      </c>
    </row>
    <row r="1895">
      <c r="A1895">
        <f>SE(Gastos!A396="";"";Gastos!A396)</f>
        <v/>
      </c>
      <c r="B1895">
        <f>SE(Gastos!A396="";"";Gastos!B396&amp;" - "&amp;Gastos!C396)</f>
        <v/>
      </c>
      <c r="C1895">
        <f>SE(Gastos!A396="";"";0)</f>
        <v/>
      </c>
      <c r="D1895">
        <f>SE(Gastos!A396="";"";Gastos!F396)</f>
        <v/>
      </c>
    </row>
    <row r="1896">
      <c r="A1896">
        <f>SE(Gastos!A397="";"";Gastos!A397)</f>
        <v/>
      </c>
      <c r="B1896">
        <f>SE(Gastos!A397="";"";Gastos!B397&amp;" - "&amp;Gastos!C397)</f>
        <v/>
      </c>
      <c r="C1896">
        <f>SE(Gastos!A397="";"";0)</f>
        <v/>
      </c>
      <c r="D1896">
        <f>SE(Gastos!A397="";"";Gastos!F397)</f>
        <v/>
      </c>
    </row>
    <row r="1897">
      <c r="A1897">
        <f>SE(Gastos!A398="";"";Gastos!A398)</f>
        <v/>
      </c>
      <c r="B1897">
        <f>SE(Gastos!A398="";"";Gastos!B398&amp;" - "&amp;Gastos!C398)</f>
        <v/>
      </c>
      <c r="C1897">
        <f>SE(Gastos!A398="";"";0)</f>
        <v/>
      </c>
      <c r="D1897">
        <f>SE(Gastos!A398="";"";Gastos!F398)</f>
        <v/>
      </c>
    </row>
    <row r="1898">
      <c r="A1898">
        <f>SE(Gastos!A399="";"";Gastos!A399)</f>
        <v/>
      </c>
      <c r="B1898">
        <f>SE(Gastos!A399="";"";Gastos!B399&amp;" - "&amp;Gastos!C399)</f>
        <v/>
      </c>
      <c r="C1898">
        <f>SE(Gastos!A399="";"";0)</f>
        <v/>
      </c>
      <c r="D1898">
        <f>SE(Gastos!A399="";"";Gastos!F399)</f>
        <v/>
      </c>
    </row>
    <row r="1899">
      <c r="A1899">
        <f>SE(Gastos!A400="";"";Gastos!A400)</f>
        <v/>
      </c>
      <c r="B1899">
        <f>SE(Gastos!A400="";"";Gastos!B400&amp;" - "&amp;Gastos!C400)</f>
        <v/>
      </c>
      <c r="C1899">
        <f>SE(Gastos!A400="";"";0)</f>
        <v/>
      </c>
      <c r="D1899">
        <f>SE(Gastos!A400="";"";Gastos!F400)</f>
        <v/>
      </c>
    </row>
    <row r="1900">
      <c r="A1900">
        <f>SE(Gastos!A401="";"";Gastos!A401)</f>
        <v/>
      </c>
      <c r="B1900">
        <f>SE(Gastos!A401="";"";Gastos!B401&amp;" - "&amp;Gastos!C401)</f>
        <v/>
      </c>
      <c r="C1900">
        <f>SE(Gastos!A401="";"";0)</f>
        <v/>
      </c>
      <c r="D1900">
        <f>SE(Gastos!A401="";"";Gastos!F401)</f>
        <v/>
      </c>
    </row>
    <row r="1901">
      <c r="A1901">
        <f>SE(Gastos!A402="";"";Gastos!A402)</f>
        <v/>
      </c>
      <c r="B1901">
        <f>SE(Gastos!A402="";"";Gastos!B402&amp;" - "&amp;Gastos!C402)</f>
        <v/>
      </c>
      <c r="C1901">
        <f>SE(Gastos!A402="";"";0)</f>
        <v/>
      </c>
      <c r="D1901">
        <f>SE(Gastos!A402="";"";Gastos!F402)</f>
        <v/>
      </c>
    </row>
    <row r="1902">
      <c r="A1902">
        <f>SE(Gastos!A403="";"";Gastos!A403)</f>
        <v/>
      </c>
      <c r="B1902">
        <f>SE(Gastos!A403="";"";Gastos!B403&amp;" - "&amp;Gastos!C403)</f>
        <v/>
      </c>
      <c r="C1902">
        <f>SE(Gastos!A403="";"";0)</f>
        <v/>
      </c>
      <c r="D1902">
        <f>SE(Gastos!A403="";"";Gastos!F403)</f>
        <v/>
      </c>
    </row>
    <row r="1903">
      <c r="A1903">
        <f>SE(Gastos!A404="";"";Gastos!A404)</f>
        <v/>
      </c>
      <c r="B1903">
        <f>SE(Gastos!A404="";"";Gastos!B404&amp;" - "&amp;Gastos!C404)</f>
        <v/>
      </c>
      <c r="C1903">
        <f>SE(Gastos!A404="";"";0)</f>
        <v/>
      </c>
      <c r="D1903">
        <f>SE(Gastos!A404="";"";Gastos!F404)</f>
        <v/>
      </c>
    </row>
    <row r="1904">
      <c r="A1904">
        <f>SE(Gastos!A405="";"";Gastos!A405)</f>
        <v/>
      </c>
      <c r="B1904">
        <f>SE(Gastos!A405="";"";Gastos!B405&amp;" - "&amp;Gastos!C405)</f>
        <v/>
      </c>
      <c r="C1904">
        <f>SE(Gastos!A405="";"";0)</f>
        <v/>
      </c>
      <c r="D1904">
        <f>SE(Gastos!A405="";"";Gastos!F405)</f>
        <v/>
      </c>
    </row>
    <row r="1905">
      <c r="A1905">
        <f>SE(Gastos!A406="";"";Gastos!A406)</f>
        <v/>
      </c>
      <c r="B1905">
        <f>SE(Gastos!A406="";"";Gastos!B406&amp;" - "&amp;Gastos!C406)</f>
        <v/>
      </c>
      <c r="C1905">
        <f>SE(Gastos!A406="";"";0)</f>
        <v/>
      </c>
      <c r="D1905">
        <f>SE(Gastos!A406="";"";Gastos!F406)</f>
        <v/>
      </c>
    </row>
    <row r="1906">
      <c r="A1906">
        <f>SE(Gastos!A407="";"";Gastos!A407)</f>
        <v/>
      </c>
      <c r="B1906">
        <f>SE(Gastos!A407="";"";Gastos!B407&amp;" - "&amp;Gastos!C407)</f>
        <v/>
      </c>
      <c r="C1906">
        <f>SE(Gastos!A407="";"";0)</f>
        <v/>
      </c>
      <c r="D1906">
        <f>SE(Gastos!A407="";"";Gastos!F407)</f>
        <v/>
      </c>
    </row>
    <row r="1907">
      <c r="A1907">
        <f>SE(Gastos!A408="";"";Gastos!A408)</f>
        <v/>
      </c>
      <c r="B1907">
        <f>SE(Gastos!A408="";"";Gastos!B408&amp;" - "&amp;Gastos!C408)</f>
        <v/>
      </c>
      <c r="C1907">
        <f>SE(Gastos!A408="";"";0)</f>
        <v/>
      </c>
      <c r="D1907">
        <f>SE(Gastos!A408="";"";Gastos!F408)</f>
        <v/>
      </c>
    </row>
    <row r="1908">
      <c r="A1908">
        <f>SE(Gastos!A409="";"";Gastos!A409)</f>
        <v/>
      </c>
      <c r="B1908">
        <f>SE(Gastos!A409="";"";Gastos!B409&amp;" - "&amp;Gastos!C409)</f>
        <v/>
      </c>
      <c r="C1908">
        <f>SE(Gastos!A409="";"";0)</f>
        <v/>
      </c>
      <c r="D1908">
        <f>SE(Gastos!A409="";"";Gastos!F409)</f>
        <v/>
      </c>
    </row>
    <row r="1909">
      <c r="A1909">
        <f>SE(Gastos!A410="";"";Gastos!A410)</f>
        <v/>
      </c>
      <c r="B1909">
        <f>SE(Gastos!A410="";"";Gastos!B410&amp;" - "&amp;Gastos!C410)</f>
        <v/>
      </c>
      <c r="C1909">
        <f>SE(Gastos!A410="";"";0)</f>
        <v/>
      </c>
      <c r="D1909">
        <f>SE(Gastos!A410="";"";Gastos!F410)</f>
        <v/>
      </c>
    </row>
    <row r="1910">
      <c r="A1910">
        <f>SE(Gastos!A411="";"";Gastos!A411)</f>
        <v/>
      </c>
      <c r="B1910">
        <f>SE(Gastos!A411="";"";Gastos!B411&amp;" - "&amp;Gastos!C411)</f>
        <v/>
      </c>
      <c r="C1910">
        <f>SE(Gastos!A411="";"";0)</f>
        <v/>
      </c>
      <c r="D1910">
        <f>SE(Gastos!A411="";"";Gastos!F411)</f>
        <v/>
      </c>
    </row>
    <row r="1911">
      <c r="A1911">
        <f>SE(Gastos!A412="";"";Gastos!A412)</f>
        <v/>
      </c>
      <c r="B1911">
        <f>SE(Gastos!A412="";"";Gastos!B412&amp;" - "&amp;Gastos!C412)</f>
        <v/>
      </c>
      <c r="C1911">
        <f>SE(Gastos!A412="";"";0)</f>
        <v/>
      </c>
      <c r="D1911">
        <f>SE(Gastos!A412="";"";Gastos!F412)</f>
        <v/>
      </c>
    </row>
    <row r="1912">
      <c r="A1912">
        <f>SE(Gastos!A413="";"";Gastos!A413)</f>
        <v/>
      </c>
      <c r="B1912">
        <f>SE(Gastos!A413="";"";Gastos!B413&amp;" - "&amp;Gastos!C413)</f>
        <v/>
      </c>
      <c r="C1912">
        <f>SE(Gastos!A413="";"";0)</f>
        <v/>
      </c>
      <c r="D1912">
        <f>SE(Gastos!A413="";"";Gastos!F413)</f>
        <v/>
      </c>
    </row>
    <row r="1913">
      <c r="A1913">
        <f>SE(Gastos!A414="";"";Gastos!A414)</f>
        <v/>
      </c>
      <c r="B1913">
        <f>SE(Gastos!A414="";"";Gastos!B414&amp;" - "&amp;Gastos!C414)</f>
        <v/>
      </c>
      <c r="C1913">
        <f>SE(Gastos!A414="";"";0)</f>
        <v/>
      </c>
      <c r="D1913">
        <f>SE(Gastos!A414="";"";Gastos!F414)</f>
        <v/>
      </c>
    </row>
    <row r="1914">
      <c r="A1914">
        <f>SE(Gastos!A415="";"";Gastos!A415)</f>
        <v/>
      </c>
      <c r="B1914">
        <f>SE(Gastos!A415="";"";Gastos!B415&amp;" - "&amp;Gastos!C415)</f>
        <v/>
      </c>
      <c r="C1914">
        <f>SE(Gastos!A415="";"";0)</f>
        <v/>
      </c>
      <c r="D1914">
        <f>SE(Gastos!A415="";"";Gastos!F415)</f>
        <v/>
      </c>
    </row>
    <row r="1915">
      <c r="A1915">
        <f>SE(Gastos!A416="";"";Gastos!A416)</f>
        <v/>
      </c>
      <c r="B1915">
        <f>SE(Gastos!A416="";"";Gastos!B416&amp;" - "&amp;Gastos!C416)</f>
        <v/>
      </c>
      <c r="C1915">
        <f>SE(Gastos!A416="";"";0)</f>
        <v/>
      </c>
      <c r="D1915">
        <f>SE(Gastos!A416="";"";Gastos!F416)</f>
        <v/>
      </c>
    </row>
    <row r="1916">
      <c r="A1916">
        <f>SE(Gastos!A417="";"";Gastos!A417)</f>
        <v/>
      </c>
      <c r="B1916">
        <f>SE(Gastos!A417="";"";Gastos!B417&amp;" - "&amp;Gastos!C417)</f>
        <v/>
      </c>
      <c r="C1916">
        <f>SE(Gastos!A417="";"";0)</f>
        <v/>
      </c>
      <c r="D1916">
        <f>SE(Gastos!A417="";"";Gastos!F417)</f>
        <v/>
      </c>
    </row>
    <row r="1917">
      <c r="A1917">
        <f>SE(Gastos!A418="";"";Gastos!A418)</f>
        <v/>
      </c>
      <c r="B1917">
        <f>SE(Gastos!A418="";"";Gastos!B418&amp;" - "&amp;Gastos!C418)</f>
        <v/>
      </c>
      <c r="C1917">
        <f>SE(Gastos!A418="";"";0)</f>
        <v/>
      </c>
      <c r="D1917">
        <f>SE(Gastos!A418="";"";Gastos!F418)</f>
        <v/>
      </c>
    </row>
    <row r="1918">
      <c r="A1918">
        <f>SE(Gastos!A419="";"";Gastos!A419)</f>
        <v/>
      </c>
      <c r="B1918">
        <f>SE(Gastos!A419="";"";Gastos!B419&amp;" - "&amp;Gastos!C419)</f>
        <v/>
      </c>
      <c r="C1918">
        <f>SE(Gastos!A419="";"";0)</f>
        <v/>
      </c>
      <c r="D1918">
        <f>SE(Gastos!A419="";"";Gastos!F419)</f>
        <v/>
      </c>
    </row>
    <row r="1919">
      <c r="A1919">
        <f>SE(Gastos!A420="";"";Gastos!A420)</f>
        <v/>
      </c>
      <c r="B1919">
        <f>SE(Gastos!A420="";"";Gastos!B420&amp;" - "&amp;Gastos!C420)</f>
        <v/>
      </c>
      <c r="C1919">
        <f>SE(Gastos!A420="";"";0)</f>
        <v/>
      </c>
      <c r="D1919">
        <f>SE(Gastos!A420="";"";Gastos!F420)</f>
        <v/>
      </c>
    </row>
    <row r="1920">
      <c r="A1920">
        <f>SE(Gastos!A421="";"";Gastos!A421)</f>
        <v/>
      </c>
      <c r="B1920">
        <f>SE(Gastos!A421="";"";Gastos!B421&amp;" - "&amp;Gastos!C421)</f>
        <v/>
      </c>
      <c r="C1920">
        <f>SE(Gastos!A421="";"";0)</f>
        <v/>
      </c>
      <c r="D1920">
        <f>SE(Gastos!A421="";"";Gastos!F421)</f>
        <v/>
      </c>
    </row>
    <row r="1921">
      <c r="A1921">
        <f>SE(Gastos!A422="";"";Gastos!A422)</f>
        <v/>
      </c>
      <c r="B1921">
        <f>SE(Gastos!A422="";"";Gastos!B422&amp;" - "&amp;Gastos!C422)</f>
        <v/>
      </c>
      <c r="C1921">
        <f>SE(Gastos!A422="";"";0)</f>
        <v/>
      </c>
      <c r="D1921">
        <f>SE(Gastos!A422="";"";Gastos!F422)</f>
        <v/>
      </c>
    </row>
    <row r="1922">
      <c r="A1922">
        <f>SE(Gastos!A423="";"";Gastos!A423)</f>
        <v/>
      </c>
      <c r="B1922">
        <f>SE(Gastos!A423="";"";Gastos!B423&amp;" - "&amp;Gastos!C423)</f>
        <v/>
      </c>
      <c r="C1922">
        <f>SE(Gastos!A423="";"";0)</f>
        <v/>
      </c>
      <c r="D1922">
        <f>SE(Gastos!A423="";"";Gastos!F423)</f>
        <v/>
      </c>
    </row>
    <row r="1923">
      <c r="A1923">
        <f>SE(Gastos!A424="";"";Gastos!A424)</f>
        <v/>
      </c>
      <c r="B1923">
        <f>SE(Gastos!A424="";"";Gastos!B424&amp;" - "&amp;Gastos!C424)</f>
        <v/>
      </c>
      <c r="C1923">
        <f>SE(Gastos!A424="";"";0)</f>
        <v/>
      </c>
      <c r="D1923">
        <f>SE(Gastos!A424="";"";Gastos!F424)</f>
        <v/>
      </c>
    </row>
    <row r="1924">
      <c r="A1924">
        <f>SE(Gastos!A425="";"";Gastos!A425)</f>
        <v/>
      </c>
      <c r="B1924">
        <f>SE(Gastos!A425="";"";Gastos!B425&amp;" - "&amp;Gastos!C425)</f>
        <v/>
      </c>
      <c r="C1924">
        <f>SE(Gastos!A425="";"";0)</f>
        <v/>
      </c>
      <c r="D1924">
        <f>SE(Gastos!A425="";"";Gastos!F425)</f>
        <v/>
      </c>
    </row>
    <row r="1925">
      <c r="A1925">
        <f>SE(Gastos!A426="";"";Gastos!A426)</f>
        <v/>
      </c>
      <c r="B1925">
        <f>SE(Gastos!A426="";"";Gastos!B426&amp;" - "&amp;Gastos!C426)</f>
        <v/>
      </c>
      <c r="C1925">
        <f>SE(Gastos!A426="";"";0)</f>
        <v/>
      </c>
      <c r="D1925">
        <f>SE(Gastos!A426="";"";Gastos!F426)</f>
        <v/>
      </c>
    </row>
    <row r="1926">
      <c r="A1926">
        <f>SE(Gastos!A427="";"";Gastos!A427)</f>
        <v/>
      </c>
      <c r="B1926">
        <f>SE(Gastos!A427="";"";Gastos!B427&amp;" - "&amp;Gastos!C427)</f>
        <v/>
      </c>
      <c r="C1926">
        <f>SE(Gastos!A427="";"";0)</f>
        <v/>
      </c>
      <c r="D1926">
        <f>SE(Gastos!A427="";"";Gastos!F427)</f>
        <v/>
      </c>
    </row>
    <row r="1927">
      <c r="A1927">
        <f>SE(Gastos!A428="";"";Gastos!A428)</f>
        <v/>
      </c>
      <c r="B1927">
        <f>SE(Gastos!A428="";"";Gastos!B428&amp;" - "&amp;Gastos!C428)</f>
        <v/>
      </c>
      <c r="C1927">
        <f>SE(Gastos!A428="";"";0)</f>
        <v/>
      </c>
      <c r="D1927">
        <f>SE(Gastos!A428="";"";Gastos!F428)</f>
        <v/>
      </c>
    </row>
    <row r="1928">
      <c r="A1928">
        <f>SE(Gastos!A429="";"";Gastos!A429)</f>
        <v/>
      </c>
      <c r="B1928">
        <f>SE(Gastos!A429="";"";Gastos!B429&amp;" - "&amp;Gastos!C429)</f>
        <v/>
      </c>
      <c r="C1928">
        <f>SE(Gastos!A429="";"";0)</f>
        <v/>
      </c>
      <c r="D1928">
        <f>SE(Gastos!A429="";"";Gastos!F429)</f>
        <v/>
      </c>
    </row>
    <row r="1929">
      <c r="A1929">
        <f>SE(Gastos!A430="";"";Gastos!A430)</f>
        <v/>
      </c>
      <c r="B1929">
        <f>SE(Gastos!A430="";"";Gastos!B430&amp;" - "&amp;Gastos!C430)</f>
        <v/>
      </c>
      <c r="C1929">
        <f>SE(Gastos!A430="";"";0)</f>
        <v/>
      </c>
      <c r="D1929">
        <f>SE(Gastos!A430="";"";Gastos!F430)</f>
        <v/>
      </c>
    </row>
    <row r="1930">
      <c r="A1930">
        <f>SE(Gastos!A431="";"";Gastos!A431)</f>
        <v/>
      </c>
      <c r="B1930">
        <f>SE(Gastos!A431="";"";Gastos!B431&amp;" - "&amp;Gastos!C431)</f>
        <v/>
      </c>
      <c r="C1930">
        <f>SE(Gastos!A431="";"";0)</f>
        <v/>
      </c>
      <c r="D1930">
        <f>SE(Gastos!A431="";"";Gastos!F431)</f>
        <v/>
      </c>
    </row>
    <row r="1931">
      <c r="A1931">
        <f>SE(Gastos!A432="";"";Gastos!A432)</f>
        <v/>
      </c>
      <c r="B1931">
        <f>SE(Gastos!A432="";"";Gastos!B432&amp;" - "&amp;Gastos!C432)</f>
        <v/>
      </c>
      <c r="C1931">
        <f>SE(Gastos!A432="";"";0)</f>
        <v/>
      </c>
      <c r="D1931">
        <f>SE(Gastos!A432="";"";Gastos!F432)</f>
        <v/>
      </c>
    </row>
    <row r="1932">
      <c r="A1932">
        <f>SE(Gastos!A433="";"";Gastos!A433)</f>
        <v/>
      </c>
      <c r="B1932">
        <f>SE(Gastos!A433="";"";Gastos!B433&amp;" - "&amp;Gastos!C433)</f>
        <v/>
      </c>
      <c r="C1932">
        <f>SE(Gastos!A433="";"";0)</f>
        <v/>
      </c>
      <c r="D1932">
        <f>SE(Gastos!A433="";"";Gastos!F433)</f>
        <v/>
      </c>
    </row>
    <row r="1933">
      <c r="A1933">
        <f>SE(Gastos!A434="";"";Gastos!A434)</f>
        <v/>
      </c>
      <c r="B1933">
        <f>SE(Gastos!A434="";"";Gastos!B434&amp;" - "&amp;Gastos!C434)</f>
        <v/>
      </c>
      <c r="C1933">
        <f>SE(Gastos!A434="";"";0)</f>
        <v/>
      </c>
      <c r="D1933">
        <f>SE(Gastos!A434="";"";Gastos!F434)</f>
        <v/>
      </c>
    </row>
    <row r="1934">
      <c r="A1934">
        <f>SE(Gastos!A435="";"";Gastos!A435)</f>
        <v/>
      </c>
      <c r="B1934">
        <f>SE(Gastos!A435="";"";Gastos!B435&amp;" - "&amp;Gastos!C435)</f>
        <v/>
      </c>
      <c r="C1934">
        <f>SE(Gastos!A435="";"";0)</f>
        <v/>
      </c>
      <c r="D1934">
        <f>SE(Gastos!A435="";"";Gastos!F435)</f>
        <v/>
      </c>
    </row>
    <row r="1935">
      <c r="A1935">
        <f>SE(Gastos!A436="";"";Gastos!A436)</f>
        <v/>
      </c>
      <c r="B1935">
        <f>SE(Gastos!A436="";"";Gastos!B436&amp;" - "&amp;Gastos!C436)</f>
        <v/>
      </c>
      <c r="C1935">
        <f>SE(Gastos!A436="";"";0)</f>
        <v/>
      </c>
      <c r="D1935">
        <f>SE(Gastos!A436="";"";Gastos!F436)</f>
        <v/>
      </c>
    </row>
    <row r="1936">
      <c r="A1936">
        <f>SE(Gastos!A437="";"";Gastos!A437)</f>
        <v/>
      </c>
      <c r="B1936">
        <f>SE(Gastos!A437="";"";Gastos!B437&amp;" - "&amp;Gastos!C437)</f>
        <v/>
      </c>
      <c r="C1936">
        <f>SE(Gastos!A437="";"";0)</f>
        <v/>
      </c>
      <c r="D1936">
        <f>SE(Gastos!A437="";"";Gastos!F437)</f>
        <v/>
      </c>
    </row>
    <row r="1937">
      <c r="A1937">
        <f>SE(Gastos!A438="";"";Gastos!A438)</f>
        <v/>
      </c>
      <c r="B1937">
        <f>SE(Gastos!A438="";"";Gastos!B438&amp;" - "&amp;Gastos!C438)</f>
        <v/>
      </c>
      <c r="C1937">
        <f>SE(Gastos!A438="";"";0)</f>
        <v/>
      </c>
      <c r="D1937">
        <f>SE(Gastos!A438="";"";Gastos!F438)</f>
        <v/>
      </c>
    </row>
    <row r="1938">
      <c r="A1938">
        <f>SE(Gastos!A439="";"";Gastos!A439)</f>
        <v/>
      </c>
      <c r="B1938">
        <f>SE(Gastos!A439="";"";Gastos!B439&amp;" - "&amp;Gastos!C439)</f>
        <v/>
      </c>
      <c r="C1938">
        <f>SE(Gastos!A439="";"";0)</f>
        <v/>
      </c>
      <c r="D1938">
        <f>SE(Gastos!A439="";"";Gastos!F439)</f>
        <v/>
      </c>
    </row>
    <row r="1939">
      <c r="A1939">
        <f>SE(Gastos!A440="";"";Gastos!A440)</f>
        <v/>
      </c>
      <c r="B1939">
        <f>SE(Gastos!A440="";"";Gastos!B440&amp;" - "&amp;Gastos!C440)</f>
        <v/>
      </c>
      <c r="C1939">
        <f>SE(Gastos!A440="";"";0)</f>
        <v/>
      </c>
      <c r="D1939">
        <f>SE(Gastos!A440="";"";Gastos!F440)</f>
        <v/>
      </c>
    </row>
    <row r="1940">
      <c r="A1940">
        <f>SE(Gastos!A441="";"";Gastos!A441)</f>
        <v/>
      </c>
      <c r="B1940">
        <f>SE(Gastos!A441="";"";Gastos!B441&amp;" - "&amp;Gastos!C441)</f>
        <v/>
      </c>
      <c r="C1940">
        <f>SE(Gastos!A441="";"";0)</f>
        <v/>
      </c>
      <c r="D1940">
        <f>SE(Gastos!A441="";"";Gastos!F441)</f>
        <v/>
      </c>
    </row>
    <row r="1941">
      <c r="A1941">
        <f>SE(Gastos!A442="";"";Gastos!A442)</f>
        <v/>
      </c>
      <c r="B1941">
        <f>SE(Gastos!A442="";"";Gastos!B442&amp;" - "&amp;Gastos!C442)</f>
        <v/>
      </c>
      <c r="C1941">
        <f>SE(Gastos!A442="";"";0)</f>
        <v/>
      </c>
      <c r="D1941">
        <f>SE(Gastos!A442="";"";Gastos!F442)</f>
        <v/>
      </c>
    </row>
    <row r="1942">
      <c r="A1942">
        <f>SE(Gastos!A443="";"";Gastos!A443)</f>
        <v/>
      </c>
      <c r="B1942">
        <f>SE(Gastos!A443="";"";Gastos!B443&amp;" - "&amp;Gastos!C443)</f>
        <v/>
      </c>
      <c r="C1942">
        <f>SE(Gastos!A443="";"";0)</f>
        <v/>
      </c>
      <c r="D1942">
        <f>SE(Gastos!A443="";"";Gastos!F443)</f>
        <v/>
      </c>
    </row>
    <row r="1943">
      <c r="A1943">
        <f>SE(Gastos!A444="";"";Gastos!A444)</f>
        <v/>
      </c>
      <c r="B1943">
        <f>SE(Gastos!A444="";"";Gastos!B444&amp;" - "&amp;Gastos!C444)</f>
        <v/>
      </c>
      <c r="C1943">
        <f>SE(Gastos!A444="";"";0)</f>
        <v/>
      </c>
      <c r="D1943">
        <f>SE(Gastos!A444="";"";Gastos!F444)</f>
        <v/>
      </c>
    </row>
    <row r="1944">
      <c r="A1944">
        <f>SE(Gastos!A445="";"";Gastos!A445)</f>
        <v/>
      </c>
      <c r="B1944">
        <f>SE(Gastos!A445="";"";Gastos!B445&amp;" - "&amp;Gastos!C445)</f>
        <v/>
      </c>
      <c r="C1944">
        <f>SE(Gastos!A445="";"";0)</f>
        <v/>
      </c>
      <c r="D1944">
        <f>SE(Gastos!A445="";"";Gastos!F445)</f>
        <v/>
      </c>
    </row>
    <row r="1945">
      <c r="A1945">
        <f>SE(Gastos!A446="";"";Gastos!A446)</f>
        <v/>
      </c>
      <c r="B1945">
        <f>SE(Gastos!A446="";"";Gastos!B446&amp;" - "&amp;Gastos!C446)</f>
        <v/>
      </c>
      <c r="C1945">
        <f>SE(Gastos!A446="";"";0)</f>
        <v/>
      </c>
      <c r="D1945">
        <f>SE(Gastos!A446="";"";Gastos!F446)</f>
        <v/>
      </c>
    </row>
    <row r="1946">
      <c r="A1946">
        <f>SE(Gastos!A447="";"";Gastos!A447)</f>
        <v/>
      </c>
      <c r="B1946">
        <f>SE(Gastos!A447="";"";Gastos!B447&amp;" - "&amp;Gastos!C447)</f>
        <v/>
      </c>
      <c r="C1946">
        <f>SE(Gastos!A447="";"";0)</f>
        <v/>
      </c>
      <c r="D1946">
        <f>SE(Gastos!A447="";"";Gastos!F447)</f>
        <v/>
      </c>
    </row>
    <row r="1947">
      <c r="A1947">
        <f>SE(Gastos!A448="";"";Gastos!A448)</f>
        <v/>
      </c>
      <c r="B1947">
        <f>SE(Gastos!A448="";"";Gastos!B448&amp;" - "&amp;Gastos!C448)</f>
        <v/>
      </c>
      <c r="C1947">
        <f>SE(Gastos!A448="";"";0)</f>
        <v/>
      </c>
      <c r="D1947">
        <f>SE(Gastos!A448="";"";Gastos!F448)</f>
        <v/>
      </c>
    </row>
    <row r="1948">
      <c r="A1948">
        <f>SE(Gastos!A449="";"";Gastos!A449)</f>
        <v/>
      </c>
      <c r="B1948">
        <f>SE(Gastos!A449="";"";Gastos!B449&amp;" - "&amp;Gastos!C449)</f>
        <v/>
      </c>
      <c r="C1948">
        <f>SE(Gastos!A449="";"";0)</f>
        <v/>
      </c>
      <c r="D1948">
        <f>SE(Gastos!A449="";"";Gastos!F449)</f>
        <v/>
      </c>
    </row>
    <row r="1949">
      <c r="A1949">
        <f>SE(Gastos!A450="";"";Gastos!A450)</f>
        <v/>
      </c>
      <c r="B1949">
        <f>SE(Gastos!A450="";"";Gastos!B450&amp;" - "&amp;Gastos!C450)</f>
        <v/>
      </c>
      <c r="C1949">
        <f>SE(Gastos!A450="";"";0)</f>
        <v/>
      </c>
      <c r="D1949">
        <f>SE(Gastos!A450="";"";Gastos!F450)</f>
        <v/>
      </c>
    </row>
    <row r="1950">
      <c r="A1950">
        <f>SE(Gastos!A451="";"";Gastos!A451)</f>
        <v/>
      </c>
      <c r="B1950">
        <f>SE(Gastos!A451="";"";Gastos!B451&amp;" - "&amp;Gastos!C451)</f>
        <v/>
      </c>
      <c r="C1950">
        <f>SE(Gastos!A451="";"";0)</f>
        <v/>
      </c>
      <c r="D1950">
        <f>SE(Gastos!A451="";"";Gastos!F451)</f>
        <v/>
      </c>
    </row>
    <row r="1951">
      <c r="A1951">
        <f>SE(Gastos!A452="";"";Gastos!A452)</f>
        <v/>
      </c>
      <c r="B1951">
        <f>SE(Gastos!A452="";"";Gastos!B452&amp;" - "&amp;Gastos!C452)</f>
        <v/>
      </c>
      <c r="C1951">
        <f>SE(Gastos!A452="";"";0)</f>
        <v/>
      </c>
      <c r="D1951">
        <f>SE(Gastos!A452="";"";Gastos!F452)</f>
        <v/>
      </c>
    </row>
    <row r="1952">
      <c r="A1952">
        <f>SE(Gastos!A453="";"";Gastos!A453)</f>
        <v/>
      </c>
      <c r="B1952">
        <f>SE(Gastos!A453="";"";Gastos!B453&amp;" - "&amp;Gastos!C453)</f>
        <v/>
      </c>
      <c r="C1952">
        <f>SE(Gastos!A453="";"";0)</f>
        <v/>
      </c>
      <c r="D1952">
        <f>SE(Gastos!A453="";"";Gastos!F453)</f>
        <v/>
      </c>
    </row>
    <row r="1953">
      <c r="A1953">
        <f>SE(Gastos!A454="";"";Gastos!A454)</f>
        <v/>
      </c>
      <c r="B1953">
        <f>SE(Gastos!A454="";"";Gastos!B454&amp;" - "&amp;Gastos!C454)</f>
        <v/>
      </c>
      <c r="C1953">
        <f>SE(Gastos!A454="";"";0)</f>
        <v/>
      </c>
      <c r="D1953">
        <f>SE(Gastos!A454="";"";Gastos!F454)</f>
        <v/>
      </c>
    </row>
    <row r="1954">
      <c r="A1954">
        <f>SE(Gastos!A455="";"";Gastos!A455)</f>
        <v/>
      </c>
      <c r="B1954">
        <f>SE(Gastos!A455="";"";Gastos!B455&amp;" - "&amp;Gastos!C455)</f>
        <v/>
      </c>
      <c r="C1954">
        <f>SE(Gastos!A455="";"";0)</f>
        <v/>
      </c>
      <c r="D1954">
        <f>SE(Gastos!A455="";"";Gastos!F455)</f>
        <v/>
      </c>
    </row>
    <row r="1955">
      <c r="A1955">
        <f>SE(Gastos!A456="";"";Gastos!A456)</f>
        <v/>
      </c>
      <c r="B1955">
        <f>SE(Gastos!A456="";"";Gastos!B456&amp;" - "&amp;Gastos!C456)</f>
        <v/>
      </c>
      <c r="C1955">
        <f>SE(Gastos!A456="";"";0)</f>
        <v/>
      </c>
      <c r="D1955">
        <f>SE(Gastos!A456="";"";Gastos!F456)</f>
        <v/>
      </c>
    </row>
    <row r="1956">
      <c r="A1956">
        <f>SE(Gastos!A457="";"";Gastos!A457)</f>
        <v/>
      </c>
      <c r="B1956">
        <f>SE(Gastos!A457="";"";Gastos!B457&amp;" - "&amp;Gastos!C457)</f>
        <v/>
      </c>
      <c r="C1956">
        <f>SE(Gastos!A457="";"";0)</f>
        <v/>
      </c>
      <c r="D1956">
        <f>SE(Gastos!A457="";"";Gastos!F457)</f>
        <v/>
      </c>
    </row>
    <row r="1957">
      <c r="A1957">
        <f>SE(Gastos!A458="";"";Gastos!A458)</f>
        <v/>
      </c>
      <c r="B1957">
        <f>SE(Gastos!A458="";"";Gastos!B458&amp;" - "&amp;Gastos!C458)</f>
        <v/>
      </c>
      <c r="C1957">
        <f>SE(Gastos!A458="";"";0)</f>
        <v/>
      </c>
      <c r="D1957">
        <f>SE(Gastos!A458="";"";Gastos!F458)</f>
        <v/>
      </c>
    </row>
    <row r="1958">
      <c r="A1958">
        <f>SE(Gastos!A459="";"";Gastos!A459)</f>
        <v/>
      </c>
      <c r="B1958">
        <f>SE(Gastos!A459="";"";Gastos!B459&amp;" - "&amp;Gastos!C459)</f>
        <v/>
      </c>
      <c r="C1958">
        <f>SE(Gastos!A459="";"";0)</f>
        <v/>
      </c>
      <c r="D1958">
        <f>SE(Gastos!A459="";"";Gastos!F459)</f>
        <v/>
      </c>
    </row>
    <row r="1959">
      <c r="A1959">
        <f>SE(Gastos!A460="";"";Gastos!A460)</f>
        <v/>
      </c>
      <c r="B1959">
        <f>SE(Gastos!A460="";"";Gastos!B460&amp;" - "&amp;Gastos!C460)</f>
        <v/>
      </c>
      <c r="C1959">
        <f>SE(Gastos!A460="";"";0)</f>
        <v/>
      </c>
      <c r="D1959">
        <f>SE(Gastos!A460="";"";Gastos!F460)</f>
        <v/>
      </c>
    </row>
    <row r="1960">
      <c r="A1960">
        <f>SE(Gastos!A461="";"";Gastos!A461)</f>
        <v/>
      </c>
      <c r="B1960">
        <f>SE(Gastos!A461="";"";Gastos!B461&amp;" - "&amp;Gastos!C461)</f>
        <v/>
      </c>
      <c r="C1960">
        <f>SE(Gastos!A461="";"";0)</f>
        <v/>
      </c>
      <c r="D1960">
        <f>SE(Gastos!A461="";"";Gastos!F461)</f>
        <v/>
      </c>
    </row>
    <row r="1961">
      <c r="A1961">
        <f>SE(Gastos!A462="";"";Gastos!A462)</f>
        <v/>
      </c>
      <c r="B1961">
        <f>SE(Gastos!A462="";"";Gastos!B462&amp;" - "&amp;Gastos!C462)</f>
        <v/>
      </c>
      <c r="C1961">
        <f>SE(Gastos!A462="";"";0)</f>
        <v/>
      </c>
      <c r="D1961">
        <f>SE(Gastos!A462="";"";Gastos!F462)</f>
        <v/>
      </c>
    </row>
    <row r="1962">
      <c r="A1962">
        <f>SE(Gastos!A463="";"";Gastos!A463)</f>
        <v/>
      </c>
      <c r="B1962">
        <f>SE(Gastos!A463="";"";Gastos!B463&amp;" - "&amp;Gastos!C463)</f>
        <v/>
      </c>
      <c r="C1962">
        <f>SE(Gastos!A463="";"";0)</f>
        <v/>
      </c>
      <c r="D1962">
        <f>SE(Gastos!A463="";"";Gastos!F463)</f>
        <v/>
      </c>
    </row>
    <row r="1963">
      <c r="A1963">
        <f>SE(Gastos!A464="";"";Gastos!A464)</f>
        <v/>
      </c>
      <c r="B1963">
        <f>SE(Gastos!A464="";"";Gastos!B464&amp;" - "&amp;Gastos!C464)</f>
        <v/>
      </c>
      <c r="C1963">
        <f>SE(Gastos!A464="";"";0)</f>
        <v/>
      </c>
      <c r="D1963">
        <f>SE(Gastos!A464="";"";Gastos!F464)</f>
        <v/>
      </c>
    </row>
    <row r="1964">
      <c r="A1964">
        <f>SE(Gastos!A465="";"";Gastos!A465)</f>
        <v/>
      </c>
      <c r="B1964">
        <f>SE(Gastos!A465="";"";Gastos!B465&amp;" - "&amp;Gastos!C465)</f>
        <v/>
      </c>
      <c r="C1964">
        <f>SE(Gastos!A465="";"";0)</f>
        <v/>
      </c>
      <c r="D1964">
        <f>SE(Gastos!A465="";"";Gastos!F465)</f>
        <v/>
      </c>
    </row>
    <row r="1965">
      <c r="A1965">
        <f>SE(Gastos!A466="";"";Gastos!A466)</f>
        <v/>
      </c>
      <c r="B1965">
        <f>SE(Gastos!A466="";"";Gastos!B466&amp;" - "&amp;Gastos!C466)</f>
        <v/>
      </c>
      <c r="C1965">
        <f>SE(Gastos!A466="";"";0)</f>
        <v/>
      </c>
      <c r="D1965">
        <f>SE(Gastos!A466="";"";Gastos!F466)</f>
        <v/>
      </c>
    </row>
    <row r="1966">
      <c r="A1966">
        <f>SE(Gastos!A467="";"";Gastos!A467)</f>
        <v/>
      </c>
      <c r="B1966">
        <f>SE(Gastos!A467="";"";Gastos!B467&amp;" - "&amp;Gastos!C467)</f>
        <v/>
      </c>
      <c r="C1966">
        <f>SE(Gastos!A467="";"";0)</f>
        <v/>
      </c>
      <c r="D1966">
        <f>SE(Gastos!A467="";"";Gastos!F467)</f>
        <v/>
      </c>
    </row>
    <row r="1967">
      <c r="A1967">
        <f>SE(Gastos!A468="";"";Gastos!A468)</f>
        <v/>
      </c>
      <c r="B1967">
        <f>SE(Gastos!A468="";"";Gastos!B468&amp;" - "&amp;Gastos!C468)</f>
        <v/>
      </c>
      <c r="C1967">
        <f>SE(Gastos!A468="";"";0)</f>
        <v/>
      </c>
      <c r="D1967">
        <f>SE(Gastos!A468="";"";Gastos!F468)</f>
        <v/>
      </c>
    </row>
    <row r="1968">
      <c r="A1968">
        <f>SE(Gastos!A469="";"";Gastos!A469)</f>
        <v/>
      </c>
      <c r="B1968">
        <f>SE(Gastos!A469="";"";Gastos!B469&amp;" - "&amp;Gastos!C469)</f>
        <v/>
      </c>
      <c r="C1968">
        <f>SE(Gastos!A469="";"";0)</f>
        <v/>
      </c>
      <c r="D1968">
        <f>SE(Gastos!A469="";"";Gastos!F469)</f>
        <v/>
      </c>
    </row>
    <row r="1969">
      <c r="A1969">
        <f>SE(Gastos!A470="";"";Gastos!A470)</f>
        <v/>
      </c>
      <c r="B1969">
        <f>SE(Gastos!A470="";"";Gastos!B470&amp;" - "&amp;Gastos!C470)</f>
        <v/>
      </c>
      <c r="C1969">
        <f>SE(Gastos!A470="";"";0)</f>
        <v/>
      </c>
      <c r="D1969">
        <f>SE(Gastos!A470="";"";Gastos!F470)</f>
        <v/>
      </c>
    </row>
    <row r="1970">
      <c r="A1970">
        <f>SE(Gastos!A471="";"";Gastos!A471)</f>
        <v/>
      </c>
      <c r="B1970">
        <f>SE(Gastos!A471="";"";Gastos!B471&amp;" - "&amp;Gastos!C471)</f>
        <v/>
      </c>
      <c r="C1970">
        <f>SE(Gastos!A471="";"";0)</f>
        <v/>
      </c>
      <c r="D1970">
        <f>SE(Gastos!A471="";"";Gastos!F471)</f>
        <v/>
      </c>
    </row>
    <row r="1971">
      <c r="A1971">
        <f>SE(Gastos!A472="";"";Gastos!A472)</f>
        <v/>
      </c>
      <c r="B1971">
        <f>SE(Gastos!A472="";"";Gastos!B472&amp;" - "&amp;Gastos!C472)</f>
        <v/>
      </c>
      <c r="C1971">
        <f>SE(Gastos!A472="";"";0)</f>
        <v/>
      </c>
      <c r="D1971">
        <f>SE(Gastos!A472="";"";Gastos!F472)</f>
        <v/>
      </c>
    </row>
    <row r="1972">
      <c r="A1972">
        <f>SE(Gastos!A473="";"";Gastos!A473)</f>
        <v/>
      </c>
      <c r="B1972">
        <f>SE(Gastos!A473="";"";Gastos!B473&amp;" - "&amp;Gastos!C473)</f>
        <v/>
      </c>
      <c r="C1972">
        <f>SE(Gastos!A473="";"";0)</f>
        <v/>
      </c>
      <c r="D1972">
        <f>SE(Gastos!A473="";"";Gastos!F473)</f>
        <v/>
      </c>
    </row>
    <row r="1973">
      <c r="A1973">
        <f>SE(Gastos!A474="";"";Gastos!A474)</f>
        <v/>
      </c>
      <c r="B1973">
        <f>SE(Gastos!A474="";"";Gastos!B474&amp;" - "&amp;Gastos!C474)</f>
        <v/>
      </c>
      <c r="C1973">
        <f>SE(Gastos!A474="";"";0)</f>
        <v/>
      </c>
      <c r="D1973">
        <f>SE(Gastos!A474="";"";Gastos!F474)</f>
        <v/>
      </c>
    </row>
    <row r="1974">
      <c r="A1974">
        <f>SE(Gastos!A475="";"";Gastos!A475)</f>
        <v/>
      </c>
      <c r="B1974">
        <f>SE(Gastos!A475="";"";Gastos!B475&amp;" - "&amp;Gastos!C475)</f>
        <v/>
      </c>
      <c r="C1974">
        <f>SE(Gastos!A475="";"";0)</f>
        <v/>
      </c>
      <c r="D1974">
        <f>SE(Gastos!A475="";"";Gastos!F475)</f>
        <v/>
      </c>
    </row>
    <row r="1975">
      <c r="A1975">
        <f>SE(Gastos!A476="";"";Gastos!A476)</f>
        <v/>
      </c>
      <c r="B1975">
        <f>SE(Gastos!A476="";"";Gastos!B476&amp;" - "&amp;Gastos!C476)</f>
        <v/>
      </c>
      <c r="C1975">
        <f>SE(Gastos!A476="";"";0)</f>
        <v/>
      </c>
      <c r="D1975">
        <f>SE(Gastos!A476="";"";Gastos!F476)</f>
        <v/>
      </c>
    </row>
    <row r="1976">
      <c r="A1976">
        <f>SE(Gastos!A477="";"";Gastos!A477)</f>
        <v/>
      </c>
      <c r="B1976">
        <f>SE(Gastos!A477="";"";Gastos!B477&amp;" - "&amp;Gastos!C477)</f>
        <v/>
      </c>
      <c r="C1976">
        <f>SE(Gastos!A477="";"";0)</f>
        <v/>
      </c>
      <c r="D1976">
        <f>SE(Gastos!A477="";"";Gastos!F477)</f>
        <v/>
      </c>
    </row>
    <row r="1977">
      <c r="A1977">
        <f>SE(Gastos!A478="";"";Gastos!A478)</f>
        <v/>
      </c>
      <c r="B1977">
        <f>SE(Gastos!A478="";"";Gastos!B478&amp;" - "&amp;Gastos!C478)</f>
        <v/>
      </c>
      <c r="C1977">
        <f>SE(Gastos!A478="";"";0)</f>
        <v/>
      </c>
      <c r="D1977">
        <f>SE(Gastos!A478="";"";Gastos!F478)</f>
        <v/>
      </c>
    </row>
    <row r="1978">
      <c r="A1978">
        <f>SE(Gastos!A479="";"";Gastos!A479)</f>
        <v/>
      </c>
      <c r="B1978">
        <f>SE(Gastos!A479="";"";Gastos!B479&amp;" - "&amp;Gastos!C479)</f>
        <v/>
      </c>
      <c r="C1978">
        <f>SE(Gastos!A479="";"";0)</f>
        <v/>
      </c>
      <c r="D1978">
        <f>SE(Gastos!A479="";"";Gastos!F479)</f>
        <v/>
      </c>
    </row>
    <row r="1979">
      <c r="A1979">
        <f>SE(Gastos!A480="";"";Gastos!A480)</f>
        <v/>
      </c>
      <c r="B1979">
        <f>SE(Gastos!A480="";"";Gastos!B480&amp;" - "&amp;Gastos!C480)</f>
        <v/>
      </c>
      <c r="C1979">
        <f>SE(Gastos!A480="";"";0)</f>
        <v/>
      </c>
      <c r="D1979">
        <f>SE(Gastos!A480="";"";Gastos!F480)</f>
        <v/>
      </c>
    </row>
    <row r="1980">
      <c r="A1980">
        <f>SE(Gastos!A481="";"";Gastos!A481)</f>
        <v/>
      </c>
      <c r="B1980">
        <f>SE(Gastos!A481="";"";Gastos!B481&amp;" - "&amp;Gastos!C481)</f>
        <v/>
      </c>
      <c r="C1980">
        <f>SE(Gastos!A481="";"";0)</f>
        <v/>
      </c>
      <c r="D1980">
        <f>SE(Gastos!A481="";"";Gastos!F481)</f>
        <v/>
      </c>
    </row>
    <row r="1981">
      <c r="A1981">
        <f>SE(Gastos!A482="";"";Gastos!A482)</f>
        <v/>
      </c>
      <c r="B1981">
        <f>SE(Gastos!A482="";"";Gastos!B482&amp;" - "&amp;Gastos!C482)</f>
        <v/>
      </c>
      <c r="C1981">
        <f>SE(Gastos!A482="";"";0)</f>
        <v/>
      </c>
      <c r="D1981">
        <f>SE(Gastos!A482="";"";Gastos!F482)</f>
        <v/>
      </c>
    </row>
    <row r="1982">
      <c r="A1982">
        <f>SE(Gastos!A483="";"";Gastos!A483)</f>
        <v/>
      </c>
      <c r="B1982">
        <f>SE(Gastos!A483="";"";Gastos!B483&amp;" - "&amp;Gastos!C483)</f>
        <v/>
      </c>
      <c r="C1982">
        <f>SE(Gastos!A483="";"";0)</f>
        <v/>
      </c>
      <c r="D1982">
        <f>SE(Gastos!A483="";"";Gastos!F483)</f>
        <v/>
      </c>
    </row>
    <row r="1983">
      <c r="A1983">
        <f>SE(Gastos!A484="";"";Gastos!A484)</f>
        <v/>
      </c>
      <c r="B1983">
        <f>SE(Gastos!A484="";"";Gastos!B484&amp;" - "&amp;Gastos!C484)</f>
        <v/>
      </c>
      <c r="C1983">
        <f>SE(Gastos!A484="";"";0)</f>
        <v/>
      </c>
      <c r="D1983">
        <f>SE(Gastos!A484="";"";Gastos!F484)</f>
        <v/>
      </c>
    </row>
    <row r="1984">
      <c r="A1984">
        <f>SE(Gastos!A485="";"";Gastos!A485)</f>
        <v/>
      </c>
      <c r="B1984">
        <f>SE(Gastos!A485="";"";Gastos!B485&amp;" - "&amp;Gastos!C485)</f>
        <v/>
      </c>
      <c r="C1984">
        <f>SE(Gastos!A485="";"";0)</f>
        <v/>
      </c>
      <c r="D1984">
        <f>SE(Gastos!A485="";"";Gastos!F485)</f>
        <v/>
      </c>
    </row>
    <row r="1985">
      <c r="A1985">
        <f>SE(Gastos!A486="";"";Gastos!A486)</f>
        <v/>
      </c>
      <c r="B1985">
        <f>SE(Gastos!A486="";"";Gastos!B486&amp;" - "&amp;Gastos!C486)</f>
        <v/>
      </c>
      <c r="C1985">
        <f>SE(Gastos!A486="";"";0)</f>
        <v/>
      </c>
      <c r="D1985">
        <f>SE(Gastos!A486="";"";Gastos!F486)</f>
        <v/>
      </c>
    </row>
    <row r="1986">
      <c r="A1986">
        <f>SE(Gastos!A487="";"";Gastos!A487)</f>
        <v/>
      </c>
      <c r="B1986">
        <f>SE(Gastos!A487="";"";Gastos!B487&amp;" - "&amp;Gastos!C487)</f>
        <v/>
      </c>
      <c r="C1986">
        <f>SE(Gastos!A487="";"";0)</f>
        <v/>
      </c>
      <c r="D1986">
        <f>SE(Gastos!A487="";"";Gastos!F487)</f>
        <v/>
      </c>
    </row>
    <row r="1987">
      <c r="A1987">
        <f>SE(Gastos!A488="";"";Gastos!A488)</f>
        <v/>
      </c>
      <c r="B1987">
        <f>SE(Gastos!A488="";"";Gastos!B488&amp;" - "&amp;Gastos!C488)</f>
        <v/>
      </c>
      <c r="C1987">
        <f>SE(Gastos!A488="";"";0)</f>
        <v/>
      </c>
      <c r="D1987">
        <f>SE(Gastos!A488="";"";Gastos!F488)</f>
        <v/>
      </c>
    </row>
    <row r="1988">
      <c r="A1988">
        <f>SE(Gastos!A489="";"";Gastos!A489)</f>
        <v/>
      </c>
      <c r="B1988">
        <f>SE(Gastos!A489="";"";Gastos!B489&amp;" - "&amp;Gastos!C489)</f>
        <v/>
      </c>
      <c r="C1988">
        <f>SE(Gastos!A489="";"";0)</f>
        <v/>
      </c>
      <c r="D1988">
        <f>SE(Gastos!A489="";"";Gastos!F489)</f>
        <v/>
      </c>
    </row>
    <row r="1989">
      <c r="A1989">
        <f>SE(Gastos!A490="";"";Gastos!A490)</f>
        <v/>
      </c>
      <c r="B1989">
        <f>SE(Gastos!A490="";"";Gastos!B490&amp;" - "&amp;Gastos!C490)</f>
        <v/>
      </c>
      <c r="C1989">
        <f>SE(Gastos!A490="";"";0)</f>
        <v/>
      </c>
      <c r="D1989">
        <f>SE(Gastos!A490="";"";Gastos!F490)</f>
        <v/>
      </c>
    </row>
    <row r="1990">
      <c r="A1990">
        <f>SE(Gastos!A491="";"";Gastos!A491)</f>
        <v/>
      </c>
      <c r="B1990">
        <f>SE(Gastos!A491="";"";Gastos!B491&amp;" - "&amp;Gastos!C491)</f>
        <v/>
      </c>
      <c r="C1990">
        <f>SE(Gastos!A491="";"";0)</f>
        <v/>
      </c>
      <c r="D1990">
        <f>SE(Gastos!A491="";"";Gastos!F491)</f>
        <v/>
      </c>
    </row>
    <row r="1991">
      <c r="A1991">
        <f>SE(Gastos!A492="";"";Gastos!A492)</f>
        <v/>
      </c>
      <c r="B1991">
        <f>SE(Gastos!A492="";"";Gastos!B492&amp;" - "&amp;Gastos!C492)</f>
        <v/>
      </c>
      <c r="C1991">
        <f>SE(Gastos!A492="";"";0)</f>
        <v/>
      </c>
      <c r="D1991">
        <f>SE(Gastos!A492="";"";Gastos!F492)</f>
        <v/>
      </c>
    </row>
    <row r="1992">
      <c r="A1992">
        <f>SE(Gastos!A493="";"";Gastos!A493)</f>
        <v/>
      </c>
      <c r="B1992">
        <f>SE(Gastos!A493="";"";Gastos!B493&amp;" - "&amp;Gastos!C493)</f>
        <v/>
      </c>
      <c r="C1992">
        <f>SE(Gastos!A493="";"";0)</f>
        <v/>
      </c>
      <c r="D1992">
        <f>SE(Gastos!A493="";"";Gastos!F493)</f>
        <v/>
      </c>
    </row>
    <row r="1993">
      <c r="A1993">
        <f>SE(Gastos!A494="";"";Gastos!A494)</f>
        <v/>
      </c>
      <c r="B1993">
        <f>SE(Gastos!A494="";"";Gastos!B494&amp;" - "&amp;Gastos!C494)</f>
        <v/>
      </c>
      <c r="C1993">
        <f>SE(Gastos!A494="";"";0)</f>
        <v/>
      </c>
      <c r="D1993">
        <f>SE(Gastos!A494="";"";Gastos!F494)</f>
        <v/>
      </c>
    </row>
    <row r="1994">
      <c r="A1994">
        <f>SE(Gastos!A495="";"";Gastos!A495)</f>
        <v/>
      </c>
      <c r="B1994">
        <f>SE(Gastos!A495="";"";Gastos!B495&amp;" - "&amp;Gastos!C495)</f>
        <v/>
      </c>
      <c r="C1994">
        <f>SE(Gastos!A495="";"";0)</f>
        <v/>
      </c>
      <c r="D1994">
        <f>SE(Gastos!A495="";"";Gastos!F495)</f>
        <v/>
      </c>
    </row>
    <row r="1995">
      <c r="A1995">
        <f>SE(Gastos!A496="";"";Gastos!A496)</f>
        <v/>
      </c>
      <c r="B1995">
        <f>SE(Gastos!A496="";"";Gastos!B496&amp;" - "&amp;Gastos!C496)</f>
        <v/>
      </c>
      <c r="C1995">
        <f>SE(Gastos!A496="";"";0)</f>
        <v/>
      </c>
      <c r="D1995">
        <f>SE(Gastos!A496="";"";Gastos!F496)</f>
        <v/>
      </c>
    </row>
    <row r="1996">
      <c r="A1996">
        <f>SE(Gastos!A497="";"";Gastos!A497)</f>
        <v/>
      </c>
      <c r="B1996">
        <f>SE(Gastos!A497="";"";Gastos!B497&amp;" - "&amp;Gastos!C497)</f>
        <v/>
      </c>
      <c r="C1996">
        <f>SE(Gastos!A497="";"";0)</f>
        <v/>
      </c>
      <c r="D1996">
        <f>SE(Gastos!A497="";"";Gastos!F497)</f>
        <v/>
      </c>
    </row>
    <row r="1997">
      <c r="A1997">
        <f>SE(Gastos!A498="";"";Gastos!A498)</f>
        <v/>
      </c>
      <c r="B1997">
        <f>SE(Gastos!A498="";"";Gastos!B498&amp;" - "&amp;Gastos!C498)</f>
        <v/>
      </c>
      <c r="C1997">
        <f>SE(Gastos!A498="";"";0)</f>
        <v/>
      </c>
      <c r="D1997">
        <f>SE(Gastos!A498="";"";Gastos!F498)</f>
        <v/>
      </c>
    </row>
    <row r="1998">
      <c r="A1998">
        <f>SE(Gastos!A499="";"";Gastos!A499)</f>
        <v/>
      </c>
      <c r="B1998">
        <f>SE(Gastos!A499="";"";Gastos!B499&amp;" - "&amp;Gastos!C499)</f>
        <v/>
      </c>
      <c r="C1998">
        <f>SE(Gastos!A499="";"";0)</f>
        <v/>
      </c>
      <c r="D1998">
        <f>SE(Gastos!A499="";"";Gastos!F499)</f>
        <v/>
      </c>
    </row>
    <row r="1999">
      <c r="A1999">
        <f>SE(Gastos!A500="";"";Gastos!A500)</f>
        <v/>
      </c>
      <c r="B1999">
        <f>SE(Gastos!A500="";"";Gastos!B500&amp;" - "&amp;Gastos!C500)</f>
        <v/>
      </c>
      <c r="C1999">
        <f>SE(Gastos!A500="";"";0)</f>
        <v/>
      </c>
      <c r="D1999">
        <f>SE(Gastos!A500="";"";Gastos!F500)</f>
        <v/>
      </c>
    </row>
    <row r="2000">
      <c r="A2000">
        <f>SE(Gastos!A501="";"";Gastos!A501)</f>
        <v/>
      </c>
      <c r="B2000">
        <f>SE(Gastos!A501="";"";Gastos!B501&amp;" - "&amp;Gastos!C501)</f>
        <v/>
      </c>
      <c r="C2000">
        <f>SE(Gastos!A501="";"";0)</f>
        <v/>
      </c>
      <c r="D2000">
        <f>SE(Gastos!A501="";"";Gastos!F501)</f>
        <v/>
      </c>
    </row>
    <row r="2001">
      <c r="A2001">
        <f>SE(Gastos!A502="";"";Gastos!A502)</f>
        <v/>
      </c>
      <c r="B2001">
        <f>SE(Gastos!A502="";"";Gastos!B502&amp;" - "&amp;Gastos!C502)</f>
        <v/>
      </c>
      <c r="C2001">
        <f>SE(Gastos!A502="";"";0)</f>
        <v/>
      </c>
      <c r="D2001">
        <f>SE(Gastos!A502="";"";Gastos!F502)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2026-07-12T23:17:17Z</dcterms:created>
  <dcterms:modified xsi:type="dcterms:W3CDTF">2026-07-12T23:17:18Z</dcterms:modified>
</cp:coreProperties>
</file>